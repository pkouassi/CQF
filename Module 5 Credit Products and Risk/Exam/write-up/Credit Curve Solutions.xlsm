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20" windowWidth="27795" windowHeight="12585"/>
  </bookViews>
  <sheets>
    <sheet name="1 price CDS" sheetId="1" r:id="rId1"/>
    <sheet name="Sheet2" sheetId="2" r:id="rId2"/>
    <sheet name="Sheet3" sheetId="3" r:id="rId3"/>
  </sheets>
  <definedNames>
    <definedName name="dt">'1 price CDS'!$C$13</definedName>
    <definedName name="N">'1 price CDS'!$C$12</definedName>
    <definedName name="RR">'1 price CDS'!$C$11</definedName>
  </definedNames>
  <calcPr calcId="145621" calcOnSave="0"/>
</workbook>
</file>

<file path=xl/calcChain.xml><?xml version="1.0" encoding="utf-8"?>
<calcChain xmlns="http://schemas.openxmlformats.org/spreadsheetml/2006/main">
  <c r="M5" i="1" l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N4" i="1"/>
  <c r="M4" i="1"/>
  <c r="I5" i="1"/>
  <c r="I6" i="1"/>
  <c r="I7" i="1"/>
  <c r="I8" i="1"/>
  <c r="I9" i="1"/>
  <c r="I10" i="1"/>
  <c r="I11" i="1"/>
  <c r="I12" i="1"/>
  <c r="I13" i="1"/>
  <c r="I14" i="1"/>
  <c r="I15" i="1"/>
  <c r="I16" i="1"/>
  <c r="I4" i="1"/>
  <c r="J5" i="1"/>
  <c r="J6" i="1"/>
  <c r="J7" i="1"/>
  <c r="J8" i="1"/>
  <c r="J9" i="1"/>
  <c r="J10" i="1"/>
  <c r="J11" i="1"/>
  <c r="J12" i="1"/>
  <c r="J13" i="1"/>
  <c r="J14" i="1"/>
  <c r="J15" i="1"/>
  <c r="J16" i="1"/>
  <c r="J4" i="1"/>
  <c r="H5" i="1"/>
  <c r="H6" i="1"/>
  <c r="H7" i="1"/>
  <c r="H8" i="1"/>
  <c r="H9" i="1"/>
  <c r="H10" i="1"/>
  <c r="H11" i="1"/>
  <c r="H12" i="1"/>
  <c r="H13" i="1"/>
  <c r="H14" i="1"/>
  <c r="H15" i="1"/>
  <c r="H16" i="1"/>
  <c r="H4" i="1"/>
  <c r="G5" i="1"/>
  <c r="G6" i="1"/>
  <c r="G7" i="1"/>
  <c r="G8" i="1"/>
  <c r="G9" i="1"/>
  <c r="G10" i="1"/>
  <c r="G11" i="1"/>
  <c r="G12" i="1"/>
  <c r="G13" i="1"/>
  <c r="G14" i="1"/>
  <c r="G15" i="1"/>
  <c r="G16" i="1"/>
  <c r="G4" i="1"/>
  <c r="O14" i="1" l="1"/>
  <c r="O12" i="1"/>
  <c r="O10" i="1"/>
  <c r="O8" i="1"/>
  <c r="O6" i="1"/>
  <c r="O16" i="1"/>
  <c r="O4" i="1"/>
  <c r="O7" i="1"/>
  <c r="O11" i="1"/>
  <c r="O15" i="1"/>
  <c r="O13" i="1"/>
  <c r="O9" i="1"/>
  <c r="O5" i="1"/>
  <c r="K11" i="1"/>
  <c r="L11" i="1" s="1"/>
  <c r="K12" i="1"/>
  <c r="L12" i="1" s="1"/>
  <c r="K16" i="1"/>
  <c r="L16" i="1" s="1"/>
  <c r="K8" i="1"/>
  <c r="L8" i="1" s="1"/>
  <c r="K4" i="1"/>
  <c r="L4" i="1" s="1"/>
  <c r="K13" i="1"/>
  <c r="L13" i="1" s="1"/>
  <c r="K5" i="1"/>
  <c r="L5" i="1" s="1"/>
  <c r="K10" i="1"/>
  <c r="L10" i="1" s="1"/>
  <c r="K15" i="1"/>
  <c r="L15" i="1" s="1"/>
  <c r="K7" i="1"/>
  <c r="L7" i="1" s="1"/>
  <c r="K14" i="1"/>
  <c r="L14" i="1" s="1"/>
  <c r="K6" i="1"/>
  <c r="L6" i="1" s="1"/>
  <c r="K9" i="1"/>
  <c r="L9" i="1" s="1"/>
  <c r="P4" i="1" l="1"/>
  <c r="P10" i="1"/>
  <c r="P7" i="1"/>
  <c r="P11" i="1"/>
  <c r="P15" i="1"/>
  <c r="P8" i="1"/>
  <c r="P12" i="1"/>
  <c r="P16" i="1"/>
  <c r="P5" i="1"/>
  <c r="P9" i="1"/>
  <c r="P13" i="1"/>
  <c r="P6" i="1"/>
  <c r="P14" i="1"/>
</calcChain>
</file>

<file path=xl/sharedStrings.xml><?xml version="1.0" encoding="utf-8"?>
<sst xmlns="http://schemas.openxmlformats.org/spreadsheetml/2006/main" count="27" uniqueCount="25">
  <si>
    <t>T</t>
  </si>
  <si>
    <t>1Y</t>
  </si>
  <si>
    <t>2Y</t>
  </si>
  <si>
    <t>3Y</t>
  </si>
  <si>
    <t>lambda</t>
  </si>
  <si>
    <t>DF</t>
  </si>
  <si>
    <t>Given in context</t>
  </si>
  <si>
    <t>Workplace</t>
  </si>
  <si>
    <t>Assumptions</t>
  </si>
  <si>
    <t>RR</t>
  </si>
  <si>
    <t>tau_i</t>
  </si>
  <si>
    <t>tau_{i+1}</t>
  </si>
  <si>
    <t>log DF(0, tau_i)</t>
  </si>
  <si>
    <t>log DF(tau_{i+1})</t>
  </si>
  <si>
    <t>0Y</t>
  </si>
  <si>
    <t>log DF(tau)</t>
  </si>
  <si>
    <t>PL</t>
  </si>
  <si>
    <t>DL</t>
  </si>
  <si>
    <t>N</t>
  </si>
  <si>
    <t>dt</t>
  </si>
  <si>
    <t>lambda(tau_i)</t>
  </si>
  <si>
    <t>lambda(tau_{i+1})</t>
  </si>
  <si>
    <t>Credit Sprad</t>
  </si>
  <si>
    <t>P(tau)</t>
  </si>
  <si>
    <t>lambda(tau)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</si>
</sst>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16"/>
  <sheetViews>
    <sheetView tabSelected="1" workbookViewId="0">
      <selection activeCell="S14" sqref="S14"/>
    </sheetView>
  </sheetViews>
  <sheetFormatPr defaultRowHeight="15" x14ac:dyDescent="0.25"/>
  <sheetData>
    <row r="2" spans="2:19" x14ac:dyDescent="0.25">
      <c r="B2" s="1" t="s">
        <v>6</v>
      </c>
      <c r="F2" s="1" t="s">
        <v>7</v>
      </c>
    </row>
    <row r="3" spans="2:19" x14ac:dyDescent="0.25">
      <c r="B3" t="s">
        <v>0</v>
      </c>
      <c r="C3" t="s">
        <v>4</v>
      </c>
      <c r="D3" t="s">
        <v>5</v>
      </c>
      <c r="F3" t="s">
        <v>0</v>
      </c>
      <c r="G3" t="s">
        <v>10</v>
      </c>
      <c r="H3" t="s">
        <v>11</v>
      </c>
      <c r="I3" t="s">
        <v>12</v>
      </c>
      <c r="J3" t="s">
        <v>13</v>
      </c>
      <c r="K3" t="s">
        <v>15</v>
      </c>
      <c r="L3" t="s">
        <v>5</v>
      </c>
      <c r="M3" t="s">
        <v>20</v>
      </c>
      <c r="N3" t="s">
        <v>21</v>
      </c>
      <c r="O3" t="s">
        <v>24</v>
      </c>
      <c r="P3" t="s">
        <v>23</v>
      </c>
      <c r="Q3" t="s">
        <v>16</v>
      </c>
      <c r="R3" t="s">
        <v>17</v>
      </c>
      <c r="S3" t="s">
        <v>22</v>
      </c>
    </row>
    <row r="4" spans="2:19" x14ac:dyDescent="0.25">
      <c r="B4" t="s">
        <v>14</v>
      </c>
      <c r="C4">
        <v>0</v>
      </c>
      <c r="D4">
        <v>1</v>
      </c>
      <c r="F4">
        <v>0</v>
      </c>
      <c r="G4">
        <f>FLOOR(F4,1)</f>
        <v>0</v>
      </c>
      <c r="H4">
        <f>CEILING(F4,1)</f>
        <v>0</v>
      </c>
      <c r="I4">
        <f ca="1">LN(OFFSET($D$4,$G4,0))</f>
        <v>0</v>
      </c>
      <c r="J4">
        <f ca="1">LN(OFFSET($D$4,$H4,0))</f>
        <v>0</v>
      </c>
      <c r="K4">
        <f ca="1">IFERROR((F4-G4)/(H4-G4)*I4+(H4-F4)/(H4-G4)*J4,I4)</f>
        <v>0</v>
      </c>
      <c r="L4">
        <f ca="1">EXP(K4)</f>
        <v>1</v>
      </c>
      <c r="M4">
        <f ca="1">OFFSET($C$4,$G4,0)</f>
        <v>0</v>
      </c>
      <c r="N4">
        <f ca="1">OFFSET($C$4,$H4,0)</f>
        <v>0</v>
      </c>
      <c r="O4">
        <f ca="1">IFERROR((F4-G4)/(H4-G4)*M4+(H4-F4)/(H4-G4)*N4,M4)</f>
        <v>0</v>
      </c>
      <c r="P4">
        <f ca="1">EXP(-dt*SUM(O$4:O4))</f>
        <v>1</v>
      </c>
      <c r="Q4" s="2"/>
      <c r="R4" s="2"/>
      <c r="S4" s="2"/>
    </row>
    <row r="5" spans="2:19" x14ac:dyDescent="0.25">
      <c r="B5" t="s">
        <v>1</v>
      </c>
      <c r="C5">
        <v>9.9500000000000005E-3</v>
      </c>
      <c r="D5">
        <v>0.97</v>
      </c>
      <c r="F5">
        <v>0.25</v>
      </c>
      <c r="G5">
        <f t="shared" ref="G5:G16" si="0">FLOOR(F5,1)</f>
        <v>0</v>
      </c>
      <c r="H5">
        <f t="shared" ref="H5:H16" si="1">CEILING(F5,1)</f>
        <v>1</v>
      </c>
      <c r="I5">
        <f t="shared" ref="I5:I16" ca="1" si="2">LN(OFFSET($D$4,$G5,0))</f>
        <v>0</v>
      </c>
      <c r="J5">
        <f t="shared" ref="J5:J16" ca="1" si="3">LN(OFFSET($D$4,$H5,0))</f>
        <v>-3.0459207484708574E-2</v>
      </c>
      <c r="K5">
        <f t="shared" ref="K5:K16" ca="1" si="4">IFERROR((F5-G5)/(H5-G5)*I5+(H5-F5)/(H5-G5)*J5,I5)</f>
        <v>-2.2844405613531432E-2</v>
      </c>
      <c r="L5">
        <f t="shared" ref="L5:L16" ca="1" si="5">EXP(K5)</f>
        <v>0.97741455216004536</v>
      </c>
      <c r="M5">
        <f t="shared" ref="M5:M16" ca="1" si="6">OFFSET($C$4,$G5,0)</f>
        <v>0</v>
      </c>
      <c r="N5">
        <f t="shared" ref="N5:N16" ca="1" si="7">OFFSET($C$4,$H5,0)</f>
        <v>9.9500000000000005E-3</v>
      </c>
      <c r="O5">
        <f t="shared" ref="O5:O16" ca="1" si="8">IFERROR((F5-G5)/(H5-G5)*M5+(H5-F5)/(H5-G5)*N5,M5)</f>
        <v>7.4625000000000004E-3</v>
      </c>
      <c r="P5">
        <f ca="1">EXP(-dt*SUM(O$4:O5))</f>
        <v>0.99813611419658932</v>
      </c>
      <c r="S5">
        <v>0.1</v>
      </c>
    </row>
    <row r="6" spans="2:19" x14ac:dyDescent="0.25">
      <c r="B6" t="s">
        <v>2</v>
      </c>
      <c r="C6">
        <v>2.087E-2</v>
      </c>
      <c r="D6">
        <v>0.94</v>
      </c>
      <c r="F6">
        <v>0.5</v>
      </c>
      <c r="G6">
        <f t="shared" si="0"/>
        <v>0</v>
      </c>
      <c r="H6">
        <f t="shared" si="1"/>
        <v>1</v>
      </c>
      <c r="I6">
        <f t="shared" ca="1" si="2"/>
        <v>0</v>
      </c>
      <c r="J6">
        <f t="shared" ca="1" si="3"/>
        <v>-3.0459207484708574E-2</v>
      </c>
      <c r="K6">
        <f t="shared" ca="1" si="4"/>
        <v>-1.5229603742354287E-2</v>
      </c>
      <c r="L6">
        <f t="shared" ca="1" si="5"/>
        <v>0.98488578017961048</v>
      </c>
      <c r="M6">
        <f t="shared" ca="1" si="6"/>
        <v>0</v>
      </c>
      <c r="N6">
        <f t="shared" ca="1" si="7"/>
        <v>9.9500000000000005E-3</v>
      </c>
      <c r="O6">
        <f t="shared" ca="1" si="8"/>
        <v>4.9750000000000003E-3</v>
      </c>
      <c r="P6">
        <f ca="1">EXP(-dt*SUM(O$4:O6))</f>
        <v>0.9968954540999877</v>
      </c>
      <c r="S6">
        <v>0.1</v>
      </c>
    </row>
    <row r="7" spans="2:19" x14ac:dyDescent="0.25">
      <c r="B7" t="s">
        <v>3</v>
      </c>
      <c r="C7">
        <v>2.579E-2</v>
      </c>
      <c r="D7">
        <v>0.92</v>
      </c>
      <c r="F7">
        <v>0.75</v>
      </c>
      <c r="G7">
        <f t="shared" si="0"/>
        <v>0</v>
      </c>
      <c r="H7">
        <f t="shared" si="1"/>
        <v>1</v>
      </c>
      <c r="I7">
        <f t="shared" ca="1" si="2"/>
        <v>0</v>
      </c>
      <c r="J7">
        <f t="shared" ca="1" si="3"/>
        <v>-3.0459207484708574E-2</v>
      </c>
      <c r="K7">
        <f t="shared" ca="1" si="4"/>
        <v>-7.6148018711771435E-3</v>
      </c>
      <c r="L7">
        <f t="shared" ca="1" si="5"/>
        <v>0.99241411728149576</v>
      </c>
      <c r="M7">
        <f t="shared" ca="1" si="6"/>
        <v>0</v>
      </c>
      <c r="N7">
        <f t="shared" ca="1" si="7"/>
        <v>9.9500000000000005E-3</v>
      </c>
      <c r="O7">
        <f t="shared" ca="1" si="8"/>
        <v>2.4875000000000001E-3</v>
      </c>
      <c r="P7">
        <f ca="1">EXP(-dt*SUM(O$4:O7))</f>
        <v>0.99627570246346675</v>
      </c>
      <c r="S7">
        <v>0.1</v>
      </c>
    </row>
    <row r="8" spans="2:19" x14ac:dyDescent="0.25">
      <c r="F8">
        <v>1</v>
      </c>
      <c r="G8">
        <f t="shared" si="0"/>
        <v>1</v>
      </c>
      <c r="H8">
        <f t="shared" si="1"/>
        <v>1</v>
      </c>
      <c r="I8">
        <f t="shared" ca="1" si="2"/>
        <v>-3.0459207484708574E-2</v>
      </c>
      <c r="J8">
        <f t="shared" ca="1" si="3"/>
        <v>-3.0459207484708574E-2</v>
      </c>
      <c r="K8">
        <f t="shared" ca="1" si="4"/>
        <v>-3.0459207484708574E-2</v>
      </c>
      <c r="L8">
        <f t="shared" ca="1" si="5"/>
        <v>0.97</v>
      </c>
      <c r="M8">
        <f t="shared" ca="1" si="6"/>
        <v>9.9500000000000005E-3</v>
      </c>
      <c r="N8">
        <f t="shared" ca="1" si="7"/>
        <v>9.9500000000000005E-3</v>
      </c>
      <c r="O8">
        <f t="shared" ca="1" si="8"/>
        <v>9.9500000000000005E-3</v>
      </c>
      <c r="P8">
        <f ca="1">EXP(-dt*SUM(O$4:O8))</f>
        <v>0.99380054640522075</v>
      </c>
      <c r="S8">
        <v>0.1</v>
      </c>
    </row>
    <row r="9" spans="2:19" x14ac:dyDescent="0.25">
      <c r="F9">
        <v>1.25</v>
      </c>
      <c r="G9">
        <f t="shared" si="0"/>
        <v>1</v>
      </c>
      <c r="H9">
        <f t="shared" si="1"/>
        <v>2</v>
      </c>
      <c r="I9">
        <f t="shared" ca="1" si="2"/>
        <v>-3.0459207484708574E-2</v>
      </c>
      <c r="J9">
        <f t="shared" ca="1" si="3"/>
        <v>-6.1875403718087529E-2</v>
      </c>
      <c r="K9">
        <f t="shared" ca="1" si="4"/>
        <v>-5.4021354659742789E-2</v>
      </c>
      <c r="L9">
        <f t="shared" ca="1" si="5"/>
        <v>0.94741187462755772</v>
      </c>
      <c r="M9">
        <f t="shared" ca="1" si="6"/>
        <v>9.9500000000000005E-3</v>
      </c>
      <c r="N9">
        <f t="shared" ca="1" si="7"/>
        <v>2.087E-2</v>
      </c>
      <c r="O9">
        <f t="shared" ca="1" si="8"/>
        <v>1.814E-2</v>
      </c>
      <c r="P9">
        <f ca="1">EXP(-dt*SUM(O$4:O9))</f>
        <v>0.98930386485932287</v>
      </c>
      <c r="S9">
        <v>0.1</v>
      </c>
    </row>
    <row r="10" spans="2:19" x14ac:dyDescent="0.25">
      <c r="B10" s="1" t="s">
        <v>8</v>
      </c>
      <c r="F10">
        <v>1.5</v>
      </c>
      <c r="G10">
        <f t="shared" si="0"/>
        <v>1</v>
      </c>
      <c r="H10">
        <f t="shared" si="1"/>
        <v>2</v>
      </c>
      <c r="I10">
        <f t="shared" ca="1" si="2"/>
        <v>-3.0459207484708574E-2</v>
      </c>
      <c r="J10">
        <f t="shared" ca="1" si="3"/>
        <v>-6.1875403718087529E-2</v>
      </c>
      <c r="K10">
        <f t="shared" ca="1" si="4"/>
        <v>-4.6167305601398048E-2</v>
      </c>
      <c r="L10">
        <f t="shared" ca="1" si="5"/>
        <v>0.9548821916864928</v>
      </c>
      <c r="M10">
        <f t="shared" ca="1" si="6"/>
        <v>9.9500000000000005E-3</v>
      </c>
      <c r="N10">
        <f t="shared" ca="1" si="7"/>
        <v>2.087E-2</v>
      </c>
      <c r="O10">
        <f t="shared" ca="1" si="8"/>
        <v>1.541E-2</v>
      </c>
      <c r="P10">
        <f ca="1">EXP(-dt*SUM(O$4:O10))</f>
        <v>0.98549990380472108</v>
      </c>
      <c r="S10">
        <v>0.1</v>
      </c>
    </row>
    <row r="11" spans="2:19" x14ac:dyDescent="0.25">
      <c r="B11" t="s">
        <v>9</v>
      </c>
      <c r="C11">
        <v>0.4</v>
      </c>
      <c r="F11">
        <v>1.75</v>
      </c>
      <c r="G11">
        <f t="shared" si="0"/>
        <v>1</v>
      </c>
      <c r="H11">
        <f t="shared" si="1"/>
        <v>2</v>
      </c>
      <c r="I11">
        <f t="shared" ca="1" si="2"/>
        <v>-3.0459207484708574E-2</v>
      </c>
      <c r="J11">
        <f t="shared" ca="1" si="3"/>
        <v>-6.1875403718087529E-2</v>
      </c>
      <c r="K11">
        <f t="shared" ca="1" si="4"/>
        <v>-3.8313256543053315E-2</v>
      </c>
      <c r="L11">
        <f t="shared" ca="1" si="5"/>
        <v>0.96241141199379898</v>
      </c>
      <c r="M11">
        <f t="shared" ca="1" si="6"/>
        <v>9.9500000000000005E-3</v>
      </c>
      <c r="N11">
        <f t="shared" ca="1" si="7"/>
        <v>2.087E-2</v>
      </c>
      <c r="O11">
        <f t="shared" ca="1" si="8"/>
        <v>1.268E-2</v>
      </c>
      <c r="P11">
        <f ca="1">EXP(-dt*SUM(O$4:O11))</f>
        <v>0.98238081547661027</v>
      </c>
      <c r="S11">
        <v>0.1</v>
      </c>
    </row>
    <row r="12" spans="2:19" x14ac:dyDescent="0.25">
      <c r="B12" t="s">
        <v>18</v>
      </c>
      <c r="C12">
        <v>1</v>
      </c>
      <c r="F12">
        <v>2</v>
      </c>
      <c r="G12">
        <f t="shared" si="0"/>
        <v>2</v>
      </c>
      <c r="H12">
        <f t="shared" si="1"/>
        <v>2</v>
      </c>
      <c r="I12">
        <f t="shared" ca="1" si="2"/>
        <v>-6.1875403718087529E-2</v>
      </c>
      <c r="J12">
        <f t="shared" ca="1" si="3"/>
        <v>-6.1875403718087529E-2</v>
      </c>
      <c r="K12">
        <f t="shared" ca="1" si="4"/>
        <v>-6.1875403718087529E-2</v>
      </c>
      <c r="L12">
        <f t="shared" ca="1" si="5"/>
        <v>0.94</v>
      </c>
      <c r="M12">
        <f t="shared" ca="1" si="6"/>
        <v>2.087E-2</v>
      </c>
      <c r="N12">
        <f t="shared" ca="1" si="7"/>
        <v>2.087E-2</v>
      </c>
      <c r="O12">
        <f t="shared" ca="1" si="8"/>
        <v>2.087E-2</v>
      </c>
      <c r="P12">
        <f ca="1">EXP(-dt*SUM(O$4:O12))</f>
        <v>0.97726859168288782</v>
      </c>
      <c r="S12">
        <v>0.1</v>
      </c>
    </row>
    <row r="13" spans="2:19" x14ac:dyDescent="0.25">
      <c r="B13" t="s">
        <v>19</v>
      </c>
      <c r="C13">
        <v>0.25</v>
      </c>
      <c r="F13">
        <v>2.25</v>
      </c>
      <c r="G13">
        <f t="shared" si="0"/>
        <v>2</v>
      </c>
      <c r="H13">
        <f t="shared" si="1"/>
        <v>3</v>
      </c>
      <c r="I13">
        <f t="shared" ca="1" si="2"/>
        <v>-6.1875403718087529E-2</v>
      </c>
      <c r="J13">
        <f t="shared" ca="1" si="3"/>
        <v>-8.3381608939051013E-2</v>
      </c>
      <c r="K13">
        <f t="shared" ca="1" si="4"/>
        <v>-7.8005057633810146E-2</v>
      </c>
      <c r="L13">
        <f t="shared" ca="1" si="5"/>
        <v>0.92495974842401252</v>
      </c>
      <c r="M13">
        <f t="shared" ca="1" si="6"/>
        <v>2.087E-2</v>
      </c>
      <c r="N13">
        <f t="shared" ca="1" si="7"/>
        <v>2.579E-2</v>
      </c>
      <c r="O13">
        <f t="shared" ca="1" si="8"/>
        <v>2.4559999999999998E-2</v>
      </c>
      <c r="P13">
        <f ca="1">EXP(-dt*SUM(O$4:O13))</f>
        <v>0.97128654620295996</v>
      </c>
      <c r="S13">
        <v>0.1</v>
      </c>
    </row>
    <row r="14" spans="2:19" x14ac:dyDescent="0.25">
      <c r="F14">
        <v>2.5</v>
      </c>
      <c r="G14">
        <f t="shared" si="0"/>
        <v>2</v>
      </c>
      <c r="H14">
        <f t="shared" si="1"/>
        <v>3</v>
      </c>
      <c r="I14">
        <f t="shared" ca="1" si="2"/>
        <v>-6.1875403718087529E-2</v>
      </c>
      <c r="J14">
        <f t="shared" ca="1" si="3"/>
        <v>-8.3381608939051013E-2</v>
      </c>
      <c r="K14">
        <f t="shared" ca="1" si="4"/>
        <v>-7.2628506328569264E-2</v>
      </c>
      <c r="L14">
        <f t="shared" ca="1" si="5"/>
        <v>0.92994623500501361</v>
      </c>
      <c r="M14">
        <f t="shared" ca="1" si="6"/>
        <v>2.087E-2</v>
      </c>
      <c r="N14">
        <f t="shared" ca="1" si="7"/>
        <v>2.579E-2</v>
      </c>
      <c r="O14">
        <f t="shared" ca="1" si="8"/>
        <v>2.333E-2</v>
      </c>
      <c r="P14">
        <f ca="1">EXP(-dt*SUM(O$4:O14))</f>
        <v>0.9656380059903138</v>
      </c>
      <c r="S14">
        <v>0.1</v>
      </c>
    </row>
    <row r="15" spans="2:19" x14ac:dyDescent="0.25">
      <c r="F15">
        <v>2.75</v>
      </c>
      <c r="G15">
        <f t="shared" si="0"/>
        <v>2</v>
      </c>
      <c r="H15">
        <f t="shared" si="1"/>
        <v>3</v>
      </c>
      <c r="I15">
        <f t="shared" ca="1" si="2"/>
        <v>-6.1875403718087529E-2</v>
      </c>
      <c r="J15">
        <f t="shared" ca="1" si="3"/>
        <v>-8.3381608939051013E-2</v>
      </c>
      <c r="K15">
        <f t="shared" ca="1" si="4"/>
        <v>-6.7251955023328397E-2</v>
      </c>
      <c r="L15">
        <f t="shared" ca="1" si="5"/>
        <v>0.93495960388923371</v>
      </c>
      <c r="M15">
        <f t="shared" ca="1" si="6"/>
        <v>2.087E-2</v>
      </c>
      <c r="N15">
        <f t="shared" ca="1" si="7"/>
        <v>2.579E-2</v>
      </c>
      <c r="O15">
        <f t="shared" ca="1" si="8"/>
        <v>2.2100000000000002E-2</v>
      </c>
      <c r="P15">
        <f ca="1">EXP(-dt*SUM(O$4:O15))</f>
        <v>0.96031756725336437</v>
      </c>
      <c r="S15">
        <v>0.1</v>
      </c>
    </row>
    <row r="16" spans="2:19" x14ac:dyDescent="0.25">
      <c r="F16">
        <v>3</v>
      </c>
      <c r="G16">
        <f t="shared" si="0"/>
        <v>3</v>
      </c>
      <c r="H16">
        <f t="shared" si="1"/>
        <v>3</v>
      </c>
      <c r="I16">
        <f t="shared" ca="1" si="2"/>
        <v>-8.3381608939051013E-2</v>
      </c>
      <c r="J16">
        <f t="shared" ca="1" si="3"/>
        <v>-8.3381608939051013E-2</v>
      </c>
      <c r="K16">
        <f t="shared" ca="1" si="4"/>
        <v>-8.3381608939051013E-2</v>
      </c>
      <c r="L16">
        <f t="shared" ca="1" si="5"/>
        <v>0.92</v>
      </c>
      <c r="M16">
        <f t="shared" ca="1" si="6"/>
        <v>2.579E-2</v>
      </c>
      <c r="N16">
        <f t="shared" ca="1" si="7"/>
        <v>2.579E-2</v>
      </c>
      <c r="O16">
        <f t="shared" ca="1" si="8"/>
        <v>2.579E-2</v>
      </c>
      <c r="P16">
        <f ca="1">EXP(-dt*SUM(O$4:O16))</f>
        <v>0.95414583723316937</v>
      </c>
      <c r="S16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1 price CDS</vt:lpstr>
      <vt:lpstr>Sheet2</vt:lpstr>
      <vt:lpstr>Sheet3</vt:lpstr>
      <vt:lpstr>dt</vt:lpstr>
      <vt:lpstr>N</vt:lpstr>
      <vt:lpstr>RR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Ran</dc:creator>
  <cp:lastModifiedBy>Zhao, Ran</cp:lastModifiedBy>
  <dcterms:created xsi:type="dcterms:W3CDTF">2016-07-19T22:44:22Z</dcterms:created>
  <dcterms:modified xsi:type="dcterms:W3CDTF">2016-07-19T23:32:04Z</dcterms:modified>
</cp:coreProperties>
</file>