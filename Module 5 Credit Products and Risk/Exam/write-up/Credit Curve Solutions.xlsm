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QF\Module 5 Credit Products and Risk\Exam\write-up\"/>
    </mc:Choice>
  </mc:AlternateContent>
  <bookViews>
    <workbookView xWindow="480" yWindow="120" windowWidth="27798" windowHeight="12588"/>
  </bookViews>
  <sheets>
    <sheet name="1 price CDS" sheetId="1" r:id="rId1"/>
    <sheet name="2 bootstrap PrSurv" sheetId="2" r:id="rId2"/>
    <sheet name="3 hazard rate" sheetId="3" r:id="rId3"/>
  </sheets>
  <definedNames>
    <definedName name="d_t">'2 bootstrap PrSurv'!$C$14</definedName>
    <definedName name="dt">'1 price CDS'!$C$13</definedName>
    <definedName name="N">'1 price CDS'!$C$12</definedName>
    <definedName name="rfr">'2 bootstrap PrSurv'!$C$13</definedName>
    <definedName name="RR">'1 price CDS'!$C$11</definedName>
    <definedName name="solver_adj" localSheetId="0" hidden="1">'1 price CDS'!$S$5:$S$16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'1 price CDS'!$R$18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1027" calcOnSave="0"/>
  <fileRecoveryPr repairLoad="1"/>
</workbook>
</file>

<file path=xl/calcChain.xml><?xml version="1.0" encoding="utf-8"?>
<calcChain xmlns="http://schemas.openxmlformats.org/spreadsheetml/2006/main">
  <c r="I54" i="3" l="1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B9" i="3"/>
  <c r="I8" i="3"/>
  <c r="B8" i="3"/>
  <c r="I7" i="3"/>
  <c r="B7" i="3"/>
  <c r="I6" i="3"/>
  <c r="B6" i="3"/>
  <c r="I5" i="3"/>
  <c r="J5" i="3" s="1"/>
  <c r="K5" i="3" s="1"/>
  <c r="D5" i="3"/>
  <c r="B5" i="3"/>
  <c r="I4" i="3"/>
  <c r="D4" i="3"/>
  <c r="C4" i="3"/>
  <c r="B4" i="3"/>
  <c r="F9" i="2"/>
  <c r="C9" i="3" s="1"/>
  <c r="F8" i="2"/>
  <c r="C8" i="3" s="1"/>
  <c r="F7" i="2"/>
  <c r="C7" i="3" s="1"/>
  <c r="F6" i="2"/>
  <c r="C6" i="3" s="1"/>
  <c r="G5" i="2"/>
  <c r="F5" i="2"/>
  <c r="C5" i="3" s="1"/>
  <c r="M16" i="1"/>
  <c r="I16" i="1"/>
  <c r="H16" i="1"/>
  <c r="G16" i="1"/>
  <c r="M15" i="1"/>
  <c r="J15" i="1"/>
  <c r="I15" i="1"/>
  <c r="H15" i="1"/>
  <c r="N15" i="1" s="1"/>
  <c r="G15" i="1"/>
  <c r="M14" i="1"/>
  <c r="I14" i="1"/>
  <c r="H14" i="1"/>
  <c r="G14" i="1"/>
  <c r="M13" i="1"/>
  <c r="J13" i="1"/>
  <c r="I13" i="1"/>
  <c r="H13" i="1"/>
  <c r="N13" i="1" s="1"/>
  <c r="G13" i="1"/>
  <c r="M12" i="1"/>
  <c r="I12" i="1"/>
  <c r="H12" i="1"/>
  <c r="G12" i="1"/>
  <c r="M11" i="1"/>
  <c r="J11" i="1"/>
  <c r="I11" i="1"/>
  <c r="H11" i="1"/>
  <c r="N11" i="1" s="1"/>
  <c r="G11" i="1"/>
  <c r="M10" i="1"/>
  <c r="I10" i="1"/>
  <c r="H10" i="1"/>
  <c r="G10" i="1"/>
  <c r="M9" i="1"/>
  <c r="J9" i="1"/>
  <c r="I9" i="1"/>
  <c r="H9" i="1"/>
  <c r="N9" i="1" s="1"/>
  <c r="G9" i="1"/>
  <c r="M8" i="1"/>
  <c r="I8" i="1"/>
  <c r="H8" i="1"/>
  <c r="G8" i="1"/>
  <c r="M7" i="1"/>
  <c r="J7" i="1"/>
  <c r="I7" i="1"/>
  <c r="H7" i="1"/>
  <c r="N7" i="1" s="1"/>
  <c r="G7" i="1"/>
  <c r="M6" i="1"/>
  <c r="I6" i="1"/>
  <c r="H6" i="1"/>
  <c r="G6" i="1"/>
  <c r="M5" i="1"/>
  <c r="J5" i="1"/>
  <c r="I5" i="1"/>
  <c r="H5" i="1"/>
  <c r="N5" i="1" s="1"/>
  <c r="G5" i="1"/>
  <c r="N4" i="1"/>
  <c r="J4" i="1"/>
  <c r="H4" i="1"/>
  <c r="G4" i="1"/>
  <c r="I4" i="1" s="1"/>
  <c r="E5" i="3" l="1"/>
  <c r="J15" i="3" s="1"/>
  <c r="K15" i="3" s="1"/>
  <c r="J10" i="3"/>
  <c r="K10" i="3" s="1"/>
  <c r="J6" i="3"/>
  <c r="K6" i="3" s="1"/>
  <c r="J13" i="3"/>
  <c r="K13" i="3" s="1"/>
  <c r="J9" i="3"/>
  <c r="K9" i="3" s="1"/>
  <c r="J17" i="3"/>
  <c r="K17" i="3" s="1"/>
  <c r="J12" i="3"/>
  <c r="K12" i="3" s="1"/>
  <c r="J11" i="3"/>
  <c r="K11" i="3" s="1"/>
  <c r="J4" i="3"/>
  <c r="K4" i="3" s="1"/>
  <c r="J7" i="3"/>
  <c r="K7" i="3" s="1"/>
  <c r="O9" i="1"/>
  <c r="K4" i="1"/>
  <c r="L4" i="1" s="1"/>
  <c r="O11" i="1"/>
  <c r="O13" i="1"/>
  <c r="O15" i="1"/>
  <c r="J19" i="3"/>
  <c r="K19" i="3" s="1"/>
  <c r="O5" i="1"/>
  <c r="O7" i="1"/>
  <c r="J20" i="3"/>
  <c r="K20" i="3" s="1"/>
  <c r="N6" i="1"/>
  <c r="O6" i="1" s="1"/>
  <c r="N8" i="1"/>
  <c r="O8" i="1" s="1"/>
  <c r="N10" i="1"/>
  <c r="O10" i="1" s="1"/>
  <c r="N12" i="1"/>
  <c r="O12" i="1" s="1"/>
  <c r="N14" i="1"/>
  <c r="O14" i="1" s="1"/>
  <c r="N16" i="1"/>
  <c r="O16" i="1" s="1"/>
  <c r="J8" i="3"/>
  <c r="K8" i="3" s="1"/>
  <c r="M4" i="1"/>
  <c r="K5" i="1"/>
  <c r="L5" i="1" s="1"/>
  <c r="K7" i="1"/>
  <c r="L7" i="1" s="1"/>
  <c r="K9" i="1"/>
  <c r="L9" i="1" s="1"/>
  <c r="K11" i="1"/>
  <c r="L11" i="1" s="1"/>
  <c r="K13" i="1"/>
  <c r="L13" i="1" s="1"/>
  <c r="K15" i="1"/>
  <c r="L15" i="1" s="1"/>
  <c r="G6" i="2"/>
  <c r="D6" i="3" s="1"/>
  <c r="E6" i="3" s="1"/>
  <c r="J29" i="3" s="1"/>
  <c r="K29" i="3" s="1"/>
  <c r="O4" i="1"/>
  <c r="J6" i="1"/>
  <c r="K6" i="1" s="1"/>
  <c r="L6" i="1" s="1"/>
  <c r="J8" i="1"/>
  <c r="K8" i="1" s="1"/>
  <c r="L8" i="1" s="1"/>
  <c r="J12" i="1"/>
  <c r="K12" i="1" s="1"/>
  <c r="L12" i="1" s="1"/>
  <c r="J14" i="1"/>
  <c r="K14" i="1" s="1"/>
  <c r="L14" i="1" s="1"/>
  <c r="J10" i="1"/>
  <c r="K10" i="1" s="1"/>
  <c r="L10" i="1" s="1"/>
  <c r="J16" i="1"/>
  <c r="K16" i="1" s="1"/>
  <c r="L16" i="1" s="1"/>
  <c r="J14" i="3"/>
  <c r="K14" i="3" s="1"/>
  <c r="J22" i="3"/>
  <c r="K22" i="3" s="1"/>
  <c r="J23" i="3" l="1"/>
  <c r="K23" i="3" s="1"/>
  <c r="J16" i="3"/>
  <c r="K16" i="3" s="1"/>
  <c r="J21" i="3"/>
  <c r="K21" i="3" s="1"/>
  <c r="J18" i="3"/>
  <c r="K18" i="3" s="1"/>
  <c r="P14" i="1"/>
  <c r="P15" i="1"/>
  <c r="P13" i="1"/>
  <c r="P11" i="1"/>
  <c r="P9" i="1"/>
  <c r="P7" i="1"/>
  <c r="P5" i="1"/>
  <c r="P12" i="1"/>
  <c r="P16" i="1"/>
  <c r="P4" i="1"/>
  <c r="P8" i="1"/>
  <c r="P10" i="1"/>
  <c r="P6" i="1"/>
  <c r="G7" i="2"/>
  <c r="G8" i="2" s="1"/>
  <c r="D8" i="3" s="1"/>
  <c r="J26" i="3"/>
  <c r="K26" i="3" s="1"/>
  <c r="J28" i="3"/>
  <c r="K28" i="3" s="1"/>
  <c r="J25" i="3"/>
  <c r="K25" i="3" s="1"/>
  <c r="J30" i="3"/>
  <c r="K30" i="3" s="1"/>
  <c r="J24" i="3"/>
  <c r="K24" i="3" s="1"/>
  <c r="J27" i="3"/>
  <c r="K27" i="3" s="1"/>
  <c r="J33" i="3"/>
  <c r="K33" i="3" s="1"/>
  <c r="J32" i="3"/>
  <c r="K32" i="3" s="1"/>
  <c r="J31" i="3"/>
  <c r="K31" i="3" s="1"/>
  <c r="R12" i="1" l="1"/>
  <c r="R5" i="1"/>
  <c r="Q6" i="1"/>
  <c r="R6" i="1"/>
  <c r="Q11" i="1"/>
  <c r="Q5" i="1"/>
  <c r="Q10" i="1"/>
  <c r="Q15" i="1"/>
  <c r="Q9" i="1"/>
  <c r="Q16" i="1"/>
  <c r="Q14" i="1"/>
  <c r="R8" i="1"/>
  <c r="Q13" i="1"/>
  <c r="R7" i="1"/>
  <c r="R14" i="1"/>
  <c r="R9" i="1"/>
  <c r="Q8" i="1"/>
  <c r="R16" i="1"/>
  <c r="R11" i="1"/>
  <c r="R10" i="1"/>
  <c r="D7" i="3"/>
  <c r="E7" i="3" s="1"/>
  <c r="G9" i="2"/>
  <c r="D9" i="3" s="1"/>
  <c r="E9" i="3" s="1"/>
  <c r="J54" i="3" s="1"/>
  <c r="K54" i="3" s="1"/>
  <c r="R13" i="1"/>
  <c r="Q7" i="1"/>
  <c r="R15" i="1"/>
  <c r="Q12" i="1"/>
  <c r="R18" i="1" l="1"/>
  <c r="J42" i="3"/>
  <c r="K42" i="3" s="1"/>
  <c r="J34" i="3"/>
  <c r="K34" i="3" s="1"/>
  <c r="J36" i="3"/>
  <c r="K36" i="3" s="1"/>
  <c r="J37" i="3"/>
  <c r="K37" i="3" s="1"/>
  <c r="J35" i="3"/>
  <c r="K35" i="3" s="1"/>
  <c r="J40" i="3"/>
  <c r="K40" i="3" s="1"/>
  <c r="J43" i="3"/>
  <c r="K43" i="3" s="1"/>
  <c r="J39" i="3"/>
  <c r="K39" i="3" s="1"/>
  <c r="J38" i="3"/>
  <c r="K38" i="3" s="1"/>
  <c r="J41" i="3"/>
  <c r="K41" i="3" s="1"/>
  <c r="E8" i="3"/>
  <c r="J51" i="3" l="1"/>
  <c r="K51" i="3" s="1"/>
  <c r="J48" i="3"/>
  <c r="K48" i="3" s="1"/>
  <c r="J45" i="3"/>
  <c r="K45" i="3" s="1"/>
  <c r="J52" i="3"/>
  <c r="K52" i="3" s="1"/>
  <c r="J53" i="3"/>
  <c r="K53" i="3" s="1"/>
  <c r="J49" i="3"/>
  <c r="K49" i="3" s="1"/>
  <c r="J50" i="3"/>
  <c r="K50" i="3" s="1"/>
  <c r="J46" i="3"/>
  <c r="K46" i="3" s="1"/>
  <c r="J47" i="3"/>
  <c r="K47" i="3" s="1"/>
  <c r="J44" i="3"/>
  <c r="K44" i="3" s="1"/>
</calcChain>
</file>

<file path=xl/sharedStrings.xml><?xml version="1.0" encoding="utf-8"?>
<sst xmlns="http://schemas.openxmlformats.org/spreadsheetml/2006/main" count="60" uniqueCount="42">
  <si>
    <t>T</t>
  </si>
  <si>
    <t>1Y</t>
  </si>
  <si>
    <t>2Y</t>
  </si>
  <si>
    <t>3Y</t>
  </si>
  <si>
    <t>lambda</t>
  </si>
  <si>
    <t>DF</t>
  </si>
  <si>
    <t>Given in context</t>
  </si>
  <si>
    <t>Workplace</t>
  </si>
  <si>
    <t>Assumptions</t>
  </si>
  <si>
    <t>RR</t>
  </si>
  <si>
    <t>tau_i</t>
  </si>
  <si>
    <t>tau_{i+1}</t>
  </si>
  <si>
    <t>log DF(0, tau_i)</t>
  </si>
  <si>
    <t>log DF(tau_{i+1})</t>
  </si>
  <si>
    <t>0Y</t>
  </si>
  <si>
    <t>log DF(tau)</t>
  </si>
  <si>
    <t>PL</t>
  </si>
  <si>
    <t>DL</t>
  </si>
  <si>
    <t>N</t>
  </si>
  <si>
    <t>dt</t>
  </si>
  <si>
    <t>lambda(tau_i)</t>
  </si>
  <si>
    <t>lambda(tau_{i+1})</t>
  </si>
  <si>
    <t>Credit Sprad</t>
  </si>
  <si>
    <t>P(tau)</t>
  </si>
  <si>
    <t>lambda(tau)</t>
  </si>
  <si>
    <t>Diff</t>
  </si>
  <si>
    <t>Minimize R18 to equalize PL and DL</t>
  </si>
  <si>
    <t>CDS DB</t>
  </si>
  <si>
    <t>4Y</t>
  </si>
  <si>
    <t>5Y</t>
  </si>
  <si>
    <t>rfr</t>
  </si>
  <si>
    <t>d_t</t>
  </si>
  <si>
    <t>P(T_i)</t>
  </si>
  <si>
    <t>P(T_1)</t>
  </si>
  <si>
    <t>P(T_2)</t>
  </si>
  <si>
    <t>P(T_3)</t>
  </si>
  <si>
    <t>P(T_4)</t>
  </si>
  <si>
    <t>P(T_5)</t>
  </si>
  <si>
    <t>P(T_0)</t>
  </si>
  <si>
    <t>Year</t>
  </si>
  <si>
    <t>Hazard Rate</t>
  </si>
  <si>
    <t>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</si>
</sst>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Exponential PDF on Hazard</a:t>
            </a:r>
            <a:r>
              <a:rPr lang="en-US" baseline="0"/>
              <a:t> Rates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 hazard rate'!$K$3</c:f>
              <c:strCache>
                <c:ptCount val="1"/>
                <c:pt idx="0">
                  <c:v>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'3 hazard rate'!$H$4:$H$54</c:f>
              <c:numCache>
                <c:formatCode>General</c:formatCode>
                <c:ptCount val="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</c:numCache>
            </c:numRef>
          </c:cat>
          <c:val>
            <c:numRef>
              <c:f>'3 hazard rate'!$K$4:$K$54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2.281288439208418E-2</c:v>
                </c:pt>
                <c:pt idx="11">
                  <c:v>2.2759674177588566E-2</c:v>
                </c:pt>
                <c:pt idx="12">
                  <c:v>2.2706588073962846E-2</c:v>
                </c:pt>
                <c:pt idx="13">
                  <c:v>2.2653625791722972E-2</c:v>
                </c:pt>
                <c:pt idx="14">
                  <c:v>2.2600787042060116E-2</c:v>
                </c:pt>
                <c:pt idx="15">
                  <c:v>2.2548071536839083E-2</c:v>
                </c:pt>
                <c:pt idx="16">
                  <c:v>2.2495478988596742E-2</c:v>
                </c:pt>
                <c:pt idx="17">
                  <c:v>2.2443009110540455E-2</c:v>
                </c:pt>
                <c:pt idx="18">
                  <c:v>2.2390661616546521E-2</c:v>
                </c:pt>
                <c:pt idx="19">
                  <c:v>2.2338436221158615E-2</c:v>
                </c:pt>
                <c:pt idx="20">
                  <c:v>2.9277263496203784E-2</c:v>
                </c:pt>
                <c:pt idx="21">
                  <c:v>2.9186177916361699E-2</c:v>
                </c:pt>
                <c:pt idx="22">
                  <c:v>2.9095375716243828E-2</c:v>
                </c:pt>
                <c:pt idx="23">
                  <c:v>2.9004856014216998E-2</c:v>
                </c:pt>
                <c:pt idx="24">
                  <c:v>2.8914617931390926E-2</c:v>
                </c:pt>
                <c:pt idx="25">
                  <c:v>2.8824660591609683E-2</c:v>
                </c:pt>
                <c:pt idx="26">
                  <c:v>2.8734983121443167E-2</c:v>
                </c:pt>
                <c:pt idx="27">
                  <c:v>2.8645584650178649E-2</c:v>
                </c:pt>
                <c:pt idx="28">
                  <c:v>2.8556464309812301E-2</c:v>
                </c:pt>
                <c:pt idx="29">
                  <c:v>2.8467621235040767E-2</c:v>
                </c:pt>
                <c:pt idx="30">
                  <c:v>3.0061732036873033E-2</c:v>
                </c:pt>
                <c:pt idx="31">
                  <c:v>2.996205908460961E-2</c:v>
                </c:pt>
                <c:pt idx="32">
                  <c:v>2.9862716608893603E-2</c:v>
                </c:pt>
                <c:pt idx="33">
                  <c:v>2.9763703513993971E-2</c:v>
                </c:pt>
                <c:pt idx="34">
                  <c:v>2.9665018707812674E-2</c:v>
                </c:pt>
                <c:pt idx="35">
                  <c:v>2.9566661101872654E-2</c:v>
                </c:pt>
                <c:pt idx="36">
                  <c:v>2.9468629611305811E-2</c:v>
                </c:pt>
                <c:pt idx="37">
                  <c:v>2.9370923154841046E-2</c:v>
                </c:pt>
                <c:pt idx="38">
                  <c:v>2.9273540654792339E-2</c:v>
                </c:pt>
                <c:pt idx="39">
                  <c:v>2.9176481037046845E-2</c:v>
                </c:pt>
                <c:pt idx="40">
                  <c:v>3.2062390603262811E-2</c:v>
                </c:pt>
                <c:pt idx="41">
                  <c:v>3.1943315655215319E-2</c:v>
                </c:pt>
                <c:pt idx="42">
                  <c:v>3.1824682933807372E-2</c:v>
                </c:pt>
                <c:pt idx="43">
                  <c:v>3.1706490796675042E-2</c:v>
                </c:pt>
                <c:pt idx="44">
                  <c:v>3.1588737607553888E-2</c:v>
                </c:pt>
                <c:pt idx="45">
                  <c:v>3.1471421736256298E-2</c:v>
                </c:pt>
                <c:pt idx="46">
                  <c:v>3.1354541558648953E-2</c:v>
                </c:pt>
                <c:pt idx="47">
                  <c:v>3.1238095456630303E-2</c:v>
                </c:pt>
                <c:pt idx="48">
                  <c:v>3.1122081818108212E-2</c:v>
                </c:pt>
                <c:pt idx="49">
                  <c:v>3.1006499036977601E-2</c:v>
                </c:pt>
                <c:pt idx="50">
                  <c:v>3.0926940927400014E-2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61-4EF9-8BEA-EAFC3A267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170928"/>
        <c:axId val="486170600"/>
      </c:lineChart>
      <c:catAx>
        <c:axId val="48617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8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70600"/>
        <c:crosses val="autoZero"/>
        <c:auto val="1"/>
        <c:lblAlgn val="ctr"/>
        <c:lblOffset val="100"/>
        <c:noMultiLvlLbl val="0"/>
      </c:catAx>
      <c:valAx>
        <c:axId val="48617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7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3810</xdr:rowOff>
    </xdr:from>
    <xdr:to>
      <xdr:col>19</xdr:col>
      <xdr:colOff>91440</xdr:colOff>
      <xdr:row>17</xdr:row>
      <xdr:rowOff>3810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36"/>
  <sheetViews>
    <sheetView tabSelected="1" workbookViewId="0">
      <selection activeCell="H18" sqref="H18"/>
    </sheetView>
  </sheetViews>
  <sheetFormatPr defaultRowHeight="14.4" x14ac:dyDescent="0.55000000000000004"/>
  <sheetData>
    <row r="2" spans="2:19" x14ac:dyDescent="0.55000000000000004">
      <c r="B2" s="1" t="s">
        <v>6</v>
      </c>
      <c r="F2" s="1" t="s">
        <v>7</v>
      </c>
    </row>
    <row r="3" spans="2:19" x14ac:dyDescent="0.55000000000000004">
      <c r="B3" t="s">
        <v>0</v>
      </c>
      <c r="C3" t="s">
        <v>4</v>
      </c>
      <c r="D3" t="s">
        <v>5</v>
      </c>
      <c r="F3" t="s">
        <v>0</v>
      </c>
      <c r="G3" t="s">
        <v>10</v>
      </c>
      <c r="H3" t="s">
        <v>11</v>
      </c>
      <c r="I3" t="s">
        <v>12</v>
      </c>
      <c r="J3" t="s">
        <v>13</v>
      </c>
      <c r="K3" t="s">
        <v>15</v>
      </c>
      <c r="L3" t="s">
        <v>5</v>
      </c>
      <c r="M3" t="s">
        <v>20</v>
      </c>
      <c r="N3" t="s">
        <v>21</v>
      </c>
      <c r="O3" t="s">
        <v>24</v>
      </c>
      <c r="P3" t="s">
        <v>23</v>
      </c>
      <c r="Q3" t="s">
        <v>16</v>
      </c>
      <c r="R3" t="s">
        <v>17</v>
      </c>
      <c r="S3" t="s">
        <v>22</v>
      </c>
    </row>
    <row r="4" spans="2:19" x14ac:dyDescent="0.55000000000000004">
      <c r="B4" t="s">
        <v>14</v>
      </c>
      <c r="C4">
        <v>0</v>
      </c>
      <c r="D4">
        <v>1</v>
      </c>
      <c r="F4">
        <v>0</v>
      </c>
      <c r="G4">
        <f>FLOOR(F4,1)</f>
        <v>0</v>
      </c>
      <c r="H4">
        <f>CEILING(F4,1)</f>
        <v>0</v>
      </c>
      <c r="I4">
        <f ca="1">LN(OFFSET($D$4,$G4,0))</f>
        <v>0</v>
      </c>
      <c r="J4">
        <f ca="1">LN(OFFSET($D$4,$H4,0))</f>
        <v>0</v>
      </c>
      <c r="K4">
        <f ca="1">IFERROR((F4-G4)/(H4-G4)*I4+(H4-F4)/(H4-G4)*J4,I4)</f>
        <v>0</v>
      </c>
      <c r="L4">
        <f ca="1">EXP(K4)</f>
        <v>1</v>
      </c>
      <c r="M4">
        <f ca="1">OFFSET($C$4,$G4,0)</f>
        <v>0</v>
      </c>
      <c r="N4">
        <f ca="1">OFFSET($C$4,$H4,0)</f>
        <v>0</v>
      </c>
      <c r="O4">
        <f ca="1">IFERROR((F4-G4)/(H4-G4)*M4+(H4-F4)/(H4-G4)*N4,M4)</f>
        <v>0</v>
      </c>
      <c r="P4">
        <f ca="1">EXP(-dt*SUM(O$4:O4))</f>
        <v>1</v>
      </c>
      <c r="Q4" s="2"/>
      <c r="R4" s="2"/>
      <c r="S4" s="2"/>
    </row>
    <row r="5" spans="2:19" x14ac:dyDescent="0.55000000000000004">
      <c r="B5" t="s">
        <v>1</v>
      </c>
      <c r="C5">
        <v>9.9500000000000005E-3</v>
      </c>
      <c r="D5">
        <v>0.97</v>
      </c>
      <c r="F5">
        <v>0.25</v>
      </c>
      <c r="G5">
        <f t="shared" ref="G5:G16" si="0">FLOOR(F5,1)</f>
        <v>0</v>
      </c>
      <c r="H5">
        <f t="shared" ref="H5:H16" si="1">CEILING(F5,1)</f>
        <v>1</v>
      </c>
      <c r="I5">
        <f t="shared" ref="I5:I16" ca="1" si="2">LN(OFFSET($D$4,$G5,0))</f>
        <v>0</v>
      </c>
      <c r="J5">
        <f t="shared" ref="J5:J16" ca="1" si="3">LN(OFFSET($D$4,$H5,0))</f>
        <v>-3.0459207484708574E-2</v>
      </c>
      <c r="K5">
        <f t="shared" ref="K5:K16" ca="1" si="4">IFERROR((F5-G5)/(H5-G5)*I5+(H5-F5)/(H5-G5)*J5,I5)</f>
        <v>-2.2844405613531432E-2</v>
      </c>
      <c r="L5">
        <f t="shared" ref="L5:L16" ca="1" si="5">EXP(K5)</f>
        <v>0.97741455216004536</v>
      </c>
      <c r="M5">
        <f t="shared" ref="M5:M16" ca="1" si="6">OFFSET($C$4,$G5,0)</f>
        <v>0</v>
      </c>
      <c r="N5">
        <f t="shared" ref="N5:N16" ca="1" si="7">OFFSET($C$4,$H5,0)</f>
        <v>9.9500000000000005E-3</v>
      </c>
      <c r="O5">
        <f t="shared" ref="O5:O16" ca="1" si="8">IFERROR((F5-G5)/(H5-G5)*M5+(H5-F5)/(H5-G5)*N5,M5)</f>
        <v>7.4625000000000004E-3</v>
      </c>
      <c r="P5">
        <f ca="1">EXP(-dt*SUM(O$4:O5))</f>
        <v>0.99813611419658932</v>
      </c>
      <c r="Q5">
        <f ca="1">S5*SUMPRODUCT(L$5:L5,P$5:P5)*0.5*dt+S5*SUMPRODUCT(L$5:L5,P$4:P4)*0.5*dt</f>
        <v>1.0930733804776611E-3</v>
      </c>
      <c r="R5">
        <f ca="1">(1-RR)*SUMPRODUCT(L$5:L5,P$4:P4)-(1-RR)*SUMPRODUCT(L$5:L5,P$5:P5)</f>
        <v>1.0930734646908968E-3</v>
      </c>
      <c r="S5">
        <v>4.4774983563596327E-3</v>
      </c>
    </row>
    <row r="6" spans="2:19" x14ac:dyDescent="0.55000000000000004">
      <c r="B6" t="s">
        <v>2</v>
      </c>
      <c r="C6">
        <v>2.087E-2</v>
      </c>
      <c r="D6">
        <v>0.94</v>
      </c>
      <c r="F6">
        <v>0.5</v>
      </c>
      <c r="G6">
        <f t="shared" si="0"/>
        <v>0</v>
      </c>
      <c r="H6">
        <f t="shared" si="1"/>
        <v>1</v>
      </c>
      <c r="I6">
        <f t="shared" ca="1" si="2"/>
        <v>0</v>
      </c>
      <c r="J6">
        <f t="shared" ca="1" si="3"/>
        <v>-3.0459207484708574E-2</v>
      </c>
      <c r="K6">
        <f t="shared" ca="1" si="4"/>
        <v>-1.5229603742354287E-2</v>
      </c>
      <c r="L6">
        <f t="shared" ca="1" si="5"/>
        <v>0.98488578017961048</v>
      </c>
      <c r="M6">
        <f t="shared" ca="1" si="6"/>
        <v>0</v>
      </c>
      <c r="N6">
        <f t="shared" ca="1" si="7"/>
        <v>9.9500000000000005E-3</v>
      </c>
      <c r="O6">
        <f t="shared" ca="1" si="8"/>
        <v>4.9750000000000003E-3</v>
      </c>
      <c r="P6">
        <f ca="1">EXP(-dt*SUM(O$4:O6))</f>
        <v>0.9968954540999877</v>
      </c>
      <c r="Q6">
        <f ca="1">S6*SUMPRODUCT(L$5:L6,P$5:P6)*0.5*dt+S6*SUMPRODUCT(L$5:L6,P$4:P5)*0.5*dt</f>
        <v>1.8262182634373935E-3</v>
      </c>
      <c r="R6">
        <f ca="1">(1-RR)*SUMPRODUCT(L$5:L6,P$4:P5)-(1-RR)*SUMPRODUCT(L$5:L6,P$5:P6)</f>
        <v>1.8262185569983824E-3</v>
      </c>
      <c r="S6">
        <v>3.728987477149461E-3</v>
      </c>
    </row>
    <row r="7" spans="2:19" x14ac:dyDescent="0.55000000000000004">
      <c r="B7" t="s">
        <v>3</v>
      </c>
      <c r="C7">
        <v>2.579E-2</v>
      </c>
      <c r="D7">
        <v>0.92</v>
      </c>
      <c r="F7">
        <v>0.75</v>
      </c>
      <c r="G7">
        <f t="shared" si="0"/>
        <v>0</v>
      </c>
      <c r="H7">
        <f t="shared" si="1"/>
        <v>1</v>
      </c>
      <c r="I7">
        <f t="shared" ca="1" si="2"/>
        <v>0</v>
      </c>
      <c r="J7">
        <f t="shared" ca="1" si="3"/>
        <v>-3.0459207484708574E-2</v>
      </c>
      <c r="K7">
        <f t="shared" ca="1" si="4"/>
        <v>-7.6148018711771435E-3</v>
      </c>
      <c r="L7">
        <f t="shared" ca="1" si="5"/>
        <v>0.99241411728149576</v>
      </c>
      <c r="M7">
        <f t="shared" ca="1" si="6"/>
        <v>0</v>
      </c>
      <c r="N7">
        <f t="shared" ca="1" si="7"/>
        <v>9.9500000000000005E-3</v>
      </c>
      <c r="O7">
        <f t="shared" ca="1" si="8"/>
        <v>2.4875000000000001E-3</v>
      </c>
      <c r="P7">
        <f ca="1">EXP(-dt*SUM(O$4:O7))</f>
        <v>0.99627570246346675</v>
      </c>
      <c r="Q7">
        <f ca="1">S7*SUMPRODUCT(L$5:L7,P$5:P7)*0.5*dt+S7*SUMPRODUCT(L$5:L7,P$4:P6)*0.5*dt</f>
        <v>2.1952484407526847E-3</v>
      </c>
      <c r="R7">
        <f ca="1">(1-RR)*SUMPRODUCT(L$5:L7,P$4:P6)-(1-RR)*SUMPRODUCT(L$5:L7,P$5:P7)</f>
        <v>2.1952487209730975E-3</v>
      </c>
      <c r="S7">
        <v>2.9786594268206568E-3</v>
      </c>
    </row>
    <row r="8" spans="2:19" x14ac:dyDescent="0.55000000000000004">
      <c r="F8">
        <v>1</v>
      </c>
      <c r="G8">
        <f t="shared" si="0"/>
        <v>1</v>
      </c>
      <c r="H8">
        <f t="shared" si="1"/>
        <v>1</v>
      </c>
      <c r="I8">
        <f t="shared" ca="1" si="2"/>
        <v>-3.0459207484708574E-2</v>
      </c>
      <c r="J8">
        <f t="shared" ca="1" si="3"/>
        <v>-3.0459207484708574E-2</v>
      </c>
      <c r="K8">
        <f t="shared" ca="1" si="4"/>
        <v>-3.0459207484708574E-2</v>
      </c>
      <c r="L8">
        <f t="shared" ca="1" si="5"/>
        <v>0.97</v>
      </c>
      <c r="M8">
        <f t="shared" ca="1" si="6"/>
        <v>9.9500000000000005E-3</v>
      </c>
      <c r="N8">
        <f t="shared" ca="1" si="7"/>
        <v>9.9500000000000005E-3</v>
      </c>
      <c r="O8">
        <f t="shared" ca="1" si="8"/>
        <v>9.9500000000000005E-3</v>
      </c>
      <c r="P8">
        <f ca="1">EXP(-dt*SUM(O$4:O8))</f>
        <v>0.99380054640522075</v>
      </c>
      <c r="Q8">
        <f ca="1">S8*SUMPRODUCT(L$5:L8,P$5:P8)*0.5*dt+S8*SUMPRODUCT(L$5:L8,P$4:P7)*0.5*dt</f>
        <v>3.6357889212122333E-3</v>
      </c>
      <c r="R8">
        <f ca="1">(1-RR)*SUMPRODUCT(L$5:L8,P$4:P7)-(1-RR)*SUMPRODUCT(L$5:L8,P$5:P8)</f>
        <v>3.6357895468723811E-3</v>
      </c>
      <c r="S8">
        <v>3.7164779817744648E-3</v>
      </c>
    </row>
    <row r="9" spans="2:19" x14ac:dyDescent="0.55000000000000004">
      <c r="F9">
        <v>1.25</v>
      </c>
      <c r="G9">
        <f t="shared" si="0"/>
        <v>1</v>
      </c>
      <c r="H9">
        <f t="shared" si="1"/>
        <v>2</v>
      </c>
      <c r="I9">
        <f t="shared" ca="1" si="2"/>
        <v>-3.0459207484708574E-2</v>
      </c>
      <c r="J9">
        <f t="shared" ca="1" si="3"/>
        <v>-6.1875403718087529E-2</v>
      </c>
      <c r="K9">
        <f t="shared" ca="1" si="4"/>
        <v>-5.4021354659742789E-2</v>
      </c>
      <c r="L9">
        <f t="shared" ca="1" si="5"/>
        <v>0.94741187462755772</v>
      </c>
      <c r="M9">
        <f t="shared" ca="1" si="6"/>
        <v>9.9500000000000005E-3</v>
      </c>
      <c r="N9">
        <f t="shared" ca="1" si="7"/>
        <v>2.087E-2</v>
      </c>
      <c r="O9">
        <f t="shared" ca="1" si="8"/>
        <v>1.814E-2</v>
      </c>
      <c r="P9">
        <f ca="1">EXP(-dt*SUM(O$4:O9))</f>
        <v>0.98930386485932287</v>
      </c>
      <c r="Q9">
        <f ca="1">S9*SUMPRODUCT(L$5:L9,P$5:P9)*0.5*dt+S9*SUMPRODUCT(L$5:L9,P$4:P8)*0.5*dt</f>
        <v>6.1919140673560059E-3</v>
      </c>
      <c r="R9">
        <f ca="1">(1-RR)*SUMPRODUCT(L$5:L9,P$4:P8)-(1-RR)*SUMPRODUCT(L$5:L9,P$5:P9)</f>
        <v>6.1919152426734847E-3</v>
      </c>
      <c r="S9">
        <v>5.104035289403135E-3</v>
      </c>
    </row>
    <row r="10" spans="2:19" x14ac:dyDescent="0.55000000000000004">
      <c r="B10" s="1" t="s">
        <v>8</v>
      </c>
      <c r="F10">
        <v>1.5</v>
      </c>
      <c r="G10">
        <f t="shared" si="0"/>
        <v>1</v>
      </c>
      <c r="H10">
        <f t="shared" si="1"/>
        <v>2</v>
      </c>
      <c r="I10">
        <f t="shared" ca="1" si="2"/>
        <v>-3.0459207484708574E-2</v>
      </c>
      <c r="J10">
        <f t="shared" ca="1" si="3"/>
        <v>-6.1875403718087529E-2</v>
      </c>
      <c r="K10">
        <f t="shared" ca="1" si="4"/>
        <v>-4.6167305601398048E-2</v>
      </c>
      <c r="L10">
        <f t="shared" ca="1" si="5"/>
        <v>0.9548821916864928</v>
      </c>
      <c r="M10">
        <f t="shared" ca="1" si="6"/>
        <v>9.9500000000000005E-3</v>
      </c>
      <c r="N10">
        <f t="shared" ca="1" si="7"/>
        <v>2.087E-2</v>
      </c>
      <c r="O10">
        <f t="shared" ca="1" si="8"/>
        <v>1.541E-2</v>
      </c>
      <c r="P10">
        <f ca="1">EXP(-dt*SUM(O$4:O10))</f>
        <v>0.98549990380472108</v>
      </c>
      <c r="Q10">
        <f ca="1">S10*SUMPRODUCT(L$5:L10,P$5:P10)*0.5*dt+S10*SUMPRODUCT(L$5:L10,P$4:P9)*0.5*dt</f>
        <v>8.3713144823149635E-3</v>
      </c>
      <c r="R10">
        <f ca="1">(1-RR)*SUMPRODUCT(L$5:L10,P$4:P9)-(1-RR)*SUMPRODUCT(L$5:L10,P$5:P10)</f>
        <v>8.3713160440184176E-3</v>
      </c>
      <c r="S10">
        <v>5.7778867001920444E-3</v>
      </c>
    </row>
    <row r="11" spans="2:19" x14ac:dyDescent="0.55000000000000004">
      <c r="B11" t="s">
        <v>9</v>
      </c>
      <c r="C11">
        <v>0.4</v>
      </c>
      <c r="F11">
        <v>1.75</v>
      </c>
      <c r="G11">
        <f t="shared" si="0"/>
        <v>1</v>
      </c>
      <c r="H11">
        <f t="shared" si="1"/>
        <v>2</v>
      </c>
      <c r="I11">
        <f t="shared" ca="1" si="2"/>
        <v>-3.0459207484708574E-2</v>
      </c>
      <c r="J11">
        <f t="shared" ca="1" si="3"/>
        <v>-6.1875403718087529E-2</v>
      </c>
      <c r="K11">
        <f t="shared" ca="1" si="4"/>
        <v>-3.8313256543053315E-2</v>
      </c>
      <c r="L11">
        <f t="shared" ca="1" si="5"/>
        <v>0.96241141199379898</v>
      </c>
      <c r="M11">
        <f t="shared" ca="1" si="6"/>
        <v>9.9500000000000005E-3</v>
      </c>
      <c r="N11">
        <f t="shared" ca="1" si="7"/>
        <v>2.087E-2</v>
      </c>
      <c r="O11">
        <f t="shared" ca="1" si="8"/>
        <v>1.268E-2</v>
      </c>
      <c r="P11">
        <f ca="1">EXP(-dt*SUM(O$4:O11))</f>
        <v>0.98238081547661027</v>
      </c>
      <c r="Q11">
        <f ca="1">S11*SUMPRODUCT(L$5:L11,P$5:P11)*0.5*dt+S11*SUMPRODUCT(L$5:L11,P$4:P10)*0.5*dt</f>
        <v>1.0172421821398632E-2</v>
      </c>
      <c r="R11">
        <f ca="1">(1-RR)*SUMPRODUCT(L$5:L11,P$4:P10)-(1-RR)*SUMPRODUCT(L$5:L11,P$5:P11)</f>
        <v>1.017242376521299E-2</v>
      </c>
      <c r="S11">
        <v>6.0349220985703904E-3</v>
      </c>
    </row>
    <row r="12" spans="2:19" x14ac:dyDescent="0.55000000000000004">
      <c r="B12" t="s">
        <v>18</v>
      </c>
      <c r="C12">
        <v>1</v>
      </c>
      <c r="F12">
        <v>2</v>
      </c>
      <c r="G12">
        <f t="shared" si="0"/>
        <v>2</v>
      </c>
      <c r="H12">
        <f t="shared" si="1"/>
        <v>2</v>
      </c>
      <c r="I12">
        <f t="shared" ca="1" si="2"/>
        <v>-6.1875403718087529E-2</v>
      </c>
      <c r="J12">
        <f t="shared" ca="1" si="3"/>
        <v>-6.1875403718087529E-2</v>
      </c>
      <c r="K12">
        <f t="shared" ca="1" si="4"/>
        <v>-6.1875403718087529E-2</v>
      </c>
      <c r="L12">
        <f t="shared" ca="1" si="5"/>
        <v>0.94</v>
      </c>
      <c r="M12">
        <f t="shared" ca="1" si="6"/>
        <v>2.087E-2</v>
      </c>
      <c r="N12">
        <f t="shared" ca="1" si="7"/>
        <v>2.087E-2</v>
      </c>
      <c r="O12">
        <f t="shared" ca="1" si="8"/>
        <v>2.087E-2</v>
      </c>
      <c r="P12">
        <f ca="1">EXP(-dt*SUM(O$4:O12))</f>
        <v>0.97726859168288782</v>
      </c>
      <c r="Q12">
        <f ca="1">S12*SUMPRODUCT(L$5:L12,P$5:P12)*0.5*dt+S12*SUMPRODUCT(L$5:L12,P$4:P11)*0.5*dt</f>
        <v>1.3055715494169274E-2</v>
      </c>
      <c r="R12">
        <f ca="1">(1-RR)*SUMPRODUCT(L$5:L12,P$4:P11)-(1-RR)*SUMPRODUCT(L$5:L12,P$5:P12)</f>
        <v>1.3055717984872928E-2</v>
      </c>
      <c r="S12">
        <v>6.8145751993017607E-3</v>
      </c>
    </row>
    <row r="13" spans="2:19" x14ac:dyDescent="0.55000000000000004">
      <c r="B13" t="s">
        <v>19</v>
      </c>
      <c r="C13">
        <v>0.25</v>
      </c>
      <c r="F13">
        <v>2.25</v>
      </c>
      <c r="G13">
        <f t="shared" si="0"/>
        <v>2</v>
      </c>
      <c r="H13">
        <f t="shared" si="1"/>
        <v>3</v>
      </c>
      <c r="I13">
        <f t="shared" ca="1" si="2"/>
        <v>-6.1875403718087529E-2</v>
      </c>
      <c r="J13">
        <f t="shared" ca="1" si="3"/>
        <v>-8.3381608939051013E-2</v>
      </c>
      <c r="K13">
        <f t="shared" ca="1" si="4"/>
        <v>-7.8005057633810146E-2</v>
      </c>
      <c r="L13">
        <f t="shared" ca="1" si="5"/>
        <v>0.92495974842401252</v>
      </c>
      <c r="M13">
        <f t="shared" ca="1" si="6"/>
        <v>2.087E-2</v>
      </c>
      <c r="N13">
        <f t="shared" ca="1" si="7"/>
        <v>2.579E-2</v>
      </c>
      <c r="O13">
        <f t="shared" ca="1" si="8"/>
        <v>2.4559999999999998E-2</v>
      </c>
      <c r="P13">
        <f ca="1">EXP(-dt*SUM(O$4:O13))</f>
        <v>0.97128654620295996</v>
      </c>
      <c r="Q13">
        <f ca="1">S13*SUMPRODUCT(L$5:L13,P$5:P13)*0.5*dt+S13*SUMPRODUCT(L$5:L13,P$4:P12)*0.5*dt</f>
        <v>1.6375605590285957E-2</v>
      </c>
      <c r="R13">
        <f ca="1">(1-RR)*SUMPRODUCT(L$5:L13,P$4:P12)-(1-RR)*SUMPRODUCT(L$5:L13,P$5:P13)</f>
        <v>1.6375608754177762E-2</v>
      </c>
      <c r="S13">
        <v>7.6480651269468045E-3</v>
      </c>
    </row>
    <row r="14" spans="2:19" x14ac:dyDescent="0.55000000000000004">
      <c r="F14">
        <v>2.5</v>
      </c>
      <c r="G14">
        <f t="shared" si="0"/>
        <v>2</v>
      </c>
      <c r="H14">
        <f t="shared" si="1"/>
        <v>3</v>
      </c>
      <c r="I14">
        <f t="shared" ca="1" si="2"/>
        <v>-6.1875403718087529E-2</v>
      </c>
      <c r="J14">
        <f t="shared" ca="1" si="3"/>
        <v>-8.3381608939051013E-2</v>
      </c>
      <c r="K14">
        <f t="shared" ca="1" si="4"/>
        <v>-7.2628506328569264E-2</v>
      </c>
      <c r="L14">
        <f t="shared" ca="1" si="5"/>
        <v>0.92994623500501361</v>
      </c>
      <c r="M14">
        <f t="shared" ca="1" si="6"/>
        <v>2.087E-2</v>
      </c>
      <c r="N14">
        <f t="shared" ca="1" si="7"/>
        <v>2.579E-2</v>
      </c>
      <c r="O14">
        <f t="shared" ca="1" si="8"/>
        <v>2.333E-2</v>
      </c>
      <c r="P14">
        <f ca="1">EXP(-dt*SUM(O$4:O14))</f>
        <v>0.9656380059903138</v>
      </c>
      <c r="Q14">
        <f ca="1">S14*SUMPRODUCT(L$5:L14,P$5:P14)*0.5*dt+S14*SUMPRODUCT(L$5:L14,P$4:P13)*0.5*dt</f>
        <v>1.9527308644724094E-2</v>
      </c>
      <c r="R14">
        <f ca="1">(1-RR)*SUMPRODUCT(L$5:L14,P$4:P13)-(1-RR)*SUMPRODUCT(L$5:L14,P$5:P14)</f>
        <v>1.9527311976593076E-2</v>
      </c>
      <c r="S14">
        <v>8.2522608105844147E-3</v>
      </c>
    </row>
    <row r="15" spans="2:19" x14ac:dyDescent="0.55000000000000004">
      <c r="F15">
        <v>2.75</v>
      </c>
      <c r="G15">
        <f t="shared" si="0"/>
        <v>2</v>
      </c>
      <c r="H15">
        <f t="shared" si="1"/>
        <v>3</v>
      </c>
      <c r="I15">
        <f t="shared" ca="1" si="2"/>
        <v>-6.1875403718087529E-2</v>
      </c>
      <c r="J15">
        <f t="shared" ca="1" si="3"/>
        <v>-8.3381608939051013E-2</v>
      </c>
      <c r="K15">
        <f t="shared" ca="1" si="4"/>
        <v>-6.7251955023328397E-2</v>
      </c>
      <c r="L15">
        <f t="shared" ca="1" si="5"/>
        <v>0.93495960388923371</v>
      </c>
      <c r="M15">
        <f t="shared" ca="1" si="6"/>
        <v>2.087E-2</v>
      </c>
      <c r="N15">
        <f t="shared" ca="1" si="7"/>
        <v>2.579E-2</v>
      </c>
      <c r="O15">
        <f t="shared" ca="1" si="8"/>
        <v>2.2100000000000002E-2</v>
      </c>
      <c r="P15">
        <f ca="1">EXP(-dt*SUM(O$4:O15))</f>
        <v>0.96031756725336437</v>
      </c>
      <c r="Q15">
        <f ca="1">S15*SUMPRODUCT(L$5:L15,P$5:P15)*0.5*dt+S15*SUMPRODUCT(L$5:L15,P$4:P14)*0.5*dt</f>
        <v>2.2511944871954664E-2</v>
      </c>
      <c r="R15">
        <f ca="1">(1-RR)*SUMPRODUCT(L$5:L15,P$4:P14)-(1-RR)*SUMPRODUCT(L$5:L15,P$5:P15)</f>
        <v>2.251194915300303E-2</v>
      </c>
      <c r="S15">
        <v>8.6872271997172137E-3</v>
      </c>
    </row>
    <row r="16" spans="2:19" x14ac:dyDescent="0.55000000000000004">
      <c r="F16">
        <v>3</v>
      </c>
      <c r="G16">
        <f t="shared" si="0"/>
        <v>3</v>
      </c>
      <c r="H16">
        <f t="shared" si="1"/>
        <v>3</v>
      </c>
      <c r="I16">
        <f t="shared" ca="1" si="2"/>
        <v>-8.3381608939051013E-2</v>
      </c>
      <c r="J16">
        <f t="shared" ca="1" si="3"/>
        <v>-8.3381608939051013E-2</v>
      </c>
      <c r="K16">
        <f t="shared" ca="1" si="4"/>
        <v>-8.3381608939051013E-2</v>
      </c>
      <c r="L16">
        <f t="shared" ca="1" si="5"/>
        <v>0.92</v>
      </c>
      <c r="M16">
        <f t="shared" ca="1" si="6"/>
        <v>2.579E-2</v>
      </c>
      <c r="N16">
        <f t="shared" ca="1" si="7"/>
        <v>2.579E-2</v>
      </c>
      <c r="O16">
        <f t="shared" ca="1" si="8"/>
        <v>2.579E-2</v>
      </c>
      <c r="P16">
        <f ca="1">EXP(-dt*SUM(O$4:O16))</f>
        <v>0.95414583723316937</v>
      </c>
      <c r="Q16">
        <f ca="1">S16*SUMPRODUCT(L$5:L16,P$5:P16)*0.5*dt+S16*SUMPRODUCT(L$5:L16,P$4:P15)*0.5*dt</f>
        <v>2.5918739233849936E-2</v>
      </c>
      <c r="R16">
        <f ca="1">(1-RR)*SUMPRODUCT(L$5:L16,P$4:P15)-(1-RR)*SUMPRODUCT(L$5:L16,P$5:P16)</f>
        <v>2.591874412414974E-2</v>
      </c>
      <c r="S16">
        <v>9.2186732223222354E-3</v>
      </c>
    </row>
    <row r="18" spans="10:18" x14ac:dyDescent="0.55000000000000004">
      <c r="Q18" t="s">
        <v>25</v>
      </c>
      <c r="R18">
        <f ca="1">10000000*SUMPRODUCT(Q5:Q16-R5:R16,Q5:Q16-R5:R16)</f>
        <v>7.771952138164355E-10</v>
      </c>
    </row>
    <row r="19" spans="10:18" x14ac:dyDescent="0.55000000000000004">
      <c r="R19" t="s">
        <v>26</v>
      </c>
    </row>
    <row r="24" spans="10:18" x14ac:dyDescent="0.55000000000000004">
      <c r="J24" s="3"/>
    </row>
    <row r="25" spans="10:18" x14ac:dyDescent="0.55000000000000004">
      <c r="J25" s="3"/>
    </row>
    <row r="26" spans="10:18" x14ac:dyDescent="0.55000000000000004">
      <c r="J26" s="3"/>
    </row>
    <row r="27" spans="10:18" x14ac:dyDescent="0.55000000000000004">
      <c r="J27" s="3"/>
    </row>
    <row r="28" spans="10:18" x14ac:dyDescent="0.55000000000000004">
      <c r="J28" s="3"/>
    </row>
    <row r="29" spans="10:18" x14ac:dyDescent="0.55000000000000004">
      <c r="J29" s="3"/>
    </row>
    <row r="30" spans="10:18" x14ac:dyDescent="0.55000000000000004">
      <c r="J30" s="3"/>
    </row>
    <row r="31" spans="10:18" x14ac:dyDescent="0.55000000000000004">
      <c r="J31" s="3"/>
    </row>
    <row r="32" spans="10:18" x14ac:dyDescent="0.55000000000000004">
      <c r="J32" s="3"/>
    </row>
    <row r="33" spans="10:10" x14ac:dyDescent="0.55000000000000004">
      <c r="J33" s="3"/>
    </row>
    <row r="34" spans="10:10" x14ac:dyDescent="0.55000000000000004">
      <c r="J34" s="3"/>
    </row>
    <row r="35" spans="10:10" x14ac:dyDescent="0.55000000000000004">
      <c r="J35" s="3"/>
    </row>
    <row r="36" spans="10:10" x14ac:dyDescent="0.55000000000000004">
      <c r="J3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14"/>
  <sheetViews>
    <sheetView workbookViewId="0">
      <selection activeCell="M3" sqref="M3:R9"/>
    </sheetView>
  </sheetViews>
  <sheetFormatPr defaultRowHeight="14.4" x14ac:dyDescent="0.55000000000000004"/>
  <cols>
    <col min="15" max="15" width="9.15625" bestFit="1" customWidth="1"/>
    <col min="17" max="17" width="9.15625" bestFit="1" customWidth="1"/>
  </cols>
  <sheetData>
    <row r="2" spans="2:18" x14ac:dyDescent="0.55000000000000004">
      <c r="B2" s="1" t="s">
        <v>6</v>
      </c>
      <c r="E2" s="1" t="s">
        <v>7</v>
      </c>
    </row>
    <row r="3" spans="2:18" x14ac:dyDescent="0.55000000000000004">
      <c r="B3" t="s">
        <v>0</v>
      </c>
      <c r="C3" t="s">
        <v>27</v>
      </c>
      <c r="E3" t="s">
        <v>0</v>
      </c>
      <c r="F3" t="s">
        <v>5</v>
      </c>
      <c r="G3" t="s">
        <v>32</v>
      </c>
      <c r="R3" s="3"/>
    </row>
    <row r="4" spans="2:18" x14ac:dyDescent="0.55000000000000004">
      <c r="B4" t="s">
        <v>1</v>
      </c>
      <c r="C4">
        <v>141.76</v>
      </c>
      <c r="E4">
        <v>0</v>
      </c>
      <c r="F4">
        <v>1</v>
      </c>
      <c r="G4">
        <v>1</v>
      </c>
      <c r="H4" t="s">
        <v>38</v>
      </c>
      <c r="O4" s="4"/>
      <c r="Q4" s="4"/>
      <c r="R4" s="3"/>
    </row>
    <row r="5" spans="2:18" x14ac:dyDescent="0.55000000000000004">
      <c r="B5" t="s">
        <v>2</v>
      </c>
      <c r="C5">
        <v>165.36</v>
      </c>
      <c r="E5">
        <v>1</v>
      </c>
      <c r="F5">
        <f>EXP(-rfr*E5)</f>
        <v>0.99203191483706066</v>
      </c>
      <c r="G5">
        <f>(1-RR)/(1-RR+d_t*C4/10000)</f>
        <v>0.97691866826447149</v>
      </c>
      <c r="H5" t="s">
        <v>33</v>
      </c>
      <c r="O5" s="4"/>
      <c r="Q5" s="4"/>
      <c r="R5" s="3"/>
    </row>
    <row r="6" spans="2:18" x14ac:dyDescent="0.55000000000000004">
      <c r="B6" t="s">
        <v>3</v>
      </c>
      <c r="C6">
        <v>188.56</v>
      </c>
      <c r="E6">
        <v>2</v>
      </c>
      <c r="F6">
        <f>EXP(-rfr*E6)</f>
        <v>0.98412732005528514</v>
      </c>
      <c r="G6">
        <f>(F5*((1-RR)*G4-(1-RR+d_t*C5/10000)*G5)/(F6*(1-RR+d_t*C5/10000)))+G5*(1-RR)/(1-RR+d_t*C5/10000)</f>
        <v>0.94694738782989418</v>
      </c>
      <c r="H6" t="s">
        <v>34</v>
      </c>
      <c r="O6" s="4"/>
      <c r="Q6" s="4"/>
      <c r="R6" s="3"/>
    </row>
    <row r="7" spans="2:18" x14ac:dyDescent="0.55000000000000004">
      <c r="B7" t="s">
        <v>28</v>
      </c>
      <c r="C7">
        <v>207.32</v>
      </c>
      <c r="E7">
        <v>3</v>
      </c>
      <c r="F7">
        <f>EXP(-rfr*E7)</f>
        <v>0.97628570975790929</v>
      </c>
      <c r="G7">
        <f>(F5*((1-RR)*G4-(1-RR+d_t*C5/10000)*G5)+F6*((1-RR)*G5-(1-RR+d_t*C6/10000)*G6)/(F7*(1-RR+d_t*C6/10000)))+G6*(1-RR)/(1-RR+d_t*C6/10000)</f>
        <v>0.91601464804601096</v>
      </c>
      <c r="H7" t="s">
        <v>35</v>
      </c>
      <c r="O7" s="4"/>
      <c r="Q7" s="4"/>
      <c r="R7" s="3"/>
    </row>
    <row r="8" spans="2:18" x14ac:dyDescent="0.55000000000000004">
      <c r="B8" t="s">
        <v>29</v>
      </c>
      <c r="C8">
        <v>218.38</v>
      </c>
      <c r="E8">
        <v>4</v>
      </c>
      <c r="F8">
        <f>EXP(-rfr*E8)</f>
        <v>0.9685065820791976</v>
      </c>
      <c r="G8">
        <f>(F5*((1-RR)*G4-(1-RR+d_t*C5/10000)*G5)+F6*((1-RR)*G5-(1-RR+d_t*C6/10000)*G6)+F7*((1-RR)*G6-(1-RR+d_t*C7/10000)*G7)/(F8*(1-RR+d_t*C7/10000)))+G7*(1-RR)/(1-RR+d_t*C7/10000)</f>
        <v>0.88255817658739288</v>
      </c>
      <c r="H8" t="s">
        <v>36</v>
      </c>
      <c r="O8" s="4"/>
      <c r="Q8" s="4"/>
      <c r="R8" s="3"/>
    </row>
    <row r="9" spans="2:18" x14ac:dyDescent="0.55000000000000004">
      <c r="E9">
        <v>5</v>
      </c>
      <c r="F9">
        <f>EXP(-rfr*E9)</f>
        <v>0.96078943915232318</v>
      </c>
      <c r="G9">
        <f>(F5*((1-RR)*G4-(1-RR+d_t*C5/10000)*G5)+F6*((1-RR)*G5-(1-RR+d_t*C6/10000)*G6)+F7*((1-RR)*G6-(1-RR+d_t*C7/10000)*G7)+F8*((1-RR)*G7-(1-RR+d_t*C8/10000)*G8)/(F9*(1-RR+d_t*C8/10000)))+G8*(1-RR)/(1-RR+d_t*C8/10000)</f>
        <v>0.85027886675893982</v>
      </c>
      <c r="H9" t="s">
        <v>37</v>
      </c>
      <c r="O9" s="4"/>
      <c r="Q9" s="4"/>
      <c r="R9" s="3"/>
    </row>
    <row r="11" spans="2:18" x14ac:dyDescent="0.55000000000000004">
      <c r="B11" s="1" t="s">
        <v>8</v>
      </c>
    </row>
    <row r="12" spans="2:18" x14ac:dyDescent="0.55000000000000004">
      <c r="B12" t="s">
        <v>9</v>
      </c>
      <c r="C12">
        <v>0.4</v>
      </c>
    </row>
    <row r="13" spans="2:18" x14ac:dyDescent="0.55000000000000004">
      <c r="B13" t="s">
        <v>30</v>
      </c>
      <c r="C13">
        <v>8.0000000000000002E-3</v>
      </c>
    </row>
    <row r="14" spans="2:18" x14ac:dyDescent="0.55000000000000004">
      <c r="B14" t="s">
        <v>31</v>
      </c>
      <c r="C1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54"/>
  <sheetViews>
    <sheetView topLeftCell="K1" workbookViewId="0">
      <selection activeCell="L26" sqref="L26"/>
    </sheetView>
  </sheetViews>
  <sheetFormatPr defaultRowHeight="14.4" x14ac:dyDescent="0.55000000000000004"/>
  <sheetData>
    <row r="2" spans="2:11" x14ac:dyDescent="0.55000000000000004">
      <c r="B2" s="1" t="s">
        <v>7</v>
      </c>
    </row>
    <row r="3" spans="2:11" x14ac:dyDescent="0.55000000000000004">
      <c r="B3" t="s">
        <v>0</v>
      </c>
      <c r="C3" t="s">
        <v>5</v>
      </c>
      <c r="D3" t="s">
        <v>32</v>
      </c>
      <c r="E3" t="s">
        <v>40</v>
      </c>
      <c r="H3" t="s">
        <v>0</v>
      </c>
      <c r="I3" t="s">
        <v>39</v>
      </c>
      <c r="J3" t="s">
        <v>40</v>
      </c>
      <c r="K3" t="s">
        <v>41</v>
      </c>
    </row>
    <row r="4" spans="2:11" x14ac:dyDescent="0.55000000000000004">
      <c r="B4">
        <f>'2 bootstrap PrSurv'!E4</f>
        <v>0</v>
      </c>
      <c r="C4">
        <f>'2 bootstrap PrSurv'!F4</f>
        <v>1</v>
      </c>
      <c r="D4">
        <f>'2 bootstrap PrSurv'!G4</f>
        <v>1</v>
      </c>
      <c r="E4">
        <v>0</v>
      </c>
      <c r="H4">
        <v>0</v>
      </c>
      <c r="I4">
        <f>_xlfn.FLOOR.MATH(H4)</f>
        <v>0</v>
      </c>
      <c r="J4">
        <f>VLOOKUP(I4,$B$4:$E$10,4)</f>
        <v>0</v>
      </c>
      <c r="K4">
        <f>J4*EXP(-J4*H4)</f>
        <v>0</v>
      </c>
    </row>
    <row r="5" spans="2:11" x14ac:dyDescent="0.55000000000000004">
      <c r="B5">
        <f>'2 bootstrap PrSurv'!E5</f>
        <v>1</v>
      </c>
      <c r="C5">
        <f>'2 bootstrap PrSurv'!F5</f>
        <v>0.99203191483706066</v>
      </c>
      <c r="D5">
        <f>'2 bootstrap PrSurv'!G5</f>
        <v>0.97691866826447149</v>
      </c>
      <c r="E5">
        <f>-1/d_t*LN(D5/D4)</f>
        <v>2.3351876807321155E-2</v>
      </c>
      <c r="H5">
        <v>0.1</v>
      </c>
      <c r="I5">
        <f t="shared" ref="I5:I54" si="0">_xlfn.FLOOR.MATH(H5)</f>
        <v>0</v>
      </c>
      <c r="J5">
        <f t="shared" ref="J5:J54" si="1">VLOOKUP(I5,$B$4:$E$10,4)</f>
        <v>0</v>
      </c>
      <c r="K5">
        <f t="shared" ref="K5:K54" si="2">J5*EXP(-J5*H5)</f>
        <v>0</v>
      </c>
    </row>
    <row r="6" spans="2:11" x14ac:dyDescent="0.55000000000000004">
      <c r="B6">
        <f>'2 bootstrap PrSurv'!E6</f>
        <v>2</v>
      </c>
      <c r="C6">
        <f>'2 bootstrap PrSurv'!F6</f>
        <v>0.98412732005528514</v>
      </c>
      <c r="D6">
        <f>'2 bootstrap PrSurv'!G6</f>
        <v>0.94694738782989418</v>
      </c>
      <c r="E6">
        <f>-1/d_t*LN(D6/D5)</f>
        <v>3.1159867205885011E-2</v>
      </c>
      <c r="H6">
        <v>0.2</v>
      </c>
      <c r="I6">
        <f t="shared" si="0"/>
        <v>0</v>
      </c>
      <c r="J6">
        <f t="shared" si="1"/>
        <v>0</v>
      </c>
      <c r="K6">
        <f t="shared" si="2"/>
        <v>0</v>
      </c>
    </row>
    <row r="7" spans="2:11" x14ac:dyDescent="0.55000000000000004">
      <c r="B7">
        <f>'2 bootstrap PrSurv'!E7</f>
        <v>3</v>
      </c>
      <c r="C7">
        <f>'2 bootstrap PrSurv'!F7</f>
        <v>0.97628570975790929</v>
      </c>
      <c r="D7">
        <f>'2 bootstrap PrSurv'!G7</f>
        <v>0.91601464804601096</v>
      </c>
      <c r="E7">
        <f>-1/d_t*LN(D7/D6)</f>
        <v>3.3211179106054547E-2</v>
      </c>
      <c r="H7">
        <v>0.3</v>
      </c>
      <c r="I7">
        <f t="shared" si="0"/>
        <v>0</v>
      </c>
      <c r="J7">
        <f t="shared" si="1"/>
        <v>0</v>
      </c>
      <c r="K7">
        <f t="shared" si="2"/>
        <v>0</v>
      </c>
    </row>
    <row r="8" spans="2:11" x14ac:dyDescent="0.55000000000000004">
      <c r="B8">
        <f>'2 bootstrap PrSurv'!E8</f>
        <v>4</v>
      </c>
      <c r="C8">
        <f>'2 bootstrap PrSurv'!F8</f>
        <v>0.9685065820791976</v>
      </c>
      <c r="D8">
        <f>'2 bootstrap PrSurv'!G8</f>
        <v>0.88255817658739288</v>
      </c>
      <c r="E8">
        <f>-1/d_t*LN(D8/D7)</f>
        <v>3.7207646749583441E-2</v>
      </c>
      <c r="H8">
        <v>0.4</v>
      </c>
      <c r="I8">
        <f t="shared" si="0"/>
        <v>0</v>
      </c>
      <c r="J8">
        <f t="shared" si="1"/>
        <v>0</v>
      </c>
      <c r="K8">
        <f t="shared" si="2"/>
        <v>0</v>
      </c>
    </row>
    <row r="9" spans="2:11" x14ac:dyDescent="0.55000000000000004">
      <c r="B9">
        <f>'2 bootstrap PrSurv'!E9</f>
        <v>5</v>
      </c>
      <c r="C9">
        <f>'2 bootstrap PrSurv'!F9</f>
        <v>0.96078943915232318</v>
      </c>
      <c r="D9">
        <f>'2 bootstrap PrSurv'!G9</f>
        <v>0.85027886675893982</v>
      </c>
      <c r="E9">
        <f>-1/d_t*LN(D9/D8)</f>
        <v>3.7260334894997603E-2</v>
      </c>
      <c r="H9">
        <v>0.5</v>
      </c>
      <c r="I9">
        <f t="shared" si="0"/>
        <v>0</v>
      </c>
      <c r="J9">
        <f t="shared" si="1"/>
        <v>0</v>
      </c>
      <c r="K9">
        <f t="shared" si="2"/>
        <v>0</v>
      </c>
    </row>
    <row r="10" spans="2:11" x14ac:dyDescent="0.55000000000000004">
      <c r="H10">
        <v>0.6</v>
      </c>
      <c r="I10">
        <f t="shared" si="0"/>
        <v>0</v>
      </c>
      <c r="J10">
        <f t="shared" si="1"/>
        <v>0</v>
      </c>
      <c r="K10">
        <f t="shared" si="2"/>
        <v>0</v>
      </c>
    </row>
    <row r="11" spans="2:11" x14ac:dyDescent="0.55000000000000004">
      <c r="H11">
        <v>0.7</v>
      </c>
      <c r="I11">
        <f t="shared" si="0"/>
        <v>0</v>
      </c>
      <c r="J11">
        <f t="shared" si="1"/>
        <v>0</v>
      </c>
      <c r="K11">
        <f t="shared" si="2"/>
        <v>0</v>
      </c>
    </row>
    <row r="12" spans="2:11" x14ac:dyDescent="0.55000000000000004">
      <c r="H12">
        <v>0.8</v>
      </c>
      <c r="I12">
        <f t="shared" si="0"/>
        <v>0</v>
      </c>
      <c r="J12">
        <f t="shared" si="1"/>
        <v>0</v>
      </c>
      <c r="K12">
        <f t="shared" si="2"/>
        <v>0</v>
      </c>
    </row>
    <row r="13" spans="2:11" x14ac:dyDescent="0.55000000000000004">
      <c r="H13">
        <v>0.9</v>
      </c>
      <c r="I13">
        <f t="shared" si="0"/>
        <v>0</v>
      </c>
      <c r="J13">
        <f t="shared" si="1"/>
        <v>0</v>
      </c>
      <c r="K13">
        <f t="shared" si="2"/>
        <v>0</v>
      </c>
    </row>
    <row r="14" spans="2:11" x14ac:dyDescent="0.55000000000000004">
      <c r="H14">
        <v>1</v>
      </c>
      <c r="I14">
        <f t="shared" si="0"/>
        <v>1</v>
      </c>
      <c r="J14">
        <f t="shared" si="1"/>
        <v>2.3351876807321155E-2</v>
      </c>
      <c r="K14">
        <f t="shared" si="2"/>
        <v>2.281288439208418E-2</v>
      </c>
    </row>
    <row r="15" spans="2:11" x14ac:dyDescent="0.55000000000000004">
      <c r="H15">
        <v>1.1000000000000001</v>
      </c>
      <c r="I15">
        <f t="shared" si="0"/>
        <v>1</v>
      </c>
      <c r="J15">
        <f t="shared" si="1"/>
        <v>2.3351876807321155E-2</v>
      </c>
      <c r="K15">
        <f t="shared" si="2"/>
        <v>2.2759674177588566E-2</v>
      </c>
    </row>
    <row r="16" spans="2:11" x14ac:dyDescent="0.55000000000000004">
      <c r="H16">
        <v>1.2</v>
      </c>
      <c r="I16">
        <f t="shared" si="0"/>
        <v>1</v>
      </c>
      <c r="J16">
        <f t="shared" si="1"/>
        <v>2.3351876807321155E-2</v>
      </c>
      <c r="K16">
        <f t="shared" si="2"/>
        <v>2.2706588073962846E-2</v>
      </c>
    </row>
    <row r="17" spans="8:11" x14ac:dyDescent="0.55000000000000004">
      <c r="H17">
        <v>1.3</v>
      </c>
      <c r="I17">
        <f t="shared" si="0"/>
        <v>1</v>
      </c>
      <c r="J17">
        <f t="shared" si="1"/>
        <v>2.3351876807321155E-2</v>
      </c>
      <c r="K17">
        <f t="shared" si="2"/>
        <v>2.2653625791722972E-2</v>
      </c>
    </row>
    <row r="18" spans="8:11" x14ac:dyDescent="0.55000000000000004">
      <c r="H18">
        <v>1.4</v>
      </c>
      <c r="I18">
        <f t="shared" si="0"/>
        <v>1</v>
      </c>
      <c r="J18">
        <f t="shared" si="1"/>
        <v>2.3351876807321155E-2</v>
      </c>
      <c r="K18">
        <f t="shared" si="2"/>
        <v>2.2600787042060116E-2</v>
      </c>
    </row>
    <row r="19" spans="8:11" x14ac:dyDescent="0.55000000000000004">
      <c r="H19">
        <v>1.5</v>
      </c>
      <c r="I19">
        <f t="shared" si="0"/>
        <v>1</v>
      </c>
      <c r="J19">
        <f t="shared" si="1"/>
        <v>2.3351876807321155E-2</v>
      </c>
      <c r="K19">
        <f t="shared" si="2"/>
        <v>2.2548071536839083E-2</v>
      </c>
    </row>
    <row r="20" spans="8:11" x14ac:dyDescent="0.55000000000000004">
      <c r="H20">
        <v>1.6</v>
      </c>
      <c r="I20">
        <f t="shared" si="0"/>
        <v>1</v>
      </c>
      <c r="J20">
        <f t="shared" si="1"/>
        <v>2.3351876807321155E-2</v>
      </c>
      <c r="K20">
        <f t="shared" si="2"/>
        <v>2.2495478988596742E-2</v>
      </c>
    </row>
    <row r="21" spans="8:11" x14ac:dyDescent="0.55000000000000004">
      <c r="H21">
        <v>1.7</v>
      </c>
      <c r="I21">
        <f t="shared" si="0"/>
        <v>1</v>
      </c>
      <c r="J21">
        <f t="shared" si="1"/>
        <v>2.3351876807321155E-2</v>
      </c>
      <c r="K21">
        <f t="shared" si="2"/>
        <v>2.2443009110540455E-2</v>
      </c>
    </row>
    <row r="22" spans="8:11" x14ac:dyDescent="0.55000000000000004">
      <c r="H22">
        <v>1.8</v>
      </c>
      <c r="I22">
        <f t="shared" si="0"/>
        <v>1</v>
      </c>
      <c r="J22">
        <f t="shared" si="1"/>
        <v>2.3351876807321155E-2</v>
      </c>
      <c r="K22">
        <f t="shared" si="2"/>
        <v>2.2390661616546521E-2</v>
      </c>
    </row>
    <row r="23" spans="8:11" x14ac:dyDescent="0.55000000000000004">
      <c r="H23">
        <v>1.9</v>
      </c>
      <c r="I23">
        <f t="shared" si="0"/>
        <v>1</v>
      </c>
      <c r="J23">
        <f t="shared" si="1"/>
        <v>2.3351876807321155E-2</v>
      </c>
      <c r="K23">
        <f t="shared" si="2"/>
        <v>2.2338436221158615E-2</v>
      </c>
    </row>
    <row r="24" spans="8:11" x14ac:dyDescent="0.55000000000000004">
      <c r="H24">
        <v>2</v>
      </c>
      <c r="I24">
        <f t="shared" si="0"/>
        <v>2</v>
      </c>
      <c r="J24">
        <f t="shared" si="1"/>
        <v>3.1159867205885011E-2</v>
      </c>
      <c r="K24">
        <f t="shared" si="2"/>
        <v>2.9277263496203784E-2</v>
      </c>
    </row>
    <row r="25" spans="8:11" x14ac:dyDescent="0.55000000000000004">
      <c r="H25">
        <v>2.1</v>
      </c>
      <c r="I25">
        <f t="shared" si="0"/>
        <v>2</v>
      </c>
      <c r="J25">
        <f t="shared" si="1"/>
        <v>3.1159867205885011E-2</v>
      </c>
      <c r="K25">
        <f t="shared" si="2"/>
        <v>2.9186177916361699E-2</v>
      </c>
    </row>
    <row r="26" spans="8:11" x14ac:dyDescent="0.55000000000000004">
      <c r="H26">
        <v>2.2000000000000002</v>
      </c>
      <c r="I26">
        <f t="shared" si="0"/>
        <v>2</v>
      </c>
      <c r="J26">
        <f t="shared" si="1"/>
        <v>3.1159867205885011E-2</v>
      </c>
      <c r="K26">
        <f t="shared" si="2"/>
        <v>2.9095375716243828E-2</v>
      </c>
    </row>
    <row r="27" spans="8:11" x14ac:dyDescent="0.55000000000000004">
      <c r="H27">
        <v>2.2999999999999998</v>
      </c>
      <c r="I27">
        <f t="shared" si="0"/>
        <v>2</v>
      </c>
      <c r="J27">
        <f t="shared" si="1"/>
        <v>3.1159867205885011E-2</v>
      </c>
      <c r="K27">
        <f t="shared" si="2"/>
        <v>2.9004856014216998E-2</v>
      </c>
    </row>
    <row r="28" spans="8:11" x14ac:dyDescent="0.55000000000000004">
      <c r="H28">
        <v>2.4</v>
      </c>
      <c r="I28">
        <f t="shared" si="0"/>
        <v>2</v>
      </c>
      <c r="J28">
        <f t="shared" si="1"/>
        <v>3.1159867205885011E-2</v>
      </c>
      <c r="K28">
        <f t="shared" si="2"/>
        <v>2.8914617931390926E-2</v>
      </c>
    </row>
    <row r="29" spans="8:11" x14ac:dyDescent="0.55000000000000004">
      <c r="H29">
        <v>2.5</v>
      </c>
      <c r="I29">
        <f t="shared" si="0"/>
        <v>2</v>
      </c>
      <c r="J29">
        <f t="shared" si="1"/>
        <v>3.1159867205885011E-2</v>
      </c>
      <c r="K29">
        <f t="shared" si="2"/>
        <v>2.8824660591609683E-2</v>
      </c>
    </row>
    <row r="30" spans="8:11" x14ac:dyDescent="0.55000000000000004">
      <c r="H30">
        <v>2.6</v>
      </c>
      <c r="I30">
        <f t="shared" si="0"/>
        <v>2</v>
      </c>
      <c r="J30">
        <f t="shared" si="1"/>
        <v>3.1159867205885011E-2</v>
      </c>
      <c r="K30">
        <f t="shared" si="2"/>
        <v>2.8734983121443167E-2</v>
      </c>
    </row>
    <row r="31" spans="8:11" x14ac:dyDescent="0.55000000000000004">
      <c r="H31">
        <v>2.7</v>
      </c>
      <c r="I31">
        <f t="shared" si="0"/>
        <v>2</v>
      </c>
      <c r="J31">
        <f t="shared" si="1"/>
        <v>3.1159867205885011E-2</v>
      </c>
      <c r="K31">
        <f t="shared" si="2"/>
        <v>2.8645584650178649E-2</v>
      </c>
    </row>
    <row r="32" spans="8:11" x14ac:dyDescent="0.55000000000000004">
      <c r="H32">
        <v>2.8</v>
      </c>
      <c r="I32">
        <f t="shared" si="0"/>
        <v>2</v>
      </c>
      <c r="J32">
        <f t="shared" si="1"/>
        <v>3.1159867205885011E-2</v>
      </c>
      <c r="K32">
        <f t="shared" si="2"/>
        <v>2.8556464309812301E-2</v>
      </c>
    </row>
    <row r="33" spans="8:11" x14ac:dyDescent="0.55000000000000004">
      <c r="H33">
        <v>2.9</v>
      </c>
      <c r="I33">
        <f t="shared" si="0"/>
        <v>2</v>
      </c>
      <c r="J33">
        <f t="shared" si="1"/>
        <v>3.1159867205885011E-2</v>
      </c>
      <c r="K33">
        <f t="shared" si="2"/>
        <v>2.8467621235040767E-2</v>
      </c>
    </row>
    <row r="34" spans="8:11" x14ac:dyDescent="0.55000000000000004">
      <c r="H34">
        <v>3</v>
      </c>
      <c r="I34">
        <f t="shared" si="0"/>
        <v>3</v>
      </c>
      <c r="J34">
        <f t="shared" si="1"/>
        <v>3.3211179106054547E-2</v>
      </c>
      <c r="K34">
        <f t="shared" si="2"/>
        <v>3.0061732036873033E-2</v>
      </c>
    </row>
    <row r="35" spans="8:11" x14ac:dyDescent="0.55000000000000004">
      <c r="H35">
        <v>3.1</v>
      </c>
      <c r="I35">
        <f t="shared" si="0"/>
        <v>3</v>
      </c>
      <c r="J35">
        <f t="shared" si="1"/>
        <v>3.3211179106054547E-2</v>
      </c>
      <c r="K35">
        <f t="shared" si="2"/>
        <v>2.996205908460961E-2</v>
      </c>
    </row>
    <row r="36" spans="8:11" x14ac:dyDescent="0.55000000000000004">
      <c r="H36">
        <v>3.2</v>
      </c>
      <c r="I36">
        <f t="shared" si="0"/>
        <v>3</v>
      </c>
      <c r="J36">
        <f t="shared" si="1"/>
        <v>3.3211179106054547E-2</v>
      </c>
      <c r="K36">
        <f t="shared" si="2"/>
        <v>2.9862716608893603E-2</v>
      </c>
    </row>
    <row r="37" spans="8:11" x14ac:dyDescent="0.55000000000000004">
      <c r="H37">
        <v>3.3</v>
      </c>
      <c r="I37">
        <f t="shared" si="0"/>
        <v>3</v>
      </c>
      <c r="J37">
        <f t="shared" si="1"/>
        <v>3.3211179106054547E-2</v>
      </c>
      <c r="K37">
        <f t="shared" si="2"/>
        <v>2.9763703513993971E-2</v>
      </c>
    </row>
    <row r="38" spans="8:11" x14ac:dyDescent="0.55000000000000004">
      <c r="H38">
        <v>3.4</v>
      </c>
      <c r="I38">
        <f t="shared" si="0"/>
        <v>3</v>
      </c>
      <c r="J38">
        <f t="shared" si="1"/>
        <v>3.3211179106054547E-2</v>
      </c>
      <c r="K38">
        <f t="shared" si="2"/>
        <v>2.9665018707812674E-2</v>
      </c>
    </row>
    <row r="39" spans="8:11" x14ac:dyDescent="0.55000000000000004">
      <c r="H39">
        <v>3.5</v>
      </c>
      <c r="I39">
        <f t="shared" si="0"/>
        <v>3</v>
      </c>
      <c r="J39">
        <f t="shared" si="1"/>
        <v>3.3211179106054547E-2</v>
      </c>
      <c r="K39">
        <f t="shared" si="2"/>
        <v>2.9566661101872654E-2</v>
      </c>
    </row>
    <row r="40" spans="8:11" x14ac:dyDescent="0.55000000000000004">
      <c r="H40">
        <v>3.6</v>
      </c>
      <c r="I40">
        <f t="shared" si="0"/>
        <v>3</v>
      </c>
      <c r="J40">
        <f t="shared" si="1"/>
        <v>3.3211179106054547E-2</v>
      </c>
      <c r="K40">
        <f t="shared" si="2"/>
        <v>2.9468629611305811E-2</v>
      </c>
    </row>
    <row r="41" spans="8:11" x14ac:dyDescent="0.55000000000000004">
      <c r="H41">
        <v>3.7</v>
      </c>
      <c r="I41">
        <f t="shared" si="0"/>
        <v>3</v>
      </c>
      <c r="J41">
        <f t="shared" si="1"/>
        <v>3.3211179106054547E-2</v>
      </c>
      <c r="K41">
        <f t="shared" si="2"/>
        <v>2.9370923154841046E-2</v>
      </c>
    </row>
    <row r="42" spans="8:11" x14ac:dyDescent="0.55000000000000004">
      <c r="H42">
        <v>3.8</v>
      </c>
      <c r="I42">
        <f t="shared" si="0"/>
        <v>3</v>
      </c>
      <c r="J42">
        <f t="shared" si="1"/>
        <v>3.3211179106054547E-2</v>
      </c>
      <c r="K42">
        <f t="shared" si="2"/>
        <v>2.9273540654792339E-2</v>
      </c>
    </row>
    <row r="43" spans="8:11" x14ac:dyDescent="0.55000000000000004">
      <c r="H43">
        <v>3.9</v>
      </c>
      <c r="I43">
        <f t="shared" si="0"/>
        <v>3</v>
      </c>
      <c r="J43">
        <f t="shared" si="1"/>
        <v>3.3211179106054547E-2</v>
      </c>
      <c r="K43">
        <f t="shared" si="2"/>
        <v>2.9176481037046845E-2</v>
      </c>
    </row>
    <row r="44" spans="8:11" x14ac:dyDescent="0.55000000000000004">
      <c r="H44">
        <v>4</v>
      </c>
      <c r="I44">
        <f t="shared" si="0"/>
        <v>4</v>
      </c>
      <c r="J44">
        <f t="shared" si="1"/>
        <v>3.7207646749583441E-2</v>
      </c>
      <c r="K44">
        <f t="shared" si="2"/>
        <v>3.2062390603262811E-2</v>
      </c>
    </row>
    <row r="45" spans="8:11" x14ac:dyDescent="0.55000000000000004">
      <c r="H45">
        <v>4.0999999999999996</v>
      </c>
      <c r="I45">
        <f t="shared" si="0"/>
        <v>4</v>
      </c>
      <c r="J45">
        <f t="shared" si="1"/>
        <v>3.7207646749583441E-2</v>
      </c>
      <c r="K45">
        <f t="shared" si="2"/>
        <v>3.1943315655215319E-2</v>
      </c>
    </row>
    <row r="46" spans="8:11" x14ac:dyDescent="0.55000000000000004">
      <c r="H46">
        <v>4.2</v>
      </c>
      <c r="I46">
        <f t="shared" si="0"/>
        <v>4</v>
      </c>
      <c r="J46">
        <f t="shared" si="1"/>
        <v>3.7207646749583441E-2</v>
      </c>
      <c r="K46">
        <f t="shared" si="2"/>
        <v>3.1824682933807372E-2</v>
      </c>
    </row>
    <row r="47" spans="8:11" x14ac:dyDescent="0.55000000000000004">
      <c r="H47">
        <v>4.3</v>
      </c>
      <c r="I47">
        <f t="shared" si="0"/>
        <v>4</v>
      </c>
      <c r="J47">
        <f t="shared" si="1"/>
        <v>3.7207646749583441E-2</v>
      </c>
      <c r="K47">
        <f t="shared" si="2"/>
        <v>3.1706490796675042E-2</v>
      </c>
    </row>
    <row r="48" spans="8:11" x14ac:dyDescent="0.55000000000000004">
      <c r="H48">
        <v>4.4000000000000004</v>
      </c>
      <c r="I48">
        <f t="shared" si="0"/>
        <v>4</v>
      </c>
      <c r="J48">
        <f t="shared" si="1"/>
        <v>3.7207646749583441E-2</v>
      </c>
      <c r="K48">
        <f t="shared" si="2"/>
        <v>3.1588737607553888E-2</v>
      </c>
    </row>
    <row r="49" spans="8:11" x14ac:dyDescent="0.55000000000000004">
      <c r="H49">
        <v>4.5</v>
      </c>
      <c r="I49">
        <f t="shared" si="0"/>
        <v>4</v>
      </c>
      <c r="J49">
        <f t="shared" si="1"/>
        <v>3.7207646749583441E-2</v>
      </c>
      <c r="K49">
        <f t="shared" si="2"/>
        <v>3.1471421736256298E-2</v>
      </c>
    </row>
    <row r="50" spans="8:11" x14ac:dyDescent="0.55000000000000004">
      <c r="H50">
        <v>4.5999999999999996</v>
      </c>
      <c r="I50">
        <f t="shared" si="0"/>
        <v>4</v>
      </c>
      <c r="J50">
        <f t="shared" si="1"/>
        <v>3.7207646749583441E-2</v>
      </c>
      <c r="K50">
        <f t="shared" si="2"/>
        <v>3.1354541558648953E-2</v>
      </c>
    </row>
    <row r="51" spans="8:11" x14ac:dyDescent="0.55000000000000004">
      <c r="H51">
        <v>4.7</v>
      </c>
      <c r="I51">
        <f t="shared" si="0"/>
        <v>4</v>
      </c>
      <c r="J51">
        <f t="shared" si="1"/>
        <v>3.7207646749583441E-2</v>
      </c>
      <c r="K51">
        <f t="shared" si="2"/>
        <v>3.1238095456630303E-2</v>
      </c>
    </row>
    <row r="52" spans="8:11" x14ac:dyDescent="0.55000000000000004">
      <c r="H52">
        <v>4.8</v>
      </c>
      <c r="I52">
        <f t="shared" si="0"/>
        <v>4</v>
      </c>
      <c r="J52">
        <f t="shared" si="1"/>
        <v>3.7207646749583441E-2</v>
      </c>
      <c r="K52">
        <f t="shared" si="2"/>
        <v>3.1122081818108212E-2</v>
      </c>
    </row>
    <row r="53" spans="8:11" x14ac:dyDescent="0.55000000000000004">
      <c r="H53">
        <v>4.9000000000000004</v>
      </c>
      <c r="I53">
        <f t="shared" si="0"/>
        <v>4</v>
      </c>
      <c r="J53">
        <f t="shared" si="1"/>
        <v>3.7207646749583441E-2</v>
      </c>
      <c r="K53">
        <f t="shared" si="2"/>
        <v>3.1006499036977601E-2</v>
      </c>
    </row>
    <row r="54" spans="8:11" x14ac:dyDescent="0.55000000000000004">
      <c r="H54">
        <v>5</v>
      </c>
      <c r="I54">
        <f t="shared" si="0"/>
        <v>5</v>
      </c>
      <c r="J54">
        <f t="shared" si="1"/>
        <v>3.7260334894997603E-2</v>
      </c>
      <c r="K54">
        <f t="shared" si="2"/>
        <v>3.0926940927400014E-2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1 price CDS</vt:lpstr>
      <vt:lpstr>2 bootstrap PrSurv</vt:lpstr>
      <vt:lpstr>3 hazard rate</vt:lpstr>
      <vt:lpstr>d_t</vt:lpstr>
      <vt:lpstr>dt</vt:lpstr>
      <vt:lpstr>N</vt:lpstr>
      <vt:lpstr>rfr</vt:lpstr>
      <vt:lpstr>RR</vt:lpstr>
    </vt:vector>
  </TitlesOfParts>
  <Company>American International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Ran</dc:creator>
  <cp:lastModifiedBy>Ran</cp:lastModifiedBy>
  <dcterms:created xsi:type="dcterms:W3CDTF">2016-07-19T22:44:22Z</dcterms:created>
  <dcterms:modified xsi:type="dcterms:W3CDTF">2016-07-20T04:42:19Z</dcterms:modified>
</cp:coreProperties>
</file>