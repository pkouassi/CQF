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\Documents\CRBook3rd\Exercises\"/>
    </mc:Choice>
  </mc:AlternateContent>
  <bookViews>
    <workbookView xWindow="240" yWindow="168" windowWidth="11352" windowHeight="7872"/>
  </bookViews>
  <sheets>
    <sheet name="Spreadsheet12.1" sheetId="6" r:id="rId1"/>
    <sheet name="Spreadsheet12.2" sheetId="7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LS1" localSheetId="1">#REF!</definedName>
    <definedName name="_LS1">#REF!</definedName>
    <definedName name="_LS2" localSheetId="1">#REF!</definedName>
    <definedName name="_LS2">#REF!</definedName>
    <definedName name="_mu1" localSheetId="1">#REF!</definedName>
    <definedName name="_mu1">#REF!</definedName>
    <definedName name="_mu2" localSheetId="1">#REF!</definedName>
    <definedName name="_mu2">#REF!</definedName>
    <definedName name="_Mu3" localSheetId="1">#REF!</definedName>
    <definedName name="_Mu3">#REF!</definedName>
    <definedName name="_PV1" localSheetId="1">#REF!</definedName>
    <definedName name="_PV1">#REF!</definedName>
    <definedName name="_PV2" localSheetId="1">#REF!</definedName>
    <definedName name="_PV2">#REF!</definedName>
    <definedName name="_RDV01">[1]BlackModel!$D$21</definedName>
    <definedName name="_Val1">[2]CVA!$J$3</definedName>
    <definedName name="_Val2">[2]CVA!$J$4</definedName>
    <definedName name="_Val3">[2]CVA!$J$5</definedName>
    <definedName name="_VaR10" localSheetId="1">#REF!</definedName>
    <definedName name="_VaR10">#REF!</definedName>
    <definedName name="_VAR2" localSheetId="1">#REF!</definedName>
    <definedName name="_VAR2">#REF!</definedName>
    <definedName name="_VAR3" localSheetId="1">#REF!</definedName>
    <definedName name="_VAR3">#REF!</definedName>
    <definedName name="_vd1" localSheetId="1">#REF!</definedName>
    <definedName name="_vd1">#REF!</definedName>
    <definedName name="_vd2" localSheetId="1">#REF!</definedName>
    <definedName name="_vd2">#REF!</definedName>
    <definedName name="_vvd1">[3]TreePricer!$C$26</definedName>
    <definedName name="_wd1">[3]TreePricer!$C$27</definedName>
    <definedName name="_xd1">[4]HedgingSimulation!$C$14</definedName>
    <definedName name="_xd2">[4]HedgingSimulation!$C$15</definedName>
    <definedName name="AccrCell" localSheetId="1">#REF!</definedName>
    <definedName name="AccrCell">#REF!</definedName>
    <definedName name="AccrChoice" localSheetId="1">#REF!</definedName>
    <definedName name="AccrChoice">#REF!</definedName>
    <definedName name="AccruedCell" localSheetId="1">#REF!</definedName>
    <definedName name="AccruedCell">#REF!</definedName>
    <definedName name="AccruedChoice" localSheetId="1">#REF!</definedName>
    <definedName name="AccruedChoice">#REF!</definedName>
    <definedName name="AccruedInterest">'[5]Bond Price with Excel'!$B$24</definedName>
    <definedName name="AccruedOptions" localSheetId="1">#REF!</definedName>
    <definedName name="AccruedOptions">#REF!</definedName>
    <definedName name="AccruedOrNot" localSheetId="1">#REF!</definedName>
    <definedName name="AccruedOrNot">#REF!</definedName>
    <definedName name="AccruedPrem" localSheetId="1">#REF!</definedName>
    <definedName name="AccruedPrem">#REF!</definedName>
    <definedName name="AccruedYesNo" localSheetId="1">#REF!</definedName>
    <definedName name="AccruedYesNo">#REF!</definedName>
    <definedName name="Accured" localSheetId="1">#REF!</definedName>
    <definedName name="Accured">#REF!</definedName>
    <definedName name="ActIntensity1" localSheetId="1">[6]CVA!#REF!</definedName>
    <definedName name="ActIntensity1">[6]CVA!#REF!</definedName>
    <definedName name="ActIntensity2" localSheetId="1">[6]CVA!#REF!</definedName>
    <definedName name="ActIntensity2">[6]CVA!#REF!</definedName>
    <definedName name="ActMat" localSheetId="1">#REF!</definedName>
    <definedName name="ActMat">#REF!</definedName>
    <definedName name="Actual_Rating_11" localSheetId="1">#REF!</definedName>
    <definedName name="Actual_Rating_11">#REF!</definedName>
    <definedName name="AgentRec" localSheetId="1">[2]CVA!#REF!</definedName>
    <definedName name="AgentRec">[2]CVA!#REF!</definedName>
    <definedName name="AllRandomNumbers" localSheetId="1">#REF!</definedName>
    <definedName name="AllRandomNumbers">#REF!</definedName>
    <definedName name="Alpha" localSheetId="0">Spreadsheet12.1!#REF!</definedName>
    <definedName name="Alpha" localSheetId="1">Spreadsheet12.2!#REF!</definedName>
    <definedName name="Alpha">#REF!</definedName>
    <definedName name="AlphaEPE">[2]Portfolio!$J$9</definedName>
    <definedName name="AlphaParam" localSheetId="1">#REF!</definedName>
    <definedName name="AlphaParam">#REF!</definedName>
    <definedName name="AmortChoice" localSheetId="1">#REF!</definedName>
    <definedName name="AmortChoice">#REF!</definedName>
    <definedName name="Amortisation" localSheetId="1">#REF!</definedName>
    <definedName name="Amortisation">#REF!</definedName>
    <definedName name="AmortisedTime" localSheetId="1">#REF!</definedName>
    <definedName name="AmortisedTime">#REF!</definedName>
    <definedName name="Amortising" localSheetId="1">#REF!</definedName>
    <definedName name="Amortising">#REF!</definedName>
    <definedName name="Amortizing" localSheetId="1">#REF!</definedName>
    <definedName name="Amortizing">#REF!</definedName>
    <definedName name="AmortOrNot" localSheetId="1">#REF!</definedName>
    <definedName name="AmortOrNot">#REF!</definedName>
    <definedName name="amount1">[7]SimpleCovarianceWithWeights!$J$3</definedName>
    <definedName name="amount2">[7]SimpleCovarianceWithWeights!$K$3</definedName>
    <definedName name="AmountToLiquidate" localSheetId="1">#REF!</definedName>
    <definedName name="AmountToLiquidate">#REF!</definedName>
    <definedName name="AnalyticalDeltas" localSheetId="1">#REF!</definedName>
    <definedName name="AnalyticalDeltas">#REF!</definedName>
    <definedName name="Asset2" localSheetId="1">[8]MonteCarlo!#REF!</definedName>
    <definedName name="Asset2">[8]MonteCarlo!#REF!</definedName>
    <definedName name="AssetCorrelation">[2]Portfolio!$J$11</definedName>
    <definedName name="AssetMC">[8]MonteCarlo!$C$3</definedName>
    <definedName name="AssetPrice" localSheetId="1">#REF!</definedName>
    <definedName name="AssetPrice">#REF!</definedName>
    <definedName name="AssetVal" localSheetId="1">#REF!</definedName>
    <definedName name="AssetVal">#REF!</definedName>
    <definedName name="AssetValue" localSheetId="1">#REF!</definedName>
    <definedName name="AssetValue">#REF!</definedName>
    <definedName name="Assetvol">[9]CreditGrades!$C$19</definedName>
    <definedName name="AssetVolatility" localSheetId="1">#REF!</definedName>
    <definedName name="AssetVolatility">#REF!</definedName>
    <definedName name="At">[9]CreditGrades!$C$20</definedName>
    <definedName name="Attach" localSheetId="1">#REF!</definedName>
    <definedName name="Attach">#REF!</definedName>
    <definedName name="Attach2" localSheetId="1">#REF!</definedName>
    <definedName name="Attach2">#REF!</definedName>
    <definedName name="AvDefProb">[9]Portfolio!$J$16</definedName>
    <definedName name="AvRecovery" localSheetId="1">[9]Portfolio!#REF!</definedName>
    <definedName name="AvRecovery">[9]Portfolio!#REF!</definedName>
    <definedName name="AvSpread">[10]IndexBasis!$I$10</definedName>
    <definedName name="AvSpread2" localSheetId="1">#REF!</definedName>
    <definedName name="AvSpread2">#REF!</definedName>
    <definedName name="Barrier">[4]OptionPricer!$C$20</definedName>
    <definedName name="BaseCorrel1" localSheetId="1">#REF!</definedName>
    <definedName name="BaseCorrel1">#REF!</definedName>
    <definedName name="BaseCorrel2" localSheetId="1">#REF!</definedName>
    <definedName name="BaseCorrel2">#REF!</definedName>
    <definedName name="BaseCorrelComb" localSheetId="1">#REF!</definedName>
    <definedName name="BaseCorrelComb">#REF!</definedName>
    <definedName name="BaseCorrelCurve" localSheetId="1">#REF!</definedName>
    <definedName name="BaseCorrelCurve">#REF!</definedName>
    <definedName name="BaseCorrelEUR" localSheetId="1">#REF!</definedName>
    <definedName name="BaseCorrelEUR">#REF!</definedName>
    <definedName name="BaseCorrelUS" localSheetId="1">#REF!</definedName>
    <definedName name="BaseCorrelUS">#REF!</definedName>
    <definedName name="BaseCorrEuro" localSheetId="1">#REF!</definedName>
    <definedName name="BaseCorrEuro">#REF!</definedName>
    <definedName name="BaseCorrUS" localSheetId="1">#REF!</definedName>
    <definedName name="BaseCorrUS">#REF!</definedName>
    <definedName name="Basis" localSheetId="1">#REF!</definedName>
    <definedName name="Basis">#REF!</definedName>
    <definedName name="Basis1" localSheetId="1">#REF!</definedName>
    <definedName name="Basis1">#REF!</definedName>
    <definedName name="Basis2" localSheetId="1">#REF!</definedName>
    <definedName name="Basis2">#REF!</definedName>
    <definedName name="BasisChoices" localSheetId="1">#REF!</definedName>
    <definedName name="BasisChoices">#REF!</definedName>
    <definedName name="BasisIndex" localSheetId="1">#REF!</definedName>
    <definedName name="BasisIndex">#REF!</definedName>
    <definedName name="BasisTable1" localSheetId="1">#REF!</definedName>
    <definedName name="BasisTable1">#REF!</definedName>
    <definedName name="BasisTable2" localSheetId="1">#REF!</definedName>
    <definedName name="BasisTable2">#REF!</definedName>
    <definedName name="BasketPV" localSheetId="1">#REF!</definedName>
    <definedName name="BasketPV">#REF!</definedName>
    <definedName name="BasketType" localSheetId="1">#REF!</definedName>
    <definedName name="BasketType">#REF!</definedName>
    <definedName name="bBasis" localSheetId="1">#REF!</definedName>
    <definedName name="bBasis">#REF!</definedName>
    <definedName name="bBasisIndex" localSheetId="1">#REF!</definedName>
    <definedName name="bBasisIndex">#REF!</definedName>
    <definedName name="BCorrel" localSheetId="1">#REF!</definedName>
    <definedName name="BCorrel">#REF!</definedName>
    <definedName name="Beta" localSheetId="1">#REF!</definedName>
    <definedName name="Beta">#REF!</definedName>
    <definedName name="bFreq" localSheetId="1">#REF!</definedName>
    <definedName name="bFreq">#REF!</definedName>
    <definedName name="bFreqIndex" localSheetId="1">#REF!</definedName>
    <definedName name="bFreqIndex">#REF!</definedName>
    <definedName name="BID" localSheetId="1">#REF!</definedName>
    <definedName name="BID">#REF!</definedName>
    <definedName name="bilateral_penalty" localSheetId="1">#REF!</definedName>
    <definedName name="bilateral_penalty">#REF!</definedName>
    <definedName name="bilaterla_penalty" localSheetId="1">#REF!</definedName>
    <definedName name="bilaterla_penalty">#REF!</definedName>
    <definedName name="blank_ref_cell" localSheetId="1">#REF!</definedName>
    <definedName name="blank_ref_cell">#REF!</definedName>
    <definedName name="bMatDate" localSheetId="1">#REF!</definedName>
    <definedName name="bMatDate">#REF!</definedName>
    <definedName name="Bond_Data_11" localSheetId="1">#REF!</definedName>
    <definedName name="Bond_Data_11">#REF!</definedName>
    <definedName name="BondDeltaApprox" localSheetId="1">#REF!</definedName>
    <definedName name="BondDeltaApprox">#REF!</definedName>
    <definedName name="BondDeltaApprox2" localSheetId="1">#REF!</definedName>
    <definedName name="BondDeltaApprox2">#REF!</definedName>
    <definedName name="BondDuration" localSheetId="1">#REF!</definedName>
    <definedName name="BondDuration">#REF!</definedName>
    <definedName name="BondMaturity" localSheetId="1">#REF!</definedName>
    <definedName name="BondMaturity">#REF!</definedName>
    <definedName name="BondPrice" localSheetId="1">#REF!</definedName>
    <definedName name="BondPrice">#REF!</definedName>
    <definedName name="BondPrice_11" localSheetId="1">#REF!</definedName>
    <definedName name="BondPrice_11">#REF!</definedName>
    <definedName name="BondPriceNow" localSheetId="1">#REF!</definedName>
    <definedName name="BondPriceNow">#REF!</definedName>
    <definedName name="bRecovery" localSheetId="1">#REF!</definedName>
    <definedName name="bRecovery">#REF!</definedName>
    <definedName name="BumpType" localSheetId="1">#REF!</definedName>
    <definedName name="BumpType">#REF!</definedName>
    <definedName name="BuyFrom" localSheetId="1">#REF!</definedName>
    <definedName name="BuyFrom">#REF!</definedName>
    <definedName name="CalChoices" localSheetId="1">#REF!</definedName>
    <definedName name="CalChoices">#REF!</definedName>
    <definedName name="CalChoose" localSheetId="1">#REF!</definedName>
    <definedName name="CalChoose">#REF!</definedName>
    <definedName name="CalcOptions" localSheetId="1">#REF!</definedName>
    <definedName name="CalcOptions">#REF!</definedName>
    <definedName name="CalcTypeIndex" localSheetId="1">#REF!</definedName>
    <definedName name="CalcTypeIndex">#REF!</definedName>
    <definedName name="CalcTypeOption" localSheetId="1">#REF!</definedName>
    <definedName name="CalcTypeOption">#REF!</definedName>
    <definedName name="CalculationType" localSheetId="1">#REF!</definedName>
    <definedName name="CalculationType">#REF!</definedName>
    <definedName name="CalibChoice" localSheetId="1">#REF!</definedName>
    <definedName name="CalibChoice">#REF!</definedName>
    <definedName name="CalibChoices" localSheetId="1">#REF!</definedName>
    <definedName name="CalibChoices">#REF!</definedName>
    <definedName name="calibopencol" localSheetId="1">OFFSET(Spreadsheet12.2!LGMChoice,2,0,Spreadsheet12.2!NumLGMChoices,1)</definedName>
    <definedName name="calibopencol">OFFSET([0]!LGMChoice,2,0,[0]!NumLGMChoices,1)</definedName>
    <definedName name="calibopencol1" localSheetId="1">OFFSET(Spreadsheet12.2!LGMChoice,2,0,Spreadsheet12.2!NumLGMChoices,1)</definedName>
    <definedName name="calibopencol1">OFFSET([0]!LGMChoice,2,0,[0]!NumLGMChoices,1)</definedName>
    <definedName name="CalibPoints" localSheetId="1">#REF!</definedName>
    <definedName name="CalibPoints">#REF!</definedName>
    <definedName name="Calibration" localSheetId="1">#REF!</definedName>
    <definedName name="Calibration">#REF!</definedName>
    <definedName name="CalibrationChoices" localSheetId="1">#REF!</definedName>
    <definedName name="CalibrationChoices">#REF!</definedName>
    <definedName name="CalibrationMode" localSheetId="1">#REF!</definedName>
    <definedName name="CalibrationMode">#REF!</definedName>
    <definedName name="CalibrationResults" localSheetId="1">#REF!</definedName>
    <definedName name="CalibrationResults">#REF!</definedName>
    <definedName name="CalibrationType" localSheetId="1">#REF!</definedName>
    <definedName name="CalibrationType">#REF!</definedName>
    <definedName name="CalibType" localSheetId="1">#REF!</definedName>
    <definedName name="CalibType">#REF!</definedName>
    <definedName name="CaliCell" localSheetId="1">#REF!</definedName>
    <definedName name="CaliCell">#REF!</definedName>
    <definedName name="CaliChoice" localSheetId="1">#REF!</definedName>
    <definedName name="CaliChoice">#REF!</definedName>
    <definedName name="CallPut" localSheetId="1">#REF!</definedName>
    <definedName name="CallPut">#REF!</definedName>
    <definedName name="CallRetYesNo">[2]CollateralMarginCall!$C$14</definedName>
    <definedName name="CallYesNo" localSheetId="1">#REF!</definedName>
    <definedName name="CallYesNo">#REF!</definedName>
    <definedName name="CallYesNo2" localSheetId="1">#REF!</definedName>
    <definedName name="CallYesNo2">#REF!</definedName>
    <definedName name="CancellableCDSPrem">[1]BlackModel!$D$14</definedName>
    <definedName name="CancelOption">[1]BlackModel!$D$24</definedName>
    <definedName name="cBasis" localSheetId="1">#REF!</definedName>
    <definedName name="cBasis">#REF!</definedName>
    <definedName name="cBasisIndex" localSheetId="1">#REF!</definedName>
    <definedName name="cBasisIndex">#REF!</definedName>
    <definedName name="CCY" localSheetId="1">#REF!</definedName>
    <definedName name="CCY">#REF!</definedName>
    <definedName name="CDODef" localSheetId="1">#REF!</definedName>
    <definedName name="CDODef">#REF!</definedName>
    <definedName name="CDODef2" localSheetId="1">#REF!</definedName>
    <definedName name="CDODef2">#REF!</definedName>
    <definedName name="CDOPrem" localSheetId="1">#REF!</definedName>
    <definedName name="CDOPrem">#REF!</definedName>
    <definedName name="CDOPrem2" localSheetId="1">#REF!</definedName>
    <definedName name="CDOPrem2">#REF!</definedName>
    <definedName name="CDOPV" localSheetId="1">#REF!</definedName>
    <definedName name="CDOPV">#REF!</definedName>
    <definedName name="CDOPV2" localSheetId="1">#REF!</definedName>
    <definedName name="CDOPV2">#REF!</definedName>
    <definedName name="CDSMarket" localSheetId="1">#REF!</definedName>
    <definedName name="CDSMarket">#REF!</definedName>
    <definedName name="CDSPremium">[1]BlackModel!$D$13</definedName>
    <definedName name="CDSPV" localSheetId="1">#REF!</definedName>
    <definedName name="CDSPV">#REF!</definedName>
    <definedName name="cFreq" localSheetId="1">#REF!</definedName>
    <definedName name="cFreq">#REF!</definedName>
    <definedName name="cFreqIndex" localSheetId="1">#REF!</definedName>
    <definedName name="cFreqIndex">#REF!</definedName>
    <definedName name="CholeskyInverse" localSheetId="1">#REF!</definedName>
    <definedName name="CholeskyInverse">#REF!</definedName>
    <definedName name="CholeskyMatrix" localSheetId="1">#REF!</definedName>
    <definedName name="CholeskyMatrix">#REF!</definedName>
    <definedName name="CleanPrice">'[5]Bond Price with Excel'!$B$23</definedName>
    <definedName name="cMatDate" localSheetId="1">#REF!</definedName>
    <definedName name="cMatDate">#REF!</definedName>
    <definedName name="CntrptyDefProb">[2]CDSCntrptyRisk!$C$14</definedName>
    <definedName name="CntrptyRec" localSheetId="1">[2]CVA!#REF!</definedName>
    <definedName name="CntrptyRec">[2]CVA!#REF!</definedName>
    <definedName name="CntrptySpread">[2]CDSCntrptyRisk!$C$8</definedName>
    <definedName name="Collateral" localSheetId="0">Spreadsheet12.1!$L$137</definedName>
    <definedName name="Collateral" localSheetId="1">Spreadsheet12.2!$L$137</definedName>
    <definedName name="Collateral">#REF!</definedName>
    <definedName name="CollateralChoice" localSheetId="1">#REF!</definedName>
    <definedName name="CollateralChoice">#REF!</definedName>
    <definedName name="CollateralChoices" localSheetId="1">#REF!</definedName>
    <definedName name="CollateralChoices">#REF!</definedName>
    <definedName name="CollateralHeld">[2]CollateralMarginCall!$C$9</definedName>
    <definedName name="CollateralHeld2" localSheetId="1">#REF!</definedName>
    <definedName name="CollateralHeld2">#REF!</definedName>
    <definedName name="CollateralisedExposure" localSheetId="0">Spreadsheet12.1!$L$264</definedName>
    <definedName name="CollateralisedExposure" localSheetId="1">Spreadsheet12.2!$L$264</definedName>
    <definedName name="CollateralisedExposure">#REF!</definedName>
    <definedName name="CollateralMultiplier" localSheetId="1">#REF!</definedName>
    <definedName name="CollateralMultiplier">#REF!</definedName>
    <definedName name="CollateralRequired">[2]CollateralMarginCall!$C$13</definedName>
    <definedName name="CollateralRequired2" localSheetId="1">#REF!</definedName>
    <definedName name="CollateralRequired2">#REF!</definedName>
    <definedName name="CollateralThreshold" localSheetId="1">#REF!</definedName>
    <definedName name="CollateralThreshold">#REF!</definedName>
    <definedName name="CollateralType" localSheetId="1">#REF!</definedName>
    <definedName name="CollateralType">#REF!</definedName>
    <definedName name="CompoundCorrel" localSheetId="1">#REF!</definedName>
    <definedName name="CompoundCorrel">#REF!</definedName>
    <definedName name="ComputCreditPort" localSheetId="1">#REF!</definedName>
    <definedName name="ComputCreditPort">#REF!</definedName>
    <definedName name="ConfidenceAlpha">[2]Portfolio!$J$8</definedName>
    <definedName name="Constaints" localSheetId="1">#REF!</definedName>
    <definedName name="Constaints">#REF!</definedName>
    <definedName name="Constant">[4]CoherentRiskMeasuresExample!$I$7</definedName>
    <definedName name="Constr" localSheetId="1">#REF!</definedName>
    <definedName name="Constr">#REF!</definedName>
    <definedName name="ConstTerm">[8]MonteCarlo!$F$6</definedName>
    <definedName name="CopulaCorrelation">[2]CDSCntrptyRisk!$C$9</definedName>
    <definedName name="CorP" localSheetId="1">#REF!</definedName>
    <definedName name="CorP">#REF!</definedName>
    <definedName name="Corr" localSheetId="1">#REF!</definedName>
    <definedName name="Corr">#REF!</definedName>
    <definedName name="CorrectionTerm">'[2]Impact of PV'!$C$22</definedName>
    <definedName name="CORRECTPASSWORD" localSheetId="1">#REF!</definedName>
    <definedName name="CORRECTPASSWORD">#REF!</definedName>
    <definedName name="Correl" localSheetId="1">#REF!</definedName>
    <definedName name="Correl">#REF!</definedName>
    <definedName name="Correlation">[9]Portfolio!$J$13</definedName>
    <definedName name="Correlation_Matrix_11" localSheetId="1">#REF!</definedName>
    <definedName name="Correlation_Matrix_11">#REF!</definedName>
    <definedName name="CorrelationMatrix" localSheetId="1">#REF!</definedName>
    <definedName name="CorrelationMatrix">#REF!</definedName>
    <definedName name="CorrelAttach" localSheetId="1">#REF!</definedName>
    <definedName name="CorrelAttach">#REF!</definedName>
    <definedName name="CorrelAttach2" localSheetId="1">#REF!</definedName>
    <definedName name="CorrelAttach2">#REF!</definedName>
    <definedName name="CorrelBump" localSheetId="1">#REF!</definedName>
    <definedName name="CorrelBump">#REF!</definedName>
    <definedName name="CorrelDetach" localSheetId="1">#REF!</definedName>
    <definedName name="CorrelDetach">#REF!</definedName>
    <definedName name="CorrelDetach2" localSheetId="1">#REF!</definedName>
    <definedName name="CorrelDetach2">#REF!</definedName>
    <definedName name="CorrelExpColl" localSheetId="1">#REF!</definedName>
    <definedName name="CorrelExpColl">#REF!</definedName>
    <definedName name="CorrelLowerTranche" localSheetId="1">#REF!</definedName>
    <definedName name="CorrelLowerTranche">#REF!</definedName>
    <definedName name="CorrelScenario" localSheetId="1">#REF!</definedName>
    <definedName name="CorrelScenario">#REF!</definedName>
    <definedName name="CorrelUpperTranche" localSheetId="1">#REF!</definedName>
    <definedName name="CorrelUpperTranche">#REF!</definedName>
    <definedName name="Countries" localSheetId="1">#REF!</definedName>
    <definedName name="Countries">#REF!</definedName>
    <definedName name="Country_Key" localSheetId="1">#REF!</definedName>
    <definedName name="Country_Key">#REF!</definedName>
    <definedName name="Country_Name" localSheetId="1">#REF!</definedName>
    <definedName name="Country_Name">#REF!</definedName>
    <definedName name="Country_Rating" localSheetId="1">#REF!</definedName>
    <definedName name="Country_Rating">#REF!</definedName>
    <definedName name="Country_Region" localSheetId="1">#REF!</definedName>
    <definedName name="Country_Region">#REF!</definedName>
    <definedName name="Coup">[5]YieldExample!$C$4</definedName>
    <definedName name="Coupon">'[5]Bond Price with Excel'!$B$12</definedName>
    <definedName name="CouponsPerYear">'[5]Bond Price with Excel'!$B$15</definedName>
    <definedName name="CovarianceMatrix" localSheetId="1">#REF!</definedName>
    <definedName name="CovarianceMatrix">#REF!</definedName>
    <definedName name="CovarianceMatrixInverse">[5]MeanVariance!$G$11:$J$14</definedName>
    <definedName name="CPCHOICES" localSheetId="1">#REF!</definedName>
    <definedName name="CPCHOICES">#REF!</definedName>
    <definedName name="cpIndex" localSheetId="1">#REF!</definedName>
    <definedName name="cpIndex">#REF!</definedName>
    <definedName name="cRecovery" localSheetId="1">#REF!</definedName>
    <definedName name="cRecovery">#REF!</definedName>
    <definedName name="CREDIT_STAMP">"DSPricer"</definedName>
    <definedName name="CreditCurve">Spreadsheet12.2!$C$11</definedName>
    <definedName name="CreditCurveStart" localSheetId="1">#REF!</definedName>
    <definedName name="CreditCurveStart">#REF!</definedName>
    <definedName name="CreditModel" localSheetId="1">#REF!</definedName>
    <definedName name="CreditModel">#REF!</definedName>
    <definedName name="CreditModelType" localSheetId="1">#REF!</definedName>
    <definedName name="CreditModelType">#REF!</definedName>
    <definedName name="CreditTau" localSheetId="1">#REF!</definedName>
    <definedName name="CreditTau">#REF!</definedName>
    <definedName name="CreditVol" localSheetId="1">#REF!</definedName>
    <definedName name="CreditVol">#REF!</definedName>
    <definedName name="Currency" localSheetId="1">#REF!</definedName>
    <definedName name="Currency">#REF!</definedName>
    <definedName name="currency_mismatch_penalty" localSheetId="1">#REF!</definedName>
    <definedName name="currency_mismatch_penalty">#REF!</definedName>
    <definedName name="CurrentEquity">[3]TradingStrategy!$C$8</definedName>
    <definedName name="CurrentExposure" localSheetId="1">#REF!</definedName>
    <definedName name="CurrentExposure">#REF!</definedName>
    <definedName name="CurrentSpread">[3]TradingStrategy!$C$9</definedName>
    <definedName name="CurrentStock">[3]TreePricer!$C$14</definedName>
    <definedName name="CURVE_INDEX" localSheetId="1">#REF!</definedName>
    <definedName name="CURVE_INDEX">#REF!</definedName>
    <definedName name="CURVE_LIST" localSheetId="1">#REF!</definedName>
    <definedName name="CURVE_LIST">#REF!</definedName>
    <definedName name="DailyVol" localSheetId="1">#REF!</definedName>
    <definedName name="DailyVol">#REF!</definedName>
    <definedName name="DailyVol2" localSheetId="1">#REF!</definedName>
    <definedName name="DailyVol2">#REF!</definedName>
    <definedName name="DailyVolatility" localSheetId="1">#REF!</definedName>
    <definedName name="DailyVolatility">#REF!</definedName>
    <definedName name="DateToday" localSheetId="1">#REF!</definedName>
    <definedName name="DateToday">#REF!</definedName>
    <definedName name="DayCount" localSheetId="1">'[5]Bond Price with Excel'!#REF!</definedName>
    <definedName name="DayCount">'[5]Bond Price with Excel'!#REF!</definedName>
    <definedName name="DaysToLiquidation" localSheetId="1">#REF!</definedName>
    <definedName name="DaysToLiquidation">#REF!</definedName>
    <definedName name="DealTerm" localSheetId="1">#REF!</definedName>
    <definedName name="DealTerm">#REF!</definedName>
    <definedName name="Debt">[9]Merton!$C$21</definedName>
    <definedName name="DebtPerShare" localSheetId="1">#REF!</definedName>
    <definedName name="DebtPerShare">#REF!</definedName>
    <definedName name="DefaultBarrier" localSheetId="1">#REF!</definedName>
    <definedName name="DefaultBarrier">#REF!</definedName>
    <definedName name="DefaultLoss" localSheetId="1">#REF!</definedName>
    <definedName name="DefaultLoss">#REF!</definedName>
    <definedName name="DefaultProb" localSheetId="1">#REF!</definedName>
    <definedName name="DefaultProb">#REF!</definedName>
    <definedName name="DefaultTime" localSheetId="1">#REF!</definedName>
    <definedName name="DefaultTime">#REF!</definedName>
    <definedName name="DefComp" localSheetId="1">#REF!</definedName>
    <definedName name="DefComp">#REF!</definedName>
    <definedName name="DefEventLoss" localSheetId="1">#REF!</definedName>
    <definedName name="DefEventLoss">#REF!</definedName>
    <definedName name="DefLegLowerTranche" localSheetId="1">#REF!</definedName>
    <definedName name="DefLegLowerTranche">#REF!</definedName>
    <definedName name="DefLegUpperTranche" localSheetId="1">#REF!</definedName>
    <definedName name="DefLegUpperTranche">#REF!</definedName>
    <definedName name="DefProb" localSheetId="1">#REF!</definedName>
    <definedName name="DefProb">#REF!</definedName>
    <definedName name="DefProb1" localSheetId="1">#REF!</definedName>
    <definedName name="DefProb1">#REF!</definedName>
    <definedName name="DefProb2" localSheetId="1">#REF!</definedName>
    <definedName name="DefProb2">#REF!</definedName>
    <definedName name="DefProb3" localSheetId="1">#REF!</definedName>
    <definedName name="DefProb3">#REF!</definedName>
    <definedName name="DefProb4" localSheetId="1">#REF!</definedName>
    <definedName name="DefProb4">#REF!</definedName>
    <definedName name="DefProb5" localSheetId="1">#REF!</definedName>
    <definedName name="DefProb5">#REF!</definedName>
    <definedName name="DefProbs">[9]Portfolio!$E$10</definedName>
    <definedName name="DefThreshold" localSheetId="1">#REF!</definedName>
    <definedName name="DefThreshold">#REF!</definedName>
    <definedName name="delay" localSheetId="1">#REF!</definedName>
    <definedName name="delay">#REF!</definedName>
    <definedName name="deliveredvol">[4]HedgingSimulation!$G$8</definedName>
    <definedName name="Delta" localSheetId="1">#REF!</definedName>
    <definedName name="Delta">#REF!</definedName>
    <definedName name="DeltaApprox2" localSheetId="1">#REF!</definedName>
    <definedName name="DeltaApprox2">#REF!</definedName>
    <definedName name="DeltaBump" localSheetId="1">#REF!</definedName>
    <definedName name="DeltaBump">#REF!</definedName>
    <definedName name="DeltaShift" localSheetId="1">#REF!</definedName>
    <definedName name="DeltaShift">#REF!</definedName>
    <definedName name="DeltaStart" localSheetId="1">#REF!</definedName>
    <definedName name="DeltaStart">#REF!</definedName>
    <definedName name="Detach" localSheetId="1">#REF!</definedName>
    <definedName name="Detach">#REF!</definedName>
    <definedName name="Detach2" localSheetId="1">#REF!</definedName>
    <definedName name="Detach2">#REF!</definedName>
    <definedName name="DFSCurve" localSheetId="1">#REF!</definedName>
    <definedName name="DFSCurve">#REF!</definedName>
    <definedName name="DFSSheets" localSheetId="1">#REF!</definedName>
    <definedName name="DFSSheets">#REF!</definedName>
    <definedName name="DirtyPrice">'[5]Bond Price with Excel'!$B$25</definedName>
    <definedName name="DividendYield" localSheetId="1">#REF!</definedName>
    <definedName name="DividendYield">#REF!</definedName>
    <definedName name="DivYield" localSheetId="1">#REF!</definedName>
    <definedName name="DivYield">#REF!</definedName>
    <definedName name="DL" localSheetId="1">#REF!</definedName>
    <definedName name="DL">#REF!</definedName>
    <definedName name="DperS" localSheetId="1">#REF!</definedName>
    <definedName name="DperS">#REF!</definedName>
    <definedName name="dPV" localSheetId="1">#REF!</definedName>
    <definedName name="dPV">#REF!</definedName>
    <definedName name="Draws">[4]BinomialVsNormal!$C$7</definedName>
    <definedName name="Drift" localSheetId="1">#REF!</definedName>
    <definedName name="Drift">#REF!</definedName>
    <definedName name="drift2">[11]HedgingSimulation!$G$7</definedName>
    <definedName name="Dt">[8]MonteCarlo!$F$5</definedName>
    <definedName name="DTDays" localSheetId="1">#REF!</definedName>
    <definedName name="DTDays">#REF!</definedName>
    <definedName name="DTMarketPrem" localSheetId="1">#REF!</definedName>
    <definedName name="DTMarketPrem">#REF!</definedName>
    <definedName name="Dump">[2]MonteCarlo!$N$2</definedName>
    <definedName name="Duration">'[5]Bond Price with Excel'!$B$27</definedName>
    <definedName name="DurationIndex" localSheetId="1">#REF!</definedName>
    <definedName name="DurationIndex">#REF!</definedName>
    <definedName name="Dval">[9]CreditGrades!$C$15</definedName>
    <definedName name="EE" localSheetId="0">Spreadsheet12.1!#REF!</definedName>
    <definedName name="EE" localSheetId="1">Spreadsheet12.2!#REF!</definedName>
    <definedName name="EE">#REF!</definedName>
    <definedName name="EL" localSheetId="1">#REF!</definedName>
    <definedName name="EL">#REF!</definedName>
    <definedName name="EL_E2" localSheetId="1">#REF!</definedName>
    <definedName name="EL_E2">#REF!</definedName>
    <definedName name="ELBaseTranche1" localSheetId="1">#REF!</definedName>
    <definedName name="ELBaseTranche1">#REF!</definedName>
    <definedName name="ELBaseTranche2" localSheetId="1">#REF!</definedName>
    <definedName name="ELBaseTranche2">#REF!</definedName>
    <definedName name="end_date" localSheetId="1">#REF!</definedName>
    <definedName name="end_date">#REF!</definedName>
    <definedName name="EndDate" localSheetId="1">#REF!</definedName>
    <definedName name="EndDate">#REF!</definedName>
    <definedName name="EPE">[2]EPEAllocation!$C$19</definedName>
    <definedName name="EPEs">[2]Portfolio!$G$8</definedName>
    <definedName name="Equity" localSheetId="1">#REF!</definedName>
    <definedName name="Equity">#REF!</definedName>
    <definedName name="EquityPrice" localSheetId="1">#REF!</definedName>
    <definedName name="EquityPrice">#REF!</definedName>
    <definedName name="EquityVol" localSheetId="1">#REF!</definedName>
    <definedName name="EquityVol">#REF!</definedName>
    <definedName name="Error1" localSheetId="1">#REF!</definedName>
    <definedName name="Error1">#REF!</definedName>
    <definedName name="Errors">[2]CDSStripper!$H$9</definedName>
    <definedName name="ESCNA">[9]ConditionalNormalApproximation!$C$11</definedName>
    <definedName name="EstBeta" localSheetId="1">#REF!</definedName>
    <definedName name="EstBeta">#REF!</definedName>
    <definedName name="EURExpLoss" localSheetId="1">#REF!</definedName>
    <definedName name="EURExpLoss">#REF!</definedName>
    <definedName name="EuropeWeight" localSheetId="1">#REF!</definedName>
    <definedName name="EuropeWeight">#REF!</definedName>
    <definedName name="EuropeWeightOveride" localSheetId="1">#REF!</definedName>
    <definedName name="EuropeWeightOveride">#REF!</definedName>
    <definedName name="ExcessReturn" localSheetId="1">#REF!</definedName>
    <definedName name="ExcessReturn">#REF!</definedName>
    <definedName name="ExchangeNotional" localSheetId="1">#REF!</definedName>
    <definedName name="ExchangeNotional">#REF!</definedName>
    <definedName name="ExerciseFreq" localSheetId="1">#REF!</definedName>
    <definedName name="ExerciseFreq">#REF!</definedName>
    <definedName name="ExerciseOptions" localSheetId="1">#REF!</definedName>
    <definedName name="ExerciseOptions">#REF!</definedName>
    <definedName name="ExerciseType" localSheetId="1">#REF!</definedName>
    <definedName name="ExerciseType">#REF!</definedName>
    <definedName name="ExerFreqChoice" localSheetId="1">#REF!</definedName>
    <definedName name="ExerFreqChoice">#REF!</definedName>
    <definedName name="ExerTypeIndex" localSheetId="1">#REF!</definedName>
    <definedName name="ExerTypeIndex">#REF!</definedName>
    <definedName name="Expiry" localSheetId="1">#REF!</definedName>
    <definedName name="Expiry">#REF!</definedName>
    <definedName name="ExpLoss" localSheetId="1">#REF!</definedName>
    <definedName name="ExpLoss">#REF!</definedName>
    <definedName name="ExpLoss1" localSheetId="1">#REF!</definedName>
    <definedName name="ExpLoss1">#REF!</definedName>
    <definedName name="ExpLoss2" localSheetId="1">#REF!</definedName>
    <definedName name="ExpLoss2">#REF!</definedName>
    <definedName name="Exposure" localSheetId="0">Spreadsheet12.1!$M$10</definedName>
    <definedName name="Exposure" localSheetId="1">Spreadsheet12.2!$M$10</definedName>
    <definedName name="Exposure">#REF!</definedName>
    <definedName name="Exposure2" localSheetId="1">#REF!</definedName>
    <definedName name="Exposure2">#REF!</definedName>
    <definedName name="ExposurePaths" localSheetId="1">#REF!</definedName>
    <definedName name="ExposurePaths">#REF!</definedName>
    <definedName name="ExposurePaths2" localSheetId="1">#REF!</definedName>
    <definedName name="ExposurePaths2">#REF!</definedName>
    <definedName name="Exposures">[2]Portfolio!$E$8</definedName>
    <definedName name="ExposureStart" localSheetId="1">#REF!</definedName>
    <definedName name="ExposureStart">#REF!</definedName>
    <definedName name="ExposureVol">[2]CollateralMarginCall!$G$6</definedName>
    <definedName name="ExpRetVector">[5]MeanVariance!$D$3:$D$6</definedName>
    <definedName name="ExpShortfall">[9]PortfolioAnalysis!$C$12</definedName>
    <definedName name="external_costs" localSheetId="1">#REF!</definedName>
    <definedName name="external_costs">#REF!</definedName>
    <definedName name="EXTRAINFO" localSheetId="1">#REF!</definedName>
    <definedName name="EXTRAINFO">#REF!</definedName>
    <definedName name="FaceValue" localSheetId="1">#REF!</definedName>
    <definedName name="FaceValue">#REF!</definedName>
    <definedName name="FairPremium" localSheetId="1">#REF!</definedName>
    <definedName name="FairPremium">#REF!</definedName>
    <definedName name="FFChoice" localSheetId="1">#REF!</definedName>
    <definedName name="FFChoice">#REF!</definedName>
    <definedName name="FinalIssCurveRange" localSheetId="1">OFFSET(#REF!,1,0,#REF!,1)</definedName>
    <definedName name="FinalIssCurveRange">OFFSET(#REF!,1,0,#REF!,1)</definedName>
    <definedName name="FinalTotIssCurveRange" localSheetId="1">#REF!</definedName>
    <definedName name="FinalTotIssCurveRange">#REF!</definedName>
    <definedName name="FirmValue" localSheetId="1">#REF!</definedName>
    <definedName name="FirmValue">#REF!</definedName>
    <definedName name="FirstAnalDelta" localSheetId="1">#REF!</definedName>
    <definedName name="FirstAnalDelta">#REF!</definedName>
    <definedName name="FirstBondMat" localSheetId="1">#REF!</definedName>
    <definedName name="FirstBondMat">#REF!</definedName>
    <definedName name="FirstCalcDelta" localSheetId="1">#REF!</definedName>
    <definedName name="FirstCalcDelta">#REF!</definedName>
    <definedName name="FirstDefDate" localSheetId="1">#REF!</definedName>
    <definedName name="FirstDefDate">#REF!</definedName>
    <definedName name="FirstDeltaDispl" localSheetId="1">#REF!</definedName>
    <definedName name="FirstDeltaDispl">#REF!</definedName>
    <definedName name="FirstExerciseDate" localSheetId="1">#REF!</definedName>
    <definedName name="FirstExerciseDate">#REF!</definedName>
    <definedName name="FirstLiborRate1" localSheetId="1">#REF!</definedName>
    <definedName name="FirstLiborRate1">#REF!</definedName>
    <definedName name="FirstLiborRate2" localSheetId="1">#REF!</definedName>
    <definedName name="FirstLiborRate2">#REF!</definedName>
    <definedName name="FirstMaturity" localSheetId="1">#REF!</definedName>
    <definedName name="FirstMaturity">#REF!</definedName>
    <definedName name="FirstMaxLoss" localSheetId="1">#REF!</definedName>
    <definedName name="FirstMaxLoss">#REF!</definedName>
    <definedName name="FirstMinLoss" localSheetId="1">#REF!</definedName>
    <definedName name="FirstMinLoss">#REF!</definedName>
    <definedName name="FirstNotional" localSheetId="1">#REF!</definedName>
    <definedName name="FirstNotional">#REF!</definedName>
    <definedName name="FirstPrem" localSheetId="1">#REF!</definedName>
    <definedName name="FirstPrem">#REF!</definedName>
    <definedName name="FirstQCDDelta" localSheetId="1">[12]CDO!#REF!</definedName>
    <definedName name="FirstQCDDelta">[12]CDO!#REF!</definedName>
    <definedName name="FirstRho" localSheetId="1">#REF!</definedName>
    <definedName name="FirstRho">#REF!</definedName>
    <definedName name="FirstSeed" localSheetId="1">#REF!</definedName>
    <definedName name="FirstSeed">#REF!</definedName>
    <definedName name="FirstSeeed" localSheetId="1">[13]MonteCarloSimulation!#REF!</definedName>
    <definedName name="FirstSeeed">[13]MonteCarloSimulation!#REF!</definedName>
    <definedName name="FirstSwapDate" localSheetId="1">#REF!</definedName>
    <definedName name="FirstSwapDate">#REF!</definedName>
    <definedName name="FirstTenor" localSheetId="1">#REF!</definedName>
    <definedName name="FirstTenor">#REF!</definedName>
    <definedName name="FirstToDefault" localSheetId="1">#REF!</definedName>
    <definedName name="FirstToDefault">#REF!</definedName>
    <definedName name="FitCorrmat" localSheetId="1">#REF!</definedName>
    <definedName name="FitCorrmat">#REF!</definedName>
    <definedName name="fiveyrspread">Spreadsheet12.2!$C$13</definedName>
    <definedName name="Fixed_Rate" localSheetId="1">#REF!</definedName>
    <definedName name="Fixed_Rate">#REF!</definedName>
    <definedName name="FixedBasis" localSheetId="1">#REF!</definedName>
    <definedName name="FixedBasis">#REF!</definedName>
    <definedName name="FixedFreq" localSheetId="1">#REF!</definedName>
    <definedName name="FixedFreq">#REF!</definedName>
    <definedName name="FixedOrFloat" localSheetId="1">#REF!</definedName>
    <definedName name="FixedOrFloat">#REF!</definedName>
    <definedName name="FixedOrNot" localSheetId="1">#REF!</definedName>
    <definedName name="FixedOrNot">#REF!</definedName>
    <definedName name="FlaotRefRateChoiceIndex" localSheetId="1">#REF!</definedName>
    <definedName name="FlaotRefRateChoiceIndex">#REF!</definedName>
    <definedName name="FloatBasis" localSheetId="1">#REF!</definedName>
    <definedName name="FloatBasis">#REF!</definedName>
    <definedName name="FloatFreq" localSheetId="1">#REF!</definedName>
    <definedName name="FloatFreq">#REF!</definedName>
    <definedName name="FloatRate" localSheetId="1">#REF!</definedName>
    <definedName name="FloatRate">#REF!</definedName>
    <definedName name="FloatRefRateChoice" localSheetId="1">#REF!</definedName>
    <definedName name="FloatRefRateChoice">#REF!</definedName>
    <definedName name="FloatRefRateChoiceIndex" localSheetId="1">#REF!</definedName>
    <definedName name="FloatRefRateChoiceIndex">#REF!</definedName>
    <definedName name="Floor" localSheetId="1">#REF!</definedName>
    <definedName name="Floor">#REF!</definedName>
    <definedName name="Freq" localSheetId="1">#REF!</definedName>
    <definedName name="Freq">#REF!</definedName>
    <definedName name="Freq1" localSheetId="1">#REF!</definedName>
    <definedName name="Freq1">#REF!</definedName>
    <definedName name="Freq2" localSheetId="1">#REF!</definedName>
    <definedName name="Freq2">#REF!</definedName>
    <definedName name="FreqChoices" localSheetId="1">#REF!</definedName>
    <definedName name="FreqChoices">#REF!</definedName>
    <definedName name="FreqIndex" localSheetId="1">#REF!</definedName>
    <definedName name="FreqIndex">#REF!</definedName>
    <definedName name="FreqTable1" localSheetId="1">#REF!</definedName>
    <definedName name="FreqTable1">#REF!</definedName>
    <definedName name="FreqTable2" localSheetId="1">#REF!</definedName>
    <definedName name="FreqTable2">#REF!</definedName>
    <definedName name="FVMDef" localSheetId="1">#REF!</definedName>
    <definedName name="FVMDef">#REF!</definedName>
    <definedName name="FVMMarketPrem" localSheetId="1">#REF!</definedName>
    <definedName name="FVMMarketPrem">#REF!</definedName>
    <definedName name="FVMPrem" localSheetId="1">#REF!</definedName>
    <definedName name="FVMPrem">#REF!</definedName>
    <definedName name="FVMPV" localSheetId="1">#REF!</definedName>
    <definedName name="FVMPV">#REF!</definedName>
    <definedName name="FVMResults" localSheetId="1">#REF!</definedName>
    <definedName name="FVMResults">#REF!</definedName>
    <definedName name="Fwd">[3]TreePricer!$C$25</definedName>
    <definedName name="FXVol" localSheetId="1">#REF!</definedName>
    <definedName name="FXVol">#REF!</definedName>
    <definedName name="Gamma">[5]MeanVariance!$O$23</definedName>
    <definedName name="gamma2">[5]MeanVariance!$C$32</definedName>
    <definedName name="GI" localSheetId="1">#REF!</definedName>
    <definedName name="GI">#REF!</definedName>
    <definedName name="Global_Local" localSheetId="1">#REF!</definedName>
    <definedName name="Global_Local">#REF!</definedName>
    <definedName name="Gone" localSheetId="1">#REF!</definedName>
    <definedName name="Gone">#REF!</definedName>
    <definedName name="Greeks" localSheetId="1">#REF!</definedName>
    <definedName name="Greeks">#REF!</definedName>
    <definedName name="GuessYield">[5]YieldExample!$C$3</definedName>
    <definedName name="HazardRae" localSheetId="1">[14]Survival!#REF!</definedName>
    <definedName name="HazardRae">[14]Survival!#REF!</definedName>
    <definedName name="HazardRage" localSheetId="1">[14]Survival!#REF!</definedName>
    <definedName name="HazardRage">[14]Survival!#REF!</definedName>
    <definedName name="Hazardrate" localSheetId="1">#REF!</definedName>
    <definedName name="Hazardrate">#REF!</definedName>
    <definedName name="HazardRate1" localSheetId="0">Spreadsheet12.1!$H$12</definedName>
    <definedName name="HazardRate1" localSheetId="1">#REF!</definedName>
    <definedName name="HazardRate1">#REF!</definedName>
    <definedName name="HazardRate2" localSheetId="0">Spreadsheet12.1!$H$13</definedName>
    <definedName name="HazardRate2" localSheetId="1">#REF!</definedName>
    <definedName name="HazardRate2">#REF!</definedName>
    <definedName name="HazardRate3" localSheetId="0">Spreadsheet12.1!$H$14</definedName>
    <definedName name="HazardRate3" localSheetId="1">#REF!</definedName>
    <definedName name="HazardRate3">#REF!</definedName>
    <definedName name="HazardRate4" localSheetId="0">Spreadsheet12.1!$H$15</definedName>
    <definedName name="HazardRate4" localSheetId="1">#REF!</definedName>
    <definedName name="HazardRate4">#REF!</definedName>
    <definedName name="HazardRate5" localSheetId="0">Spreadsheet12.1!$H$16</definedName>
    <definedName name="HazardRate5" localSheetId="1">#REF!</definedName>
    <definedName name="HazardRate5">#REF!</definedName>
    <definedName name="HazardRates">Spreadsheet12.1!$H$11</definedName>
    <definedName name="HedgeAmount">[3]TradingStrategy!$C$10</definedName>
    <definedName name="HedgingFreq" localSheetId="1">#REF!</definedName>
    <definedName name="HedgingFreq">#REF!</definedName>
    <definedName name="HistHigh">[9]Portfolio!$J$21</definedName>
    <definedName name="HistLow">[9]Portfolio!$J$20</definedName>
    <definedName name="Histogram1Output" localSheetId="1">#REF!</definedName>
    <definedName name="Histogram1Output">#REF!</definedName>
    <definedName name="Histogram2Output" localSheetId="1">#REF!</definedName>
    <definedName name="Histogram2Output">#REF!</definedName>
    <definedName name="HistoricalError" localSheetId="1">#REF!</definedName>
    <definedName name="HistoricalError">#REF!</definedName>
    <definedName name="HistStart" localSheetId="1">#REF!</definedName>
    <definedName name="HistStart">#REF!</definedName>
    <definedName name="HistWeight" localSheetId="1">#REF!</definedName>
    <definedName name="HistWeight">#REF!</definedName>
    <definedName name="HR">[1]BlackModel!$D$20</definedName>
    <definedName name="IA" localSheetId="0">Spreadsheet12.1!#REF!</definedName>
    <definedName name="IA" localSheetId="1">Spreadsheet12.2!#REF!</definedName>
    <definedName name="IA">#REF!</definedName>
    <definedName name="IA_A" localSheetId="0">Spreadsheet12.1!#REF!</definedName>
    <definedName name="IA_A" localSheetId="1">Spreadsheet12.2!#REF!</definedName>
    <definedName name="IA_A">#REF!</definedName>
    <definedName name="IA_B" localSheetId="0">Spreadsheet12.1!#REF!</definedName>
    <definedName name="IA_B" localSheetId="1">Spreadsheet12.2!#REF!</definedName>
    <definedName name="IA_B">#REF!</definedName>
    <definedName name="ImpliedVolatility">[4]HedgingSimulation!$C$10</definedName>
    <definedName name="IndependentAmount">[2]CollateralMarginCall!$C$7</definedName>
    <definedName name="IndependentAmount2">[2]CollateralMarginCall!$D$7</definedName>
    <definedName name="Index" localSheetId="1">#REF!</definedName>
    <definedName name="Index">#REF!</definedName>
    <definedName name="IndexELEur" localSheetId="1">#REF!</definedName>
    <definedName name="IndexELEur">#REF!</definedName>
    <definedName name="IndexELUS" localSheetId="1">#REF!</definedName>
    <definedName name="IndexELUS">#REF!</definedName>
    <definedName name="IndexExpLossEUR" localSheetId="1">#REF!</definedName>
    <definedName name="IndexExpLossEUR">#REF!</definedName>
    <definedName name="IndexExpLossUS" localSheetId="1">#REF!</definedName>
    <definedName name="IndexExpLossUS">#REF!</definedName>
    <definedName name="IndexLevels" localSheetId="1">#REF!</definedName>
    <definedName name="IndexLevels">#REF!</definedName>
    <definedName name="IndexPV" localSheetId="1">#REF!</definedName>
    <definedName name="IndexPV">#REF!</definedName>
    <definedName name="IndexRiskyLevel" localSheetId="1">#REF!</definedName>
    <definedName name="IndexRiskyLevel">#REF!</definedName>
    <definedName name="IndexStart" localSheetId="1">#REF!</definedName>
    <definedName name="IndexStart">#REF!</definedName>
    <definedName name="Industry_Description" localSheetId="1">#REF!</definedName>
    <definedName name="Industry_Description">#REF!</definedName>
    <definedName name="Industry_Lookup_Table" localSheetId="1">#REF!</definedName>
    <definedName name="Industry_Lookup_Table">#REF!</definedName>
    <definedName name="Industry_Number" localSheetId="1">#REF!</definedName>
    <definedName name="Industry_Number">#REF!</definedName>
    <definedName name="InitialCollateral" localSheetId="1">#REF!</definedName>
    <definedName name="InitialCollateral">#REF!</definedName>
    <definedName name="InitialExposure" localSheetId="1">#REF!</definedName>
    <definedName name="InitialExposure">#REF!</definedName>
    <definedName name="InitialPV">'[15]Sheet1 (2)'!$D$4</definedName>
    <definedName name="INST_TYPE" localSheetId="1">#REF!</definedName>
    <definedName name="INST_TYPE">#REF!</definedName>
    <definedName name="InstName" localSheetId="1">#REF!</definedName>
    <definedName name="InstName">#REF!</definedName>
    <definedName name="IntegrationPoints" localSheetId="1">#REF!</definedName>
    <definedName name="IntegrationPoints">#REF!</definedName>
    <definedName name="IntegrationPoints2" localSheetId="1">#REF!</definedName>
    <definedName name="IntegrationPoints2">#REF!</definedName>
    <definedName name="Intensity" localSheetId="1">#REF!</definedName>
    <definedName name="Intensity">#REF!</definedName>
    <definedName name="IntensityCntrpty">[2]CVA!$D$8</definedName>
    <definedName name="IntensitySystemic" localSheetId="1">[2]CVA!#REF!</definedName>
    <definedName name="IntensitySystemic">[2]CVA!#REF!</definedName>
    <definedName name="IntensityUs" localSheetId="1">[2]CVA!#REF!</definedName>
    <definedName name="IntensityUs">[2]CVA!#REF!</definedName>
    <definedName name="InterCorrel" localSheetId="1">[12]CDO!#REF!</definedName>
    <definedName name="InterCorrel">[12]CDO!#REF!</definedName>
    <definedName name="InterestR">[3]TreePricer!$C$18</definedName>
    <definedName name="InterestRate" localSheetId="1">#REF!</definedName>
    <definedName name="InterestRate">#REF!</definedName>
    <definedName name="InterestRateNow" localSheetId="1">#REF!</definedName>
    <definedName name="InterestRateNow">#REF!</definedName>
    <definedName name="InterpType">[16]BaseCorrelation!$C$16</definedName>
    <definedName name="Interval" localSheetId="1">#REF!</definedName>
    <definedName name="Interval">#REF!</definedName>
    <definedName name="IntPoints" localSheetId="1">#REF!</definedName>
    <definedName name="IntPoints">#REF!</definedName>
    <definedName name="IntRate" localSheetId="1">#REF!</definedName>
    <definedName name="IntRate">#REF!</definedName>
    <definedName name="iNumUnderlyings" localSheetId="1">#REF!</definedName>
    <definedName name="iNumUnderlyings">#REF!</definedName>
    <definedName name="IR">[4]OptionPricer!$C$9</definedName>
    <definedName name="IRate" localSheetId="0">Spreadsheet12.1!$C$12</definedName>
    <definedName name="IRate">[2]CVA!$C$13</definedName>
    <definedName name="IRMC">[8]MonteCarlo!$C$5</definedName>
    <definedName name="IRModel" localSheetId="1">#REF!</definedName>
    <definedName name="IRModel">#REF!</definedName>
    <definedName name="IRModelType" localSheetId="1">#REF!</definedName>
    <definedName name="IRModelType">#REF!</definedName>
    <definedName name="IRTau" localSheetId="1">#REF!</definedName>
    <definedName name="IRTau">#REF!</definedName>
    <definedName name="IRVol" localSheetId="1">#REF!</definedName>
    <definedName name="IRVol">#REF!</definedName>
    <definedName name="IssCurveRangeCopy" localSheetId="1">OFFSET(#REF!,1+#REF!,0,#REF!,1)</definedName>
    <definedName name="IssCurveRangeCopy">OFFSET(#REF!,1+#REF!,0,#REF!,1)</definedName>
    <definedName name="ISSUE_DATE" localSheetId="1">#REF!</definedName>
    <definedName name="ISSUE_DATE">#REF!</definedName>
    <definedName name="ISSUER" localSheetId="1">#REF!</definedName>
    <definedName name="ISSUER">#REF!</definedName>
    <definedName name="Issuer_Curve_cell" localSheetId="1">#REF!</definedName>
    <definedName name="Issuer_Curve_cell">#REF!</definedName>
    <definedName name="ISSUER_INDEX" localSheetId="1">#REF!</definedName>
    <definedName name="ISSUER_INDEX">#REF!</definedName>
    <definedName name="ISSUER_LIST" localSheetId="1">#REF!</definedName>
    <definedName name="ISSUER_LIST">#REF!</definedName>
    <definedName name="ISSUER_MAPPINGS" localSheetId="1">#REF!</definedName>
    <definedName name="ISSUER_MAPPINGS">#REF!</definedName>
    <definedName name="IssuerCurves" localSheetId="1">OFFSET(#REF!,0,0,#REF!,1)</definedName>
    <definedName name="IssuerCurves">OFFSET(#REF!,0,0,#REF!,1)</definedName>
    <definedName name="iter" localSheetId="1">#REF!</definedName>
    <definedName name="iter">#REF!</definedName>
    <definedName name="JumpFreq" localSheetId="1">#REF!</definedName>
    <definedName name="JumpFreq">#REF!</definedName>
    <definedName name="JumpSize" localSheetId="1">#REF!</definedName>
    <definedName name="JumpSize">#REF!</definedName>
    <definedName name="Knockout" localSheetId="1">#REF!</definedName>
    <definedName name="Knockout">#REF!</definedName>
    <definedName name="Knockout2" localSheetId="1">#REF!</definedName>
    <definedName name="Knockout2">#REF!</definedName>
    <definedName name="kurtosis" localSheetId="1">#REF!</definedName>
    <definedName name="kurtosis">#REF!</definedName>
    <definedName name="Label" localSheetId="1">#REF!</definedName>
    <definedName name="Label">#REF!</definedName>
    <definedName name="Lamba">[9]CreditGrades!$C$13</definedName>
    <definedName name="lambda" localSheetId="1">#REF!</definedName>
    <definedName name="lambda">#REF!</definedName>
    <definedName name="lamda" localSheetId="1">#REF!</definedName>
    <definedName name="lamda">#REF!</definedName>
    <definedName name="lamda2">[11]ExponentialDampingEstimate!$C$6</definedName>
    <definedName name="lamda3">[4]ExponentialDampingEstimate!$C$6</definedName>
    <definedName name="LASTCPN_RATE" localSheetId="1">#REF!</definedName>
    <definedName name="LASTCPN_RATE">#REF!</definedName>
    <definedName name="LastExerciseDate" localSheetId="1">#REF!</definedName>
    <definedName name="LastExerciseDate">#REF!</definedName>
    <definedName name="Lbar">[9]CreditGrades!$C$12</definedName>
    <definedName name="LengthBCCurve" localSheetId="1">#REF!</definedName>
    <definedName name="LengthBCCurve">#REF!</definedName>
    <definedName name="LengthBCEur" localSheetId="1">#REF!</definedName>
    <definedName name="LengthBCEur">#REF!</definedName>
    <definedName name="LengthBCUS" localSheetId="1">#REF!</definedName>
    <definedName name="LengthBCUS">#REF!</definedName>
    <definedName name="Leverage" localSheetId="1">#REF!</definedName>
    <definedName name="Leverage">#REF!</definedName>
    <definedName name="LGD">[10]BaselIIFormula!$D$8</definedName>
    <definedName name="LGM_STAMP">"LGM"</definedName>
    <definedName name="LGMChoice" localSheetId="1">#REF!</definedName>
    <definedName name="LGMChoice">#REF!</definedName>
    <definedName name="LGMopencol" localSheetId="1">OFFSET(Spreadsheet12.2!LGMChoice,2,0,Spreadsheet12.2!NumLGMChoices,1)</definedName>
    <definedName name="LGMopencol">OFFSET([0]!LGMChoice,2,0,[0]!NumLGMChoices,1)</definedName>
    <definedName name="LiborRateChoice" localSheetId="1">#REF!</definedName>
    <definedName name="LiborRateChoice">#REF!</definedName>
    <definedName name="LiborRateCol" localSheetId="1">OFFSET(#REF!,0,0,#REF!,1)</definedName>
    <definedName name="LiborRateCol">OFFSET(#REF!,0,0,#REF!,1)</definedName>
    <definedName name="LiborRateCol1" localSheetId="1">OFFSET(#REF!,0,0,#REF!,1)</definedName>
    <definedName name="LiborRateCol1">OFFSET(#REF!,0,0,#REF!,1)</definedName>
    <definedName name="littled">[9]CreditGrades!$C$21</definedName>
    <definedName name="LOAD_MKT" localSheetId="1">#REF!</definedName>
    <definedName name="LOAD_MKT">#REF!</definedName>
    <definedName name="LookUnderlying" localSheetId="1">#REF!</definedName>
    <definedName name="LookUnderlying">#REF!</definedName>
    <definedName name="LossBins" localSheetId="1">#REF!</definedName>
    <definedName name="LossBins">#REF!</definedName>
    <definedName name="LossGivenDefault" localSheetId="1">#REF!</definedName>
    <definedName name="LossGivenDefault">#REF!</definedName>
    <definedName name="LossonLiquidation" localSheetId="1">#REF!</definedName>
    <definedName name="LossonLiquidation">#REF!</definedName>
    <definedName name="Lower">[7]SimpleIntegration!$C$2</definedName>
    <definedName name="LowerBaseTrancheAttach" localSheetId="1">#REF!</definedName>
    <definedName name="LowerBaseTrancheAttach">#REF!</definedName>
    <definedName name="LowerTrancheEURCorrel" localSheetId="1">#REF!</definedName>
    <definedName name="LowerTrancheEURCorrel">#REF!</definedName>
    <definedName name="LowerTrancheUSCorrel" localSheetId="1">#REF!</definedName>
    <definedName name="LowerTrancheUSCorrel">#REF!</definedName>
    <definedName name="LTBorrowings" localSheetId="1">#REF!</definedName>
    <definedName name="LTBorrowings">#REF!</definedName>
    <definedName name="LTMean" localSheetId="1">#REF!</definedName>
    <definedName name="LTMean">#REF!</definedName>
    <definedName name="MAN_IP" localSheetId="1">#REF!</definedName>
    <definedName name="MAN_IP">#REF!</definedName>
    <definedName name="MAN_MKT" localSheetId="1">#REF!</definedName>
    <definedName name="MAN_MKT">#REF!</definedName>
    <definedName name="ManualMarket" localSheetId="1">#REF!</definedName>
    <definedName name="ManualMarket">#REF!</definedName>
    <definedName name="Mapset" localSheetId="1">#REF!</definedName>
    <definedName name="Mapset">#REF!</definedName>
    <definedName name="Mapsets_count_cell" localSheetId="1">#REF!</definedName>
    <definedName name="Mapsets_count_cell">#REF!</definedName>
    <definedName name="MargEPE">'[2]Impact of PV'!$C$19</definedName>
    <definedName name="MargEPE1">[2]EPEAllocation!$C$22</definedName>
    <definedName name="MargEPE2">[2]EPEAllocation!$D$22</definedName>
    <definedName name="MarginalES">[9]ConditionalNormalApproximation!$G$13</definedName>
    <definedName name="Market" localSheetId="1">#REF!</definedName>
    <definedName name="Market">#REF!</definedName>
    <definedName name="MarketChoice" localSheetId="1">#REF!</definedName>
    <definedName name="MarketChoice">#REF!</definedName>
    <definedName name="MarketChoiceCell" localSheetId="1">#REF!</definedName>
    <definedName name="MarketChoiceCell">#REF!</definedName>
    <definedName name="marketcountcol" localSheetId="1">#REF!</definedName>
    <definedName name="marketcountcol">#REF!</definedName>
    <definedName name="MarketId" localSheetId="1">#REF!</definedName>
    <definedName name="MarketId">#REF!</definedName>
    <definedName name="MarketPrem" localSheetId="1">#REF!</definedName>
    <definedName name="MarketPrem">#REF!</definedName>
    <definedName name="MarketSheet" localSheetId="1">#REF!</definedName>
    <definedName name="MarketSheet">#REF!</definedName>
    <definedName name="Mat">[9]CreditGrades!$C$16</definedName>
    <definedName name="MatDate" localSheetId="1">#REF!</definedName>
    <definedName name="MatDate">#REF!</definedName>
    <definedName name="Maturity" localSheetId="1">#REF!</definedName>
    <definedName name="Maturity">#REF!</definedName>
    <definedName name="Maturity_11" localSheetId="1">#REF!</definedName>
    <definedName name="Maturity_11">#REF!</definedName>
    <definedName name="maturity_mismatch_penalty" localSheetId="1">#REF!</definedName>
    <definedName name="maturity_mismatch_penalty">#REF!</definedName>
    <definedName name="Maturity2" localSheetId="1">#REF!</definedName>
    <definedName name="Maturity2">#REF!</definedName>
    <definedName name="MaturityDate">'[5]Bond Price with Excel'!$B$16</definedName>
    <definedName name="MaturityMC">[8]MonteCarlo!$C$6</definedName>
    <definedName name="MaxBinLoss" localSheetId="1">#REF!</definedName>
    <definedName name="MaxBinLoss">#REF!</definedName>
    <definedName name="MaxDefaults" localSheetId="1">#REF!</definedName>
    <definedName name="MaxDefaults">#REF!</definedName>
    <definedName name="MaxLossStart" localSheetId="1">#REF!</definedName>
    <definedName name="MaxLossStart">#REF!</definedName>
    <definedName name="MCorTree" localSheetId="1">#REF!</definedName>
    <definedName name="MCorTree">#REF!</definedName>
    <definedName name="MCOutput">[2]MonteCarlo!$J$8</definedName>
    <definedName name="MCPaths">[2]CollateralMarginCall!$G$9</definedName>
    <definedName name="MCSims">[2]MonteCarlo!$C$8</definedName>
    <definedName name="Mean" localSheetId="1">#REF!</definedName>
    <definedName name="Mean">#REF!</definedName>
    <definedName name="Mean1">[7]SimpleCovarianceWithWeights!$C$6</definedName>
    <definedName name="Mean2">[7]SimpleCovarianceWithWeights!$C$7</definedName>
    <definedName name="MeanExposure">[2]Netting!$D$8</definedName>
    <definedName name="MeanReturn" localSheetId="1">#REF!</definedName>
    <definedName name="MeanReturn">#REF!</definedName>
    <definedName name="MeanRev" localSheetId="1">#REF!</definedName>
    <definedName name="MeanRev">#REF!</definedName>
    <definedName name="MertonMaturity">[16]Merton!$C$13</definedName>
    <definedName name="MinAmountInput" localSheetId="1">#REF!</definedName>
    <definedName name="MinAmountInput">#REF!</definedName>
    <definedName name="MinDefaults" localSheetId="1">#REF!</definedName>
    <definedName name="MinDefaults">#REF!</definedName>
    <definedName name="MinimumTransferAmount">[2]CollateralMarginCall!$C$10</definedName>
    <definedName name="MinimumTransferAmount2">[2]CollateralMarginCall!$D$10</definedName>
    <definedName name="MinLossStart" localSheetId="1">#REF!</definedName>
    <definedName name="MinLossStart">#REF!</definedName>
    <definedName name="MinorityInterest" localSheetId="1">#REF!</definedName>
    <definedName name="MinorityInterest">#REF!</definedName>
    <definedName name="MKT" localSheetId="1">#REF!</definedName>
    <definedName name="MKT">#REF!</definedName>
    <definedName name="mktid" localSheetId="1">#REF!</definedName>
    <definedName name="mktid">#REF!</definedName>
    <definedName name="MktPriceCell" localSheetId="1">#REF!</definedName>
    <definedName name="MktPriceCell">#REF!</definedName>
    <definedName name="MnL" localSheetId="1">#REF!</definedName>
    <definedName name="MnL">#REF!</definedName>
    <definedName name="ModelChoiceInt" localSheetId="1">#REF!</definedName>
    <definedName name="ModelChoiceInt">#REF!</definedName>
    <definedName name="ModelNameMod" localSheetId="1">#REF!</definedName>
    <definedName name="ModelNameMod">#REF!</definedName>
    <definedName name="ModifiedDuration" localSheetId="1">'[5]Bond Price with Excel'!#REF!</definedName>
    <definedName name="ModifiedDuration">'[5]Bond Price with Excel'!#REF!</definedName>
    <definedName name="MTA_A" localSheetId="0">Spreadsheet12.1!#REF!</definedName>
    <definedName name="MTA_A" localSheetId="1">Spreadsheet12.2!#REF!</definedName>
    <definedName name="MTA_A">#REF!</definedName>
    <definedName name="MTA_B" localSheetId="0">Spreadsheet12.1!#REF!</definedName>
    <definedName name="MTA_B" localSheetId="1">Spreadsheet12.2!#REF!</definedName>
    <definedName name="MTA_B">#REF!</definedName>
    <definedName name="MTMVals">Spreadsheet12.1!$K$11</definedName>
    <definedName name="Mu" localSheetId="0">Spreadsheet12.1!#REF!</definedName>
    <definedName name="Mu" localSheetId="1">Spreadsheet12.2!#REF!</definedName>
    <definedName name="Mu">#REF!</definedName>
    <definedName name="mu1a">[11]TwoAssetsEfficientFrontier!$C$7</definedName>
    <definedName name="mu2a">[11]TwoAssetsEfficientFrontier!$C$8</definedName>
    <definedName name="Mult1">[2]EPEAllocation!$H$7</definedName>
    <definedName name="Mult2">[2]EPEAllocation!$I$7</definedName>
    <definedName name="Multiplier">[4]CoherentRiskMeasuresExample!$I$8</definedName>
    <definedName name="MxL" localSheetId="1">#REF!</definedName>
    <definedName name="MxL">#REF!</definedName>
    <definedName name="NAME" localSheetId="1">#REF!</definedName>
    <definedName name="NAME">#REF!</definedName>
    <definedName name="NameInDef" localSheetId="1">#REF!</definedName>
    <definedName name="NameInDef">#REF!</definedName>
    <definedName name="NbBond" localSheetId="1">#REF!</definedName>
    <definedName name="NbBond">#REF!</definedName>
    <definedName name="NbParam" localSheetId="1">#REF!</definedName>
    <definedName name="NbParam">#REF!</definedName>
    <definedName name="NbPoints" localSheetId="1">#REF!</definedName>
    <definedName name="NbPoints">#REF!</definedName>
    <definedName name="NewEstimate">[2]CDSStripper!$L$10</definedName>
    <definedName name="NextCouponDate">'[5]Bond Price with Excel'!$B$19</definedName>
    <definedName name="non_utilisation_relief" localSheetId="1">#REF!</definedName>
    <definedName name="non_utilisation_relief">#REF!</definedName>
    <definedName name="Notional" localSheetId="1">#REF!</definedName>
    <definedName name="Notional">#REF!</definedName>
    <definedName name="Notional_11" localSheetId="1">#REF!</definedName>
    <definedName name="Notional_11">#REF!</definedName>
    <definedName name="Notionals">[9]Portfolio!$C$10</definedName>
    <definedName name="NUM_CURVES" localSheetId="1">#REF!</definedName>
    <definedName name="NUM_CURVES">#REF!</definedName>
    <definedName name="NUM_ISSUERS" localSheetId="1">#REF!</definedName>
    <definedName name="NUM_ISSUERS">#REF!</definedName>
    <definedName name="NUM_MAPPINGS" localSheetId="1">#REF!</definedName>
    <definedName name="NUM_MAPPINGS">#REF!</definedName>
    <definedName name="NUM_QUOTES" localSheetId="1">#REF!</definedName>
    <definedName name="NUM_QUOTES">#REF!</definedName>
    <definedName name="NumBonds" localSheetId="1">#REF!</definedName>
    <definedName name="NumBonds">#REF!</definedName>
    <definedName name="NumCalibInstruments" localSheetId="1">#REF!</definedName>
    <definedName name="NumCalibInstruments">#REF!</definedName>
    <definedName name="NumCalls" localSheetId="0">Spreadsheet12.1!#REF!</definedName>
    <definedName name="NumCalls" localSheetId="1">Spreadsheet12.2!#REF!</definedName>
    <definedName name="NumCalls">#REF!</definedName>
    <definedName name="NumCoupons" localSheetId="1">#REF!</definedName>
    <definedName name="NumCoupons">#REF!</definedName>
    <definedName name="NumDeltas" localSheetId="1">#REF!</definedName>
    <definedName name="NumDeltas">#REF!</definedName>
    <definedName name="NumExercises" localSheetId="1">#REF!</definedName>
    <definedName name="NumExercises">#REF!</definedName>
    <definedName name="NumFactors" localSheetId="1">#REF!</definedName>
    <definedName name="NumFactors">#REF!</definedName>
    <definedName name="NumFloatCoupons" localSheetId="1">#REF!</definedName>
    <definedName name="NumFloatCoupons">#REF!</definedName>
    <definedName name="NumInstruments" localSheetId="1">#REF!</definedName>
    <definedName name="NumInstruments">#REF!</definedName>
    <definedName name="NumLGMChoices" localSheetId="1">#REF!</definedName>
    <definedName name="NumLGMChoices">#REF!</definedName>
    <definedName name="NumMarketChoices" localSheetId="1">#REF!</definedName>
    <definedName name="NumMarketChoices">#REF!</definedName>
    <definedName name="NumNames">[9]Portfolio!$J$12</definedName>
    <definedName name="NUmNames2">[17]Portfolio!$G$8</definedName>
    <definedName name="NumPremiums" localSheetId="1">#REF!</definedName>
    <definedName name="NumPremiums">#REF!</definedName>
    <definedName name="NumRatings" localSheetId="1">#REF!</definedName>
    <definedName name="NumRatings">#REF!</definedName>
    <definedName name="NumRefRateChoices" localSheetId="1">#REF!</definedName>
    <definedName name="NumRefRateChoices">#REF!</definedName>
    <definedName name="NumReqTnors" localSheetId="1">#REF!</definedName>
    <definedName name="NumReqTnors">#REF!</definedName>
    <definedName name="NumSims">[9]MonteCarlo!$C$11</definedName>
    <definedName name="NumSteps">[3]TreePricer!$C$10</definedName>
    <definedName name="NumTenors" localSheetId="1">#REF!</definedName>
    <definedName name="NumTenors">#REF!</definedName>
    <definedName name="NumTranches" localSheetId="1">#REF!</definedName>
    <definedName name="NumTranches">#REF!</definedName>
    <definedName name="NumUnderlyings" localSheetId="1">#REF!</definedName>
    <definedName name="NumUnderlyings">#REF!</definedName>
    <definedName name="Obligor_Group" localSheetId="1">#REF!</definedName>
    <definedName name="Obligor_Group">#REF!</definedName>
    <definedName name="Obligor_Location" localSheetId="1">#REF!</definedName>
    <definedName name="Obligor_Location">#REF!</definedName>
    <definedName name="Obligor_Name" localSheetId="1">#REF!</definedName>
    <definedName name="Obligor_Name">#REF!</definedName>
    <definedName name="OFFER" localSheetId="1">#REF!</definedName>
    <definedName name="OFFER">#REF!</definedName>
    <definedName name="OldPortfolioData">[9]PortfolioAnalysis!$G$15</definedName>
    <definedName name="OptComp" localSheetId="1">#REF!</definedName>
    <definedName name="OptComp">#REF!</definedName>
    <definedName name="OptionData">[3]OptionPriceTree!$A$1</definedName>
    <definedName name="OptionDelta" localSheetId="1">#REF!</definedName>
    <definedName name="OptionDelta">#REF!</definedName>
    <definedName name="OptionDeltaApprox" localSheetId="1">#REF!</definedName>
    <definedName name="OptionDeltaApprox">#REF!</definedName>
    <definedName name="OptionImpVol" localSheetId="1">#REF!</definedName>
    <definedName name="OptionImpVol">#REF!</definedName>
    <definedName name="OptionIR" localSheetId="1">#REF!</definedName>
    <definedName name="OptionIR">#REF!</definedName>
    <definedName name="OptionMaturity" localSheetId="1">#REF!</definedName>
    <definedName name="OptionMaturity">#REF!</definedName>
    <definedName name="OptionPayoff">[3]TreePricer!$C$9</definedName>
    <definedName name="OptionPrem" localSheetId="1">#REF!</definedName>
    <definedName name="OptionPrem">#REF!</definedName>
    <definedName name="OptionPrice">[3]TreePricer!$C$22</definedName>
    <definedName name="OptionPVMC" localSheetId="1">#REF!</definedName>
    <definedName name="OptionPVMC">#REF!</definedName>
    <definedName name="OptionSpot" localSheetId="1">#REF!</definedName>
    <definedName name="OptionSpot">#REF!</definedName>
    <definedName name="OptionStrike" localSheetId="1">#REF!</definedName>
    <definedName name="OptionStrike">#REF!</definedName>
    <definedName name="OptionType" localSheetId="1">#REF!</definedName>
    <definedName name="OptionType">#REF!</definedName>
    <definedName name="OptionTypeCell" localSheetId="1">#REF!</definedName>
    <definedName name="OptionTypeCell">#REF!</definedName>
    <definedName name="OptionValue" localSheetId="1">#REF!</definedName>
    <definedName name="OptionValue">#REF!</definedName>
    <definedName name="Original_Obl_Loc" localSheetId="1">#REF!</definedName>
    <definedName name="Original_Obl_Loc">#REF!</definedName>
    <definedName name="OtherLTLiab" localSheetId="1">#REF!</definedName>
    <definedName name="OtherLTLiab">#REF!</definedName>
    <definedName name="OtherSTLIab" localSheetId="1">#REF!</definedName>
    <definedName name="OtherSTLIab">#REF!</definedName>
    <definedName name="Output">[9]Recursion!$E$17</definedName>
    <definedName name="OutputGI" localSheetId="1">#REF!</definedName>
    <definedName name="OutputGI">#REF!</definedName>
    <definedName name="OverwriteBaseCorrel" localSheetId="1">#REF!</definedName>
    <definedName name="OverwriteBaseCorrel">#REF!</definedName>
    <definedName name="Param">[9]MonteCarlo!$F$9</definedName>
    <definedName name="Param1">[9]MonteCarlo!$F$8</definedName>
    <definedName name="Param2" localSheetId="1">[9]MonteCarlo!#REF!</definedName>
    <definedName name="Param2">[9]MonteCarlo!#REF!</definedName>
    <definedName name="PASSWORD" localSheetId="1">#REF!</definedName>
    <definedName name="PASSWORD">#REF!</definedName>
    <definedName name="PathNum" localSheetId="0">Spreadsheet12.1!$E$16</definedName>
    <definedName name="PathNum" localSheetId="1">Spreadsheet12.2!#REF!</definedName>
    <definedName name="PathNum">#REF!</definedName>
    <definedName name="PayDateCell" localSheetId="1">#REF!</definedName>
    <definedName name="PayDateCell">#REF!</definedName>
    <definedName name="PayoffRef" localSheetId="1">#REF!</definedName>
    <definedName name="PayoffRef">#REF!</definedName>
    <definedName name="Payoffs" localSheetId="1">OFFSET(#REF!,0,0,#REF!,1)</definedName>
    <definedName name="Payoffs">OFFSET(#REF!,0,0,#REF!,1)</definedName>
    <definedName name="Percentile">[4]CoherentRiskMeasuresExample!$I$9</definedName>
    <definedName name="PercPriceImpact" localSheetId="1">#REF!</definedName>
    <definedName name="PercPriceImpact">#REF!</definedName>
    <definedName name="PFE" localSheetId="0">Spreadsheet12.1!#REF!</definedName>
    <definedName name="PFE" localSheetId="1">Spreadsheet12.2!#REF!</definedName>
    <definedName name="PFE">#REF!</definedName>
    <definedName name="Points">[7]SimpleIntegration!$C$4</definedName>
    <definedName name="PortExpLoss" localSheetId="1">#REF!</definedName>
    <definedName name="PortExpLoss">#REF!</definedName>
    <definedName name="PortfolioData">[9]PortfolioAnalysis!$C$15</definedName>
    <definedName name="PortfolioMTM">[2]CollateralMarginCall!$C$6</definedName>
    <definedName name="PortfolioStats">[9]PortfolioAnalysis!$C$10</definedName>
    <definedName name="PortfolioStatsOld">[9]PortfolioAnalysis!$D$10</definedName>
    <definedName name="Positions" localSheetId="1">#REF!</definedName>
    <definedName name="Positions">#REF!</definedName>
    <definedName name="PostInterval">[2]CollateralMarginCall!$G$7</definedName>
    <definedName name="PreferredEquity" localSheetId="1">#REF!</definedName>
    <definedName name="PreferredEquity">#REF!</definedName>
    <definedName name="Prem1" localSheetId="1">#REF!</definedName>
    <definedName name="Prem1">#REF!</definedName>
    <definedName name="Prem2" localSheetId="1">#REF!</definedName>
    <definedName name="Prem2">#REF!</definedName>
    <definedName name="PremComp" localSheetId="1">#REF!</definedName>
    <definedName name="PremComp">#REF!</definedName>
    <definedName name="Premium" localSheetId="1">#REF!</definedName>
    <definedName name="Premium">#REF!</definedName>
    <definedName name="PremiumDateCell" localSheetId="1">#REF!</definedName>
    <definedName name="PremiumDateCell">#REF!</definedName>
    <definedName name="PremiumModel" localSheetId="1">#REF!</definedName>
    <definedName name="PremiumModel">#REF!</definedName>
    <definedName name="PremiumPaid" localSheetId="1">#REF!</definedName>
    <definedName name="PremiumPaid">#REF!</definedName>
    <definedName name="PremiumPaid2" localSheetId="1">#REF!</definedName>
    <definedName name="PremiumPaid2">#REF!</definedName>
    <definedName name="PremiumStart" localSheetId="1">#REF!</definedName>
    <definedName name="PremiumStart">#REF!</definedName>
    <definedName name="PremLeg2" localSheetId="1">#REF!</definedName>
    <definedName name="PremLeg2">#REF!</definedName>
    <definedName name="Price">[5]YieldExample!$C$2</definedName>
    <definedName name="PrincingError" localSheetId="1">#REF!</definedName>
    <definedName name="PrincingError">#REF!</definedName>
    <definedName name="Prob">[4]BinomialVsNormal!$C$6</definedName>
    <definedName name="ProductType" localSheetId="1">#REF!</definedName>
    <definedName name="ProductType">#REF!</definedName>
    <definedName name="PVDef" localSheetId="1">#REF!</definedName>
    <definedName name="PVDef">#REF!</definedName>
    <definedName name="PVDef2" localSheetId="1">#REF!</definedName>
    <definedName name="PVDef2">#REF!</definedName>
    <definedName name="PVPrem" localSheetId="1">#REF!</definedName>
    <definedName name="PVPrem">#REF!</definedName>
    <definedName name="PVPrem2" localSheetId="1">#REF!</definedName>
    <definedName name="PVPrem2">#REF!</definedName>
    <definedName name="Quantile" localSheetId="1">#REF!</definedName>
    <definedName name="Quantile">#REF!</definedName>
    <definedName name="QuantoMkt" localSheetId="1">#REF!</definedName>
    <definedName name="QuantoMkt">#REF!</definedName>
    <definedName name="RandomNumberRange" localSheetId="1">#REF!</definedName>
    <definedName name="RandomNumberRange">#REF!</definedName>
    <definedName name="RandomNumbers" localSheetId="1">#REF!</definedName>
    <definedName name="RandomNumbers">#REF!</definedName>
    <definedName name="RanNums">[18]RandomNumbers!$B$4</definedName>
    <definedName name="RanNums2">[18]RandomNumbers!$H$4</definedName>
    <definedName name="rate">'[19]Class Problems'!$H$39</definedName>
    <definedName name="Rate2" localSheetId="1">#REF!</definedName>
    <definedName name="Rate2">#REF!</definedName>
    <definedName name="Rating" localSheetId="1">#REF!</definedName>
    <definedName name="Rating">#REF!</definedName>
    <definedName name="Rating_11" localSheetId="1">#REF!</definedName>
    <definedName name="Rating_11">#REF!</definedName>
    <definedName name="RatingT1" localSheetId="1">#REF!</definedName>
    <definedName name="RatingT1">#REF!</definedName>
    <definedName name="RatingT2" localSheetId="1">#REF!</definedName>
    <definedName name="RatingT2">#REF!</definedName>
    <definedName name="RatingT3" localSheetId="1">#REF!</definedName>
    <definedName name="RatingT3">#REF!</definedName>
    <definedName name="RatingTable" localSheetId="1">#REF!</definedName>
    <definedName name="RatingTable">#REF!</definedName>
    <definedName name="RBasis" localSheetId="1">#REF!</definedName>
    <definedName name="RBasis">#REF!</definedName>
    <definedName name="RBondStrike" localSheetId="1">#REF!</definedName>
    <definedName name="RBondStrike">#REF!</definedName>
    <definedName name="RCalibWeight" localSheetId="1">#REF!</definedName>
    <definedName name="RCalibWeight">#REF!</definedName>
    <definedName name="Rec" localSheetId="1">#REF!</definedName>
    <definedName name="Rec">#REF!</definedName>
    <definedName name="Recovery" localSheetId="0">Spreadsheet12.1!$C$13</definedName>
    <definedName name="Recovery">[9]BondReturnAnalysis!$C$13</definedName>
    <definedName name="Recovery_Pricing" localSheetId="1">#REF!</definedName>
    <definedName name="Recovery_Pricing">#REF!</definedName>
    <definedName name="Recovery_Stripping" localSheetId="1">#REF!</definedName>
    <definedName name="Recovery_Stripping">#REF!</definedName>
    <definedName name="Recovery2" localSheetId="1">#REF!</definedName>
    <definedName name="Recovery2">#REF!</definedName>
    <definedName name="RecoveryPercent" localSheetId="1">#REF!</definedName>
    <definedName name="RecoveryPercent">#REF!</definedName>
    <definedName name="RecoveryRange">[9]Portfolio!$J$14</definedName>
    <definedName name="RecoveryRate">Spreadsheet12.2!$C$10</definedName>
    <definedName name="RecoveryRates">[9]Portfolio!$F$10</definedName>
    <definedName name="recovrate" localSheetId="1">#REF!</definedName>
    <definedName name="recovrate">#REF!</definedName>
    <definedName name="RecovRate_11" localSheetId="1">#REF!</definedName>
    <definedName name="RecovRate_11">#REF!</definedName>
    <definedName name="RecPayCell" localSheetId="1">#REF!</definedName>
    <definedName name="RecPayCell">#REF!</definedName>
    <definedName name="RecRate">[10]IndexBasis!$I$7</definedName>
    <definedName name="Redemption">'[5]Bond Price with Excel'!$B$58</definedName>
    <definedName name="ref_currency" localSheetId="1">#REF!</definedName>
    <definedName name="ref_currency">#REF!</definedName>
    <definedName name="RefDefProb">[2]CDSCntrptyRisk!$C$13</definedName>
    <definedName name="RefRate" localSheetId="1">#REF!</definedName>
    <definedName name="RefRate">#REF!</definedName>
    <definedName name="RefRateCell" localSheetId="1">#REF!</definedName>
    <definedName name="RefRateCell">#REF!</definedName>
    <definedName name="RefRateChoiceCell" localSheetId="1">#REF!</definedName>
    <definedName name="RefRateChoiceCell">#REF!</definedName>
    <definedName name="RefRec" localSheetId="1">#REF!</definedName>
    <definedName name="RefRec">#REF!</definedName>
    <definedName name="Region" localSheetId="1">#REF!</definedName>
    <definedName name="Region">#REF!</definedName>
    <definedName name="Remargin" localSheetId="0">Spreadsheet12.1!#REF!</definedName>
    <definedName name="Remargin" localSheetId="1">Spreadsheet12.2!#REF!</definedName>
    <definedName name="Remargin">#REF!</definedName>
    <definedName name="repoCurve" localSheetId="1">#REF!</definedName>
    <definedName name="repoCurve">#REF!</definedName>
    <definedName name="ReqCorrMat" localSheetId="1">#REF!</definedName>
    <definedName name="ReqCorrMat">#REF!</definedName>
    <definedName name="RescaleEL" localSheetId="1">#REF!</definedName>
    <definedName name="RescaleEL">#REF!</definedName>
    <definedName name="RescaleRatio" localSheetId="1">#REF!</definedName>
    <definedName name="RescaleRatio">#REF!</definedName>
    <definedName name="Reserve" localSheetId="1">#REF!</definedName>
    <definedName name="Reserve">#REF!</definedName>
    <definedName name="result_11" localSheetId="1">#REF!</definedName>
    <definedName name="result_11">#REF!</definedName>
    <definedName name="Result1">[2]CVA!$J$6</definedName>
    <definedName name="Result2">[2]CVA!$K$6</definedName>
    <definedName name="Results">[9]Recursion!$CW$124</definedName>
    <definedName name="RetPV" localSheetId="1">#REF!</definedName>
    <definedName name="RetPV">#REF!</definedName>
    <definedName name="RetPV2" localSheetId="1">#REF!</definedName>
    <definedName name="RetPV2">#REF!</definedName>
    <definedName name="Return" localSheetId="1">#REF!</definedName>
    <definedName name="Return">#REF!</definedName>
    <definedName name="RExerFrontierBounds" localSheetId="1">OFFSET([0]!ExerRatesBoundsTopCell,0,0,Spreadsheet12.2!NumExercises,1)</definedName>
    <definedName name="RExerFrontierBounds">OFFSET([0]!ExerRatesBoundsTopCell,0,0,[0]!NumExercises,1)</definedName>
    <definedName name="RFwdVols" localSheetId="1">OFFSET([0]!FwdVolRangeTopCell,0,0,Spreadsheet12.2!NumExercises,Spreadsheet12.2!NumExercises)</definedName>
    <definedName name="RFwdVols">OFFSET([0]!FwdVolRangeTopCell,0,0,[0]!NumExercises,[0]!NumExercises)</definedName>
    <definedName name="rho" localSheetId="1">#REF!</definedName>
    <definedName name="rho">#REF!</definedName>
    <definedName name="Rhos" localSheetId="1">#REF!</definedName>
    <definedName name="Rhos">#REF!</definedName>
    <definedName name="RhoTerm" localSheetId="1">#REF!</definedName>
    <definedName name="RhoTerm">#REF!</definedName>
    <definedName name="RISKY_MARKET" localSheetId="1">#REF!</definedName>
    <definedName name="RISKY_MARKET">#REF!</definedName>
    <definedName name="RiskyInsDef" localSheetId="1">#REF!</definedName>
    <definedName name="RiskyInsDef">#REF!</definedName>
    <definedName name="RiskyInsParRate" localSheetId="1">#REF!</definedName>
    <definedName name="RiskyInsParRate">#REF!</definedName>
    <definedName name="RiskyInsPrem" localSheetId="1">#REF!</definedName>
    <definedName name="RiskyInsPrem">#REF!</definedName>
    <definedName name="RiskyInsPV" localSheetId="1">#REF!</definedName>
    <definedName name="RiskyInsPV">#REF!</definedName>
    <definedName name="RiskyLevel" localSheetId="1">#REF!</definedName>
    <definedName name="RiskyLevel">#REF!</definedName>
    <definedName name="RiskyLevels" localSheetId="1">#REF!</definedName>
    <definedName name="RiskyLevels">#REF!</definedName>
    <definedName name="RiskyMarket" localSheetId="1">#REF!</definedName>
    <definedName name="RiskyMarket">#REF!</definedName>
    <definedName name="RL" localSheetId="1">#REF!</definedName>
    <definedName name="RL">#REF!</definedName>
    <definedName name="RLBaseTranche1" localSheetId="1">#REF!</definedName>
    <definedName name="RLBaseTranche1">#REF!</definedName>
    <definedName name="RLBaseTranche2" localSheetId="1">#REF!</definedName>
    <definedName name="RLBaseTranche2">#REF!</definedName>
    <definedName name="RLevel">[10]BlackModel!$D$10</definedName>
    <definedName name="RLevel2" localSheetId="1">#REF!</definedName>
    <definedName name="RLevel2">#REF!</definedName>
    <definedName name="Rounding" localSheetId="0">Spreadsheet12.1!#REF!</definedName>
    <definedName name="Rounding" localSheetId="1">Spreadsheet12.2!#REF!</definedName>
    <definedName name="Rounding">#REF!</definedName>
    <definedName name="Rounding2" localSheetId="1">#REF!</definedName>
    <definedName name="Rounding2">#REF!</definedName>
    <definedName name="sA">[5]MeanVariance!$O$17</definedName>
    <definedName name="sB">[5]MeanVariance!$O$18</definedName>
    <definedName name="sC">[5]MeanVariance!$O$19</definedName>
    <definedName name="ScenarioOutput" localSheetId="1">#REF!</definedName>
    <definedName name="ScenarioOutput">#REF!</definedName>
    <definedName name="Scenarios">[9]Recursion!$F$14</definedName>
    <definedName name="sD">[5]MeanVariance!$O$20</definedName>
    <definedName name="secondcurrency" localSheetId="1">#REF!</definedName>
    <definedName name="secondcurrency">#REF!</definedName>
    <definedName name="Seed">[9]MonteCarlo!$C$12</definedName>
    <definedName name="Seed2">[2]CollateralMarginCall!$G$8</definedName>
    <definedName name="SET_DATE" localSheetId="1">#REF!</definedName>
    <definedName name="SET_DATE">#REF!</definedName>
    <definedName name="SettleDate">'[5]Bond Price with Excel'!$B$14</definedName>
    <definedName name="SharesOutstanding" localSheetId="1">#REF!</definedName>
    <definedName name="SharesOutstanding">#REF!</definedName>
    <definedName name="ShiftAmount" localSheetId="1">#REF!</definedName>
    <definedName name="ShiftAmount">#REF!</definedName>
    <definedName name="ShowPath" localSheetId="1">#REF!</definedName>
    <definedName name="ShowPath">#REF!</definedName>
    <definedName name="ShowPaths">[3]TreePricer!$C$11</definedName>
    <definedName name="Sigma" localSheetId="0">Spreadsheet12.1!#REF!</definedName>
    <definedName name="Sigma" localSheetId="1">Spreadsheet12.2!#REF!</definedName>
    <definedName name="Sigma">#REF!</definedName>
    <definedName name="sigma1" localSheetId="1">#REF!</definedName>
    <definedName name="sigma1">#REF!</definedName>
    <definedName name="sigma2" localSheetId="1">#REF!</definedName>
    <definedName name="sigma2">#REF!</definedName>
    <definedName name="Sigma3" localSheetId="1">#REF!</definedName>
    <definedName name="Sigma3">#REF!</definedName>
    <definedName name="SigmaVector">[5]MeanVariance!$E$3:$E$6</definedName>
    <definedName name="SigmaVolume" localSheetId="1">#REF!</definedName>
    <definedName name="SigmaVolume">#REF!</definedName>
    <definedName name="SimCount">[9]MonteCarlo!$C$13</definedName>
    <definedName name="SimResults">[9]MonteCarlo!$B$15</definedName>
    <definedName name="Sims">[8]MonteCarlo!$F$4</definedName>
    <definedName name="SimulationResults">[3]HedgingSimulation!$R$4</definedName>
    <definedName name="Simulations" localSheetId="1">#REF!</definedName>
    <definedName name="Simulations">#REF!</definedName>
    <definedName name="SizeCouponSchedule" localSheetId="1">#REF!</definedName>
    <definedName name="SizeCouponSchedule">#REF!</definedName>
    <definedName name="SOURCE" localSheetId="1">#REF!</definedName>
    <definedName name="SOURCE">#REF!</definedName>
    <definedName name="SourceCell" localSheetId="1">#REF!</definedName>
    <definedName name="SourceCell">#REF!</definedName>
    <definedName name="SplinePointsa" localSheetId="1">#REF!</definedName>
    <definedName name="SplinePointsa">#REF!</definedName>
    <definedName name="Spot">[4]HedgingSimulation!$C$7</definedName>
    <definedName name="Spread" localSheetId="1">#REF!</definedName>
    <definedName name="Spread">#REF!</definedName>
    <definedName name="SpreadAgent" localSheetId="1">[6]CVA!#REF!</definedName>
    <definedName name="SpreadAgent">[6]CVA!#REF!</definedName>
    <definedName name="SpreadCntrpty" localSheetId="1">[2]CVA!#REF!</definedName>
    <definedName name="SpreadCntrpty">[2]CVA!#REF!</definedName>
    <definedName name="SpreadLowerTranche" localSheetId="1">#REF!</definedName>
    <definedName name="SpreadLowerTranche">#REF!</definedName>
    <definedName name="SpreadMulti" localSheetId="1">#REF!</definedName>
    <definedName name="SpreadMulti">#REF!</definedName>
    <definedName name="SpreadRef">[2]CDSCntrptyRisk!$C$7</definedName>
    <definedName name="SpreadScenario" localSheetId="1">#REF!</definedName>
    <definedName name="SpreadScenario">#REF!</definedName>
    <definedName name="SpreadSys" localSheetId="1">[6]CVA!#REF!</definedName>
    <definedName name="SpreadSys">[6]CVA!#REF!</definedName>
    <definedName name="SpreadUpperTranche" localSheetId="1">#REF!</definedName>
    <definedName name="SpreadUpperTranche">#REF!</definedName>
    <definedName name="SQrtTerm" localSheetId="1">#REF!</definedName>
    <definedName name="SQrtTerm">#REF!</definedName>
    <definedName name="Sstar">[9]CreditGrades!$C$11</definedName>
    <definedName name="start_date" localSheetId="1">#REF!</definedName>
    <definedName name="start_date">#REF!</definedName>
    <definedName name="StartCopyCell" localSheetId="1">#REF!</definedName>
    <definedName name="StartCopyCell">#REF!</definedName>
    <definedName name="StartCouponSchedule" localSheetId="1">#REF!</definedName>
    <definedName name="StartCouponSchedule">#REF!</definedName>
    <definedName name="Starting_Point" localSheetId="1">#REF!</definedName>
    <definedName name="Starting_Point">#REF!</definedName>
    <definedName name="STBorrowings" localSheetId="1">#REF!</definedName>
    <definedName name="STBorrowings">#REF!</definedName>
    <definedName name="StdDev" localSheetId="1">#REF!</definedName>
    <definedName name="StdDev">#REF!</definedName>
    <definedName name="StdDevExposure">[2]Netting!$D$9</definedName>
    <definedName name="StdExposures">[2]Portfolio!$F$8</definedName>
    <definedName name="Steps">[8]MonteCarlo!$F$3</definedName>
    <definedName name="StepSize" localSheetId="1">#REF!</definedName>
    <definedName name="StepSize">#REF!</definedName>
    <definedName name="StepsPerHedge" localSheetId="1">#REF!</definedName>
    <definedName name="StepsPerHedge">#REF!</definedName>
    <definedName name="Stock">[4]OptionPricer!$C$7</definedName>
    <definedName name="StockData">[3]UnderlyingValueTree!$A$1</definedName>
    <definedName name="StockPrice" localSheetId="1">#REF!</definedName>
    <definedName name="StockPrice">#REF!</definedName>
    <definedName name="StockVol">[3]CreditGrades!$C$9</definedName>
    <definedName name="Strike">[4]OptionPricer!$C$8</definedName>
    <definedName name="StrikeMC">[8]MonteCarlo!$C$4</definedName>
    <definedName name="SttDev" localSheetId="1">#REF!</definedName>
    <definedName name="SttDev">#REF!</definedName>
    <definedName name="Study_Period" localSheetId="1">#REF!</definedName>
    <definedName name="Study_Period">#REF!</definedName>
    <definedName name="SurvProb" localSheetId="1">[20]BlackModel!#REF!</definedName>
    <definedName name="SurvProb">[20]BlackModel!#REF!</definedName>
    <definedName name="SVol">[9]CreditGrades!$C$14</definedName>
    <definedName name="SwapChoices" localSheetId="1">#REF!</definedName>
    <definedName name="SwapChoices">#REF!</definedName>
    <definedName name="SwapChoices3" localSheetId="1">#REF!</definedName>
    <definedName name="SwapChoices3">#REF!</definedName>
    <definedName name="SwapPayments" localSheetId="1">#REF!</definedName>
    <definedName name="SwapPayments">#REF!</definedName>
    <definedName name="SwapType" localSheetId="1">#REF!</definedName>
    <definedName name="SwapType">#REF!</definedName>
    <definedName name="TargetReturn">[5]MeanVariance!$J$18</definedName>
    <definedName name="TargetSpread" localSheetId="1">#REF!</definedName>
    <definedName name="TargetSpread">#REF!</definedName>
    <definedName name="TargSpread" localSheetId="1">#REF!</definedName>
    <definedName name="TargSpread">#REF!</definedName>
    <definedName name="Tau" localSheetId="1">#REF!</definedName>
    <definedName name="Tau">#REF!</definedName>
    <definedName name="TENOR" localSheetId="1">#REF!</definedName>
    <definedName name="TENOR">#REF!</definedName>
    <definedName name="Tenors" localSheetId="1">#REF!</definedName>
    <definedName name="Tenors">#REF!</definedName>
    <definedName name="TenorToShift" localSheetId="1">#REF!</definedName>
    <definedName name="TenorToShift">#REF!</definedName>
    <definedName name="TenYearFactor" localSheetId="1">#REF!</definedName>
    <definedName name="TenYearFactor">#REF!</definedName>
    <definedName name="term" localSheetId="1">#REF!</definedName>
    <definedName name="term">#REF!</definedName>
    <definedName name="ThisMaturity" localSheetId="1">#REF!</definedName>
    <definedName name="ThisMaturity">#REF!</definedName>
    <definedName name="Threshold">[2]CollateralMarginCall!$C$8</definedName>
    <definedName name="Threshold_A" localSheetId="0">Spreadsheet12.1!#REF!</definedName>
    <definedName name="Threshold_A" localSheetId="1">Spreadsheet12.2!#REF!</definedName>
    <definedName name="Threshold_A">#REF!</definedName>
    <definedName name="Threshold_B" localSheetId="0">Spreadsheet12.1!#REF!</definedName>
    <definedName name="Threshold_B" localSheetId="1">Spreadsheet12.2!#REF!</definedName>
    <definedName name="Threshold_B">#REF!</definedName>
    <definedName name="Threshold1" localSheetId="1">#REF!</definedName>
    <definedName name="Threshold1">#REF!</definedName>
    <definedName name="Threshold2">[2]CollateralMarginCall!$D$8</definedName>
    <definedName name="Threshold3" localSheetId="1">#REF!</definedName>
    <definedName name="Threshold3">#REF!</definedName>
    <definedName name="Threshold4" localSheetId="1">#REF!</definedName>
    <definedName name="Threshold4">#REF!</definedName>
    <definedName name="Threshold5" localSheetId="1">#REF!</definedName>
    <definedName name="Threshold5">#REF!</definedName>
    <definedName name="ThresholdInput" localSheetId="1">#REF!</definedName>
    <definedName name="ThresholdInput">#REF!</definedName>
    <definedName name="Thresholds">[2]Portfolio!$D$8</definedName>
    <definedName name="Ticker" localSheetId="1">#REF!</definedName>
    <definedName name="Ticker">#REF!</definedName>
    <definedName name="tier_one_ratio" localSheetId="1">#REF!</definedName>
    <definedName name="tier_one_ratio">#REF!</definedName>
    <definedName name="Time" localSheetId="1">#REF!</definedName>
    <definedName name="Time">#REF!</definedName>
    <definedName name="Time2" localSheetId="1">#REF!</definedName>
    <definedName name="Time2">#REF!</definedName>
    <definedName name="TimeHorizon" localSheetId="1">#REF!</definedName>
    <definedName name="TimeHorizon">#REF!</definedName>
    <definedName name="TimeIntPoints" localSheetId="1">#REF!</definedName>
    <definedName name="TimeIntPoints">#REF!</definedName>
    <definedName name="timestep">[4]HedgingSimulation!$G$9</definedName>
    <definedName name="tmat" localSheetId="1">#REF!</definedName>
    <definedName name="tmat">#REF!</definedName>
    <definedName name="tmat2" localSheetId="1">#REF!</definedName>
    <definedName name="tmat2">#REF!</definedName>
    <definedName name="tmat3" localSheetId="1">#REF!</definedName>
    <definedName name="tmat3">#REF!</definedName>
    <definedName name="tmat4" localSheetId="1">#REF!</definedName>
    <definedName name="tmat4">#REF!</definedName>
    <definedName name="TMTopLeft" localSheetId="1">#REF!</definedName>
    <definedName name="TMTopLeft">#REF!</definedName>
    <definedName name="TODAY" localSheetId="1">#REF!</definedName>
    <definedName name="TODAY">#REF!</definedName>
    <definedName name="Total_Facilities" localSheetId="1">#REF!</definedName>
    <definedName name="Total_Facilities">#REF!</definedName>
    <definedName name="TotalCommonEquity" localSheetId="1">#REF!</definedName>
    <definedName name="TotalCommonEquity">#REF!</definedName>
    <definedName name="TotalExposure">[2]CollateralMarginCall!$C$12</definedName>
    <definedName name="TotalMargEPE">[2]EPEAllocation!$C$23</definedName>
    <definedName name="TotalNot" localSheetId="1">#REF!</definedName>
    <definedName name="TotalNot">#REF!</definedName>
    <definedName name="TotalNotional">[9]Portfolio!$J$15</definedName>
    <definedName name="TotalPnL">[3]HedgingSimulation!$L$10</definedName>
    <definedName name="TotalPV" localSheetId="1">#REF!</definedName>
    <definedName name="TotalPV">#REF!</definedName>
    <definedName name="TotalRequiredCollateralisation2" localSheetId="1">#REF!</definedName>
    <definedName name="TotalRequiredCollateralisation2">#REF!</definedName>
    <definedName name="TotalRequiredCollaterlisation" localSheetId="1">#REF!</definedName>
    <definedName name="TotalRequiredCollaterlisation">#REF!</definedName>
    <definedName name="TotalSpdIncome">[9]PortfolioAnalysis!$C$11</definedName>
    <definedName name="TotIssCurveRange" localSheetId="1">#REF!</definedName>
    <definedName name="TotIssCurveRange">#REF!</definedName>
    <definedName name="TotZeroCurveRange" localSheetId="1">#REF!</definedName>
    <definedName name="TotZeroCurveRange">#REF!</definedName>
    <definedName name="TrancheDefLeg" localSheetId="1">#REF!</definedName>
    <definedName name="TrancheDefLeg">#REF!</definedName>
    <definedName name="TrancheEL" localSheetId="1">#REF!</definedName>
    <definedName name="TrancheEL">#REF!</definedName>
    <definedName name="TrancheNot" localSheetId="1">#REF!</definedName>
    <definedName name="TrancheNot">#REF!</definedName>
    <definedName name="TrancheNotional" localSheetId="1">#REF!</definedName>
    <definedName name="TrancheNotional">#REF!</definedName>
    <definedName name="TranchePremiums" localSheetId="1">#REF!</definedName>
    <definedName name="TranchePremiums">#REF!</definedName>
    <definedName name="TranchePremLeg" localSheetId="1">#REF!</definedName>
    <definedName name="TranchePremLeg">#REF!</definedName>
    <definedName name="TrancheRL" localSheetId="1">#REF!</definedName>
    <definedName name="TrancheRL">#REF!</definedName>
    <definedName name="transaction_notional_Amont" localSheetId="1">#REF!</definedName>
    <definedName name="transaction_notional_Amont">#REF!</definedName>
    <definedName name="Transition_Matrix" localSheetId="1">#REF!</definedName>
    <definedName name="Transition_Matrix">#REF!</definedName>
    <definedName name="TreeStep" localSheetId="1">#REF!</definedName>
    <definedName name="TreeStep">#REF!</definedName>
    <definedName name="type" localSheetId="1">#REF!</definedName>
    <definedName name="type">#REF!</definedName>
    <definedName name="typeasset" localSheetId="1">#REF!</definedName>
    <definedName name="typeasset">#REF!</definedName>
    <definedName name="TypeChoices" localSheetId="1">#REF!</definedName>
    <definedName name="TypeChoices">#REF!</definedName>
    <definedName name="typeIndex" localSheetId="1">#REF!</definedName>
    <definedName name="typeIndex">#REF!</definedName>
    <definedName name="Typeofswap" localSheetId="1">#REF!</definedName>
    <definedName name="Typeofswap">#REF!</definedName>
    <definedName name="U1CMT" localSheetId="1">#REF!</definedName>
    <definedName name="U1CMT">#REF!</definedName>
    <definedName name="Uncertainty_of_Barrier" localSheetId="1">#REF!</definedName>
    <definedName name="Uncertainty_of_Barrier">#REF!</definedName>
    <definedName name="UnitVector">[5]MeanVariance!$L$3:$L$6</definedName>
    <definedName name="Unwind" localSheetId="1">#REF!</definedName>
    <definedName name="Unwind">#REF!</definedName>
    <definedName name="UnwindCost" localSheetId="1">#REF!</definedName>
    <definedName name="UnwindCost">#REF!</definedName>
    <definedName name="Upper">[7]SimpleIntegration!$C$3</definedName>
    <definedName name="UpperBaseTrancheAttach" localSheetId="1">#REF!</definedName>
    <definedName name="UpperBaseTrancheAttach">#REF!</definedName>
    <definedName name="UpperTrancheEURCorrel" localSheetId="1">#REF!</definedName>
    <definedName name="UpperTrancheEURCorrel">#REF!</definedName>
    <definedName name="UpperTrancheUSCorrel" localSheetId="1">#REF!</definedName>
    <definedName name="UpperTrancheUSCorrel">#REF!</definedName>
    <definedName name="UseApprox" localSheetId="1">Spreadsheet12.1!#REF!</definedName>
    <definedName name="UseApprox">Spreadsheet12.1!#REF!</definedName>
    <definedName name="UseCouponSchedule" localSheetId="1">#REF!</definedName>
    <definedName name="UseCouponSchedule">#REF!</definedName>
    <definedName name="UseMigrationLoss" localSheetId="1">#REF!</definedName>
    <definedName name="UseMigrationLoss">#REF!</definedName>
    <definedName name="USExpLoss" localSheetId="1">#REF!</definedName>
    <definedName name="USExpLoss">#REF!</definedName>
    <definedName name="Val1A" localSheetId="1">[6]CVA!#REF!</definedName>
    <definedName name="Val1A">[6]CVA!#REF!</definedName>
    <definedName name="Val2A">[2]CVA!$I$4</definedName>
    <definedName name="Val3A">[2]CVA!$I$5</definedName>
    <definedName name="ValueDate" localSheetId="1">#REF!</definedName>
    <definedName name="ValueDate">#REF!</definedName>
    <definedName name="VaR" localSheetId="1">#REF!</definedName>
    <definedName name="VaR">#REF!</definedName>
    <definedName name="Variables">[9]Recursion!$B$121</definedName>
    <definedName name="Variance" localSheetId="1">#REF!</definedName>
    <definedName name="Variance">#REF!</definedName>
    <definedName name="VarianceBarrier" localSheetId="1">#REF!</definedName>
    <definedName name="VarianceBarrier">#REF!</definedName>
    <definedName name="vnot">'[19]Class Problems'!$G$39</definedName>
    <definedName name="Vol" localSheetId="1">[11]OptionPricer!#REF!</definedName>
    <definedName name="Vol">[11]OptionPricer!#REF!</definedName>
    <definedName name="Volatilities" localSheetId="1">#REF!</definedName>
    <definedName name="Volatilities">#REF!</definedName>
    <definedName name="Volatility" localSheetId="1">#REF!</definedName>
    <definedName name="Volatility">#REF!</definedName>
    <definedName name="VolatilityOfPosition" localSheetId="1">#REF!</definedName>
    <definedName name="VolatilityOfPosition">#REF!</definedName>
    <definedName name="VolCollateral" localSheetId="1">#REF!</definedName>
    <definedName name="VolCollateral">#REF!</definedName>
    <definedName name="volCurve" localSheetId="1">#REF!</definedName>
    <definedName name="volCurve">#REF!</definedName>
    <definedName name="volCurve2" localSheetId="1">#REF!</definedName>
    <definedName name="volCurve2">#REF!</definedName>
    <definedName name="VolExposure" localSheetId="1">#REF!</definedName>
    <definedName name="VolExposure">#REF!</definedName>
    <definedName name="VolMC">[8]MonteCarlo!$C$7</definedName>
    <definedName name="VolSqrtDt">[8]MonteCarlo!$F$7</definedName>
    <definedName name="Volume" localSheetId="1">#REF!</definedName>
    <definedName name="Volume">#REF!</definedName>
    <definedName name="VolumeToLiquidate" localSheetId="1">#REF!</definedName>
    <definedName name="VolumeToLiquidate">#REF!</definedName>
    <definedName name="WADP" localSheetId="1">#REF!</definedName>
    <definedName name="WADP">#REF!</definedName>
    <definedName name="WeBuyFrom" localSheetId="1">#REF!</definedName>
    <definedName name="WeBuyFrom">#REF!</definedName>
    <definedName name="WeightEUR" localSheetId="1">#REF!</definedName>
    <definedName name="WeightEUR">#REF!</definedName>
    <definedName name="Weights" localSheetId="1">#REF!</definedName>
    <definedName name="Weights">#REF!</definedName>
    <definedName name="WeightVector">[5]MeanVariance!$C$3:$C$6</definedName>
    <definedName name="WeightVector1">[5]MeanVariance!$G$18:$G$21</definedName>
    <definedName name="WeightVector2">[5]MeanVariance!$K$18:$K$21</definedName>
    <definedName name="WestMarket" localSheetId="1">#REF!</definedName>
    <definedName name="WestMarket">#REF!</definedName>
    <definedName name="Workbook" localSheetId="1">#REF!</definedName>
    <definedName name="Workbook">#REF!</definedName>
    <definedName name="Worksheet_List" localSheetId="1">#REF!</definedName>
    <definedName name="Worksheet_List">#REF!</definedName>
    <definedName name="X2OverS">[4]OptionPricer!$C$21</definedName>
    <definedName name="xx" localSheetId="1">#REF!</definedName>
    <definedName name="xx">#REF!</definedName>
    <definedName name="YearToMaturity">'[5]Bond Price with Excel'!$B$18</definedName>
    <definedName name="Yield">'[5]Bond Price with Excel'!$B$13</definedName>
    <definedName name="YieldCurveId" localSheetId="1">#REF!</definedName>
    <definedName name="YieldCurveId">#REF!</definedName>
    <definedName name="YieldCurveName" localSheetId="1">#REF!</definedName>
    <definedName name="YieldCurveName">#REF!</definedName>
    <definedName name="zeroCurve" localSheetId="1">#REF!</definedName>
    <definedName name="zeroCurve">#REF!</definedName>
    <definedName name="ZeroCurveRange" localSheetId="1">OFFSET(#REF!,1,0,#REF!,1)</definedName>
    <definedName name="ZeroCurveRange">OFFSET(#REF!,1,0,#REF!,1)</definedName>
  </definedNames>
  <calcPr calcId="152511"/>
</workbook>
</file>

<file path=xl/calcChain.xml><?xml version="1.0" encoding="utf-8"?>
<calcChain xmlns="http://schemas.openxmlformats.org/spreadsheetml/2006/main">
  <c r="C33" i="7" l="1"/>
  <c r="C38" i="7"/>
  <c r="C37" i="7"/>
  <c r="C36" i="7"/>
  <c r="C35" i="7"/>
  <c r="C34" i="7"/>
  <c r="B38" i="7"/>
  <c r="B37" i="7"/>
  <c r="B36" i="7"/>
  <c r="B35" i="7"/>
  <c r="B34" i="7"/>
  <c r="E12" i="7"/>
  <c r="H12" i="7" s="1"/>
  <c r="F12" i="7"/>
  <c r="F11" i="7"/>
  <c r="G12" i="7" l="1"/>
  <c r="E13" i="7"/>
  <c r="H13" i="7" s="1"/>
  <c r="E31" i="6"/>
  <c r="D32" i="6"/>
  <c r="E32" i="6" s="1"/>
  <c r="H23" i="6"/>
  <c r="H22" i="6"/>
  <c r="H21" i="6"/>
  <c r="H20" i="6"/>
  <c r="H19" i="6"/>
  <c r="B32" i="6"/>
  <c r="C32" i="6" s="1"/>
  <c r="I127" i="6"/>
  <c r="I128" i="6" s="1"/>
  <c r="I129" i="6" s="1"/>
  <c r="I130" i="6" s="1"/>
  <c r="I122" i="6"/>
  <c r="I123" i="6" s="1"/>
  <c r="I124" i="6" s="1"/>
  <c r="I125" i="6" s="1"/>
  <c r="I117" i="6"/>
  <c r="I112" i="6"/>
  <c r="I113" i="6" s="1"/>
  <c r="I114" i="6" s="1"/>
  <c r="I115" i="6" s="1"/>
  <c r="I107" i="6"/>
  <c r="I108" i="6" s="1"/>
  <c r="I109" i="6" s="1"/>
  <c r="I102" i="6"/>
  <c r="I103" i="6" s="1"/>
  <c r="I104" i="6" s="1"/>
  <c r="I105" i="6" s="1"/>
  <c r="I97" i="6"/>
  <c r="I98" i="6" s="1"/>
  <c r="I92" i="6"/>
  <c r="I93" i="6" s="1"/>
  <c r="I94" i="6" s="1"/>
  <c r="I95" i="6" s="1"/>
  <c r="I87" i="6"/>
  <c r="I88" i="6" s="1"/>
  <c r="I89" i="6" s="1"/>
  <c r="I90" i="6" s="1"/>
  <c r="I82" i="6"/>
  <c r="I83" i="6" s="1"/>
  <c r="I84" i="6" s="1"/>
  <c r="I85" i="6" s="1"/>
  <c r="I77" i="6"/>
  <c r="I78" i="6" s="1"/>
  <c r="I79" i="6" s="1"/>
  <c r="I80" i="6" s="1"/>
  <c r="I72" i="6"/>
  <c r="I73" i="6" s="1"/>
  <c r="I74" i="6" s="1"/>
  <c r="I67" i="6"/>
  <c r="I68" i="6" s="1"/>
  <c r="I69" i="6" s="1"/>
  <c r="I62" i="6"/>
  <c r="I63" i="6" s="1"/>
  <c r="I64" i="6" s="1"/>
  <c r="I65" i="6" s="1"/>
  <c r="I57" i="6"/>
  <c r="I58" i="6" s="1"/>
  <c r="I59" i="6" s="1"/>
  <c r="I60" i="6" s="1"/>
  <c r="I52" i="6"/>
  <c r="I53" i="6" s="1"/>
  <c r="I54" i="6" s="1"/>
  <c r="I47" i="6"/>
  <c r="I48" i="6" s="1"/>
  <c r="I49" i="6" s="1"/>
  <c r="I50" i="6" s="1"/>
  <c r="I42" i="6"/>
  <c r="I37" i="6"/>
  <c r="I38" i="6" s="1"/>
  <c r="I39" i="6" s="1"/>
  <c r="I33" i="6"/>
  <c r="I34" i="6" s="1"/>
  <c r="I35" i="6" s="1"/>
  <c r="C31" i="6"/>
  <c r="F13" i="7"/>
  <c r="D33" i="6" l="1"/>
  <c r="D34" i="6" s="1"/>
  <c r="E34" i="6" s="1"/>
  <c r="G13" i="7"/>
  <c r="E14" i="7"/>
  <c r="H14" i="7" s="1"/>
  <c r="F32" i="6"/>
  <c r="J32" i="6" s="1"/>
  <c r="B33" i="6"/>
  <c r="C33" i="6" s="1"/>
  <c r="I99" i="6"/>
  <c r="I118" i="6"/>
  <c r="I43" i="6"/>
  <c r="I75" i="6"/>
  <c r="I70" i="6"/>
  <c r="I110" i="6"/>
  <c r="I131" i="6"/>
  <c r="I55" i="6"/>
  <c r="I40" i="6"/>
  <c r="F14" i="7"/>
  <c r="F33" i="6" l="1"/>
  <c r="F34" i="6"/>
  <c r="E33" i="6"/>
  <c r="D35" i="6"/>
  <c r="E35" i="6" s="1"/>
  <c r="G14" i="7"/>
  <c r="E15" i="7"/>
  <c r="H15" i="7" s="1"/>
  <c r="E16" i="7"/>
  <c r="H16" i="7" s="1"/>
  <c r="B34" i="6"/>
  <c r="B35" i="6" s="1"/>
  <c r="H32" i="6"/>
  <c r="J33" i="6"/>
  <c r="H33" i="6"/>
  <c r="I119" i="6"/>
  <c r="I100" i="6"/>
  <c r="I44" i="6"/>
  <c r="J34" i="6"/>
  <c r="F15" i="7"/>
  <c r="F16" i="7"/>
  <c r="F35" i="6" l="1"/>
  <c r="J35" i="6" s="1"/>
  <c r="D36" i="6"/>
  <c r="F36" i="6" s="1"/>
  <c r="J36" i="6" s="1"/>
  <c r="G15" i="7"/>
  <c r="G16" i="7"/>
  <c r="E17" i="7"/>
  <c r="H17" i="7" s="1"/>
  <c r="E18" i="7"/>
  <c r="H18" i="7" s="1"/>
  <c r="C34" i="6"/>
  <c r="H34" i="6" s="1"/>
  <c r="B36" i="6"/>
  <c r="C35" i="6"/>
  <c r="H35" i="6" s="1"/>
  <c r="I45" i="6"/>
  <c r="I120" i="6"/>
  <c r="F17" i="7"/>
  <c r="F18" i="7"/>
  <c r="D37" i="6" l="1"/>
  <c r="F37" i="6" s="1"/>
  <c r="J37" i="6" s="1"/>
  <c r="E36" i="6"/>
  <c r="G18" i="7"/>
  <c r="G17" i="7"/>
  <c r="E19" i="7"/>
  <c r="H19" i="7" s="1"/>
  <c r="B37" i="6"/>
  <c r="C36" i="6"/>
  <c r="F19" i="7"/>
  <c r="D38" i="6" l="1"/>
  <c r="E38" i="6" s="1"/>
  <c r="E37" i="6"/>
  <c r="G19" i="7"/>
  <c r="E20" i="7"/>
  <c r="H20" i="7" s="1"/>
  <c r="F38" i="6"/>
  <c r="J38" i="6" s="1"/>
  <c r="H36" i="6"/>
  <c r="G36" i="6"/>
  <c r="B38" i="6"/>
  <c r="C37" i="6"/>
  <c r="H37" i="6" s="1"/>
  <c r="D39" i="6"/>
  <c r="F20" i="7"/>
  <c r="G20" i="7" l="1"/>
  <c r="E21" i="7"/>
  <c r="H21" i="7" s="1"/>
  <c r="F39" i="6"/>
  <c r="J39" i="6" s="1"/>
  <c r="E39" i="6"/>
  <c r="B39" i="6"/>
  <c r="C38" i="6"/>
  <c r="H38" i="6" s="1"/>
  <c r="D40" i="6"/>
  <c r="F21" i="7"/>
  <c r="G21" i="7" l="1"/>
  <c r="E22" i="7"/>
  <c r="H22" i="7" s="1"/>
  <c r="F40" i="6"/>
  <c r="J40" i="6" s="1"/>
  <c r="E40" i="6"/>
  <c r="B40" i="6"/>
  <c r="C39" i="6"/>
  <c r="H39" i="6" s="1"/>
  <c r="D41" i="6"/>
  <c r="F22" i="7"/>
  <c r="G22" i="7" l="1"/>
  <c r="E23" i="7"/>
  <c r="H23" i="7" s="1"/>
  <c r="F41" i="6"/>
  <c r="J41" i="6" s="1"/>
  <c r="E41" i="6"/>
  <c r="B41" i="6"/>
  <c r="C40" i="6"/>
  <c r="H40" i="6" s="1"/>
  <c r="D42" i="6"/>
  <c r="E42" i="6" s="1"/>
  <c r="F23" i="7"/>
  <c r="G23" i="7" l="1"/>
  <c r="E24" i="7"/>
  <c r="H24" i="7" s="1"/>
  <c r="B42" i="6"/>
  <c r="C41" i="6"/>
  <c r="D43" i="6"/>
  <c r="E43" i="6" s="1"/>
  <c r="F42" i="6"/>
  <c r="F24" i="7"/>
  <c r="G24" i="7" l="1"/>
  <c r="E25" i="7"/>
  <c r="H25" i="7" s="1"/>
  <c r="H41" i="6"/>
  <c r="G41" i="6"/>
  <c r="B43" i="6"/>
  <c r="C42" i="6"/>
  <c r="H42" i="6" s="1"/>
  <c r="D44" i="6"/>
  <c r="E44" i="6" s="1"/>
  <c r="J42" i="6"/>
  <c r="F43" i="6"/>
  <c r="F25" i="7"/>
  <c r="G25" i="7" l="1"/>
  <c r="E26" i="7"/>
  <c r="H26" i="7" s="1"/>
  <c r="C43" i="6"/>
  <c r="H43" i="6" s="1"/>
  <c r="B44" i="6"/>
  <c r="D45" i="6"/>
  <c r="E45" i="6" s="1"/>
  <c r="J43" i="6"/>
  <c r="F44" i="6"/>
  <c r="F26" i="7"/>
  <c r="G26" i="7" l="1"/>
  <c r="E27" i="7"/>
  <c r="H27" i="7" s="1"/>
  <c r="B45" i="6"/>
  <c r="C44" i="6"/>
  <c r="H44" i="6" s="1"/>
  <c r="D46" i="6"/>
  <c r="E46" i="6" s="1"/>
  <c r="J44" i="6"/>
  <c r="F45" i="6"/>
  <c r="F27" i="7"/>
  <c r="G27" i="7" l="1"/>
  <c r="E28" i="7"/>
  <c r="H28" i="7" s="1"/>
  <c r="C45" i="6"/>
  <c r="H45" i="6" s="1"/>
  <c r="B46" i="6"/>
  <c r="D47" i="6"/>
  <c r="J45" i="6"/>
  <c r="F46" i="6"/>
  <c r="F28" i="7"/>
  <c r="G28" i="7" l="1"/>
  <c r="E29" i="7"/>
  <c r="H29" i="7" s="1"/>
  <c r="F47" i="6"/>
  <c r="J47" i="6" s="1"/>
  <c r="E47" i="6"/>
  <c r="C46" i="6"/>
  <c r="G46" i="6" s="1"/>
  <c r="B47" i="6"/>
  <c r="J46" i="6"/>
  <c r="D48" i="6"/>
  <c r="F29" i="7"/>
  <c r="G29" i="7" l="1"/>
  <c r="E30" i="7"/>
  <c r="H30" i="7" s="1"/>
  <c r="F48" i="6"/>
  <c r="J48" i="6" s="1"/>
  <c r="E48" i="6"/>
  <c r="H46" i="6"/>
  <c r="B48" i="6"/>
  <c r="C47" i="6"/>
  <c r="H47" i="6" s="1"/>
  <c r="D49" i="6"/>
  <c r="E49" i="6" s="1"/>
  <c r="F30" i="7"/>
  <c r="G30" i="7" l="1"/>
  <c r="E31" i="7"/>
  <c r="H31" i="7" s="1"/>
  <c r="B49" i="6"/>
  <c r="C48" i="6"/>
  <c r="H48" i="6" s="1"/>
  <c r="D50" i="6"/>
  <c r="F49" i="6"/>
  <c r="F31" i="7"/>
  <c r="G31" i="7" l="1"/>
  <c r="E32" i="7"/>
  <c r="H32" i="7" s="1"/>
  <c r="F50" i="6"/>
  <c r="J50" i="6" s="1"/>
  <c r="E50" i="6"/>
  <c r="B50" i="6"/>
  <c r="C49" i="6"/>
  <c r="H49" i="6" s="1"/>
  <c r="J49" i="6"/>
  <c r="D51" i="6"/>
  <c r="E51" i="6" s="1"/>
  <c r="F32" i="7"/>
  <c r="G32" i="7" l="1"/>
  <c r="E33" i="7"/>
  <c r="H33" i="7" s="1"/>
  <c r="B51" i="6"/>
  <c r="C50" i="6"/>
  <c r="H50" i="6" s="1"/>
  <c r="D52" i="6"/>
  <c r="E52" i="6" s="1"/>
  <c r="G19" i="6"/>
  <c r="I19" i="6" s="1"/>
  <c r="F51" i="6"/>
  <c r="F33" i="7"/>
  <c r="G33" i="7" l="1"/>
  <c r="E34" i="7"/>
  <c r="H34" i="7" s="1"/>
  <c r="C51" i="6"/>
  <c r="G51" i="6" s="1"/>
  <c r="I12" i="6" s="1"/>
  <c r="B52" i="6"/>
  <c r="D53" i="6"/>
  <c r="J51" i="6"/>
  <c r="F52" i="6"/>
  <c r="F34" i="7"/>
  <c r="G34" i="7" l="1"/>
  <c r="E35" i="7"/>
  <c r="H35" i="7" s="1"/>
  <c r="F53" i="6"/>
  <c r="J53" i="6" s="1"/>
  <c r="E53" i="6"/>
  <c r="B53" i="6"/>
  <c r="C52" i="6"/>
  <c r="H52" i="6" s="1"/>
  <c r="H51" i="6"/>
  <c r="J12" i="6" s="1"/>
  <c r="F19" i="6" s="1"/>
  <c r="D54" i="6"/>
  <c r="E54" i="6" s="1"/>
  <c r="J52" i="6"/>
  <c r="F35" i="7"/>
  <c r="G35" i="7" l="1"/>
  <c r="E36" i="7"/>
  <c r="H36" i="7" s="1"/>
  <c r="N12" i="6"/>
  <c r="K12" i="6"/>
  <c r="C53" i="6"/>
  <c r="H53" i="6" s="1"/>
  <c r="B54" i="6"/>
  <c r="D55" i="6"/>
  <c r="F54" i="6"/>
  <c r="F36" i="7"/>
  <c r="G36" i="7" l="1"/>
  <c r="E37" i="7"/>
  <c r="H37" i="7" s="1"/>
  <c r="F55" i="6"/>
  <c r="J55" i="6" s="1"/>
  <c r="E55" i="6"/>
  <c r="B55" i="6"/>
  <c r="C54" i="6"/>
  <c r="H54" i="6" s="1"/>
  <c r="J54" i="6"/>
  <c r="D56" i="6"/>
  <c r="E56" i="6" s="1"/>
  <c r="F37" i="7"/>
  <c r="G37" i="7" l="1"/>
  <c r="E38" i="7"/>
  <c r="H38" i="7" s="1"/>
  <c r="B56" i="6"/>
  <c r="C55" i="6"/>
  <c r="H55" i="6" s="1"/>
  <c r="D57" i="6"/>
  <c r="E57" i="6" s="1"/>
  <c r="F56" i="6"/>
  <c r="F38" i="7"/>
  <c r="G38" i="7" l="1"/>
  <c r="E39" i="7"/>
  <c r="H39" i="7" s="1"/>
  <c r="B57" i="6"/>
  <c r="C56" i="6"/>
  <c r="G56" i="6" s="1"/>
  <c r="J56" i="6"/>
  <c r="D58" i="6"/>
  <c r="F57" i="6"/>
  <c r="F39" i="7"/>
  <c r="G39" i="7" l="1"/>
  <c r="E40" i="7"/>
  <c r="H40" i="7" s="1"/>
  <c r="F58" i="6"/>
  <c r="J58" i="6" s="1"/>
  <c r="E58" i="6"/>
  <c r="H56" i="6"/>
  <c r="C57" i="6"/>
  <c r="H57" i="6" s="1"/>
  <c r="B58" i="6"/>
  <c r="J57" i="6"/>
  <c r="D59" i="6"/>
  <c r="F40" i="7"/>
  <c r="G40" i="7" l="1"/>
  <c r="E41" i="7"/>
  <c r="H41" i="7" s="1"/>
  <c r="F59" i="6"/>
  <c r="J59" i="6" s="1"/>
  <c r="E59" i="6"/>
  <c r="B59" i="6"/>
  <c r="C58" i="6"/>
  <c r="H58" i="6" s="1"/>
  <c r="D60" i="6"/>
  <c r="F41" i="7"/>
  <c r="G41" i="7" l="1"/>
  <c r="E42" i="7"/>
  <c r="H42" i="7" s="1"/>
  <c r="F60" i="6"/>
  <c r="J60" i="6" s="1"/>
  <c r="E60" i="6"/>
  <c r="C59" i="6"/>
  <c r="H59" i="6" s="1"/>
  <c r="B60" i="6"/>
  <c r="D61" i="6"/>
  <c r="F42" i="7"/>
  <c r="G42" i="7" l="1"/>
  <c r="E43" i="7"/>
  <c r="H43" i="7" s="1"/>
  <c r="F61" i="6"/>
  <c r="J61" i="6" s="1"/>
  <c r="E61" i="6"/>
  <c r="B61" i="6"/>
  <c r="C60" i="6"/>
  <c r="H60" i="6" s="1"/>
  <c r="D62" i="6"/>
  <c r="F43" i="7"/>
  <c r="G43" i="7" l="1"/>
  <c r="E44" i="7"/>
  <c r="H44" i="7" s="1"/>
  <c r="F62" i="6"/>
  <c r="J62" i="6" s="1"/>
  <c r="E62" i="6"/>
  <c r="C61" i="6"/>
  <c r="B62" i="6"/>
  <c r="D63" i="6"/>
  <c r="F44" i="7"/>
  <c r="G44" i="7" l="1"/>
  <c r="E45" i="7"/>
  <c r="H45" i="7" s="1"/>
  <c r="F63" i="6"/>
  <c r="J63" i="6" s="1"/>
  <c r="E63" i="6"/>
  <c r="H61" i="6"/>
  <c r="G61" i="6"/>
  <c r="B63" i="6"/>
  <c r="C62" i="6"/>
  <c r="H62" i="6" s="1"/>
  <c r="D64" i="6"/>
  <c r="E64" i="6" s="1"/>
  <c r="F45" i="7"/>
  <c r="G45" i="7" l="1"/>
  <c r="E46" i="7"/>
  <c r="H46" i="7" s="1"/>
  <c r="B64" i="6"/>
  <c r="C63" i="6"/>
  <c r="H63" i="6" s="1"/>
  <c r="D65" i="6"/>
  <c r="E65" i="6" s="1"/>
  <c r="F64" i="6"/>
  <c r="F46" i="7"/>
  <c r="G46" i="7" l="1"/>
  <c r="E47" i="7"/>
  <c r="H47" i="7" s="1"/>
  <c r="C64" i="6"/>
  <c r="H64" i="6" s="1"/>
  <c r="B65" i="6"/>
  <c r="D66" i="6"/>
  <c r="E66" i="6" s="1"/>
  <c r="J64" i="6"/>
  <c r="F65" i="6"/>
  <c r="F47" i="7"/>
  <c r="G47" i="7" l="1"/>
  <c r="E48" i="7"/>
  <c r="H48" i="7" s="1"/>
  <c r="B66" i="6"/>
  <c r="C65" i="6"/>
  <c r="H65" i="6" s="1"/>
  <c r="D67" i="6"/>
  <c r="E67" i="6" s="1"/>
  <c r="J65" i="6"/>
  <c r="F66" i="6"/>
  <c r="F48" i="7"/>
  <c r="G48" i="7" l="1"/>
  <c r="E49" i="7"/>
  <c r="H49" i="7" s="1"/>
  <c r="C66" i="6"/>
  <c r="G66" i="6" s="1"/>
  <c r="B67" i="6"/>
  <c r="J66" i="6"/>
  <c r="D68" i="6"/>
  <c r="F67" i="6"/>
  <c r="F49" i="7"/>
  <c r="G49" i="7" l="1"/>
  <c r="E50" i="7"/>
  <c r="H50" i="7" s="1"/>
  <c r="F68" i="6"/>
  <c r="J68" i="6" s="1"/>
  <c r="E68" i="6"/>
  <c r="B68" i="6"/>
  <c r="C67" i="6"/>
  <c r="H67" i="6" s="1"/>
  <c r="H66" i="6"/>
  <c r="J67" i="6"/>
  <c r="D69" i="6"/>
  <c r="E69" i="6" s="1"/>
  <c r="F50" i="7"/>
  <c r="G50" i="7" l="1"/>
  <c r="E51" i="7"/>
  <c r="H51" i="7" s="1"/>
  <c r="C68" i="6"/>
  <c r="H68" i="6" s="1"/>
  <c r="B69" i="6"/>
  <c r="D70" i="6"/>
  <c r="E70" i="6" s="1"/>
  <c r="F69" i="6"/>
  <c r="F51" i="7"/>
  <c r="G51" i="7" l="1"/>
  <c r="E52" i="7"/>
  <c r="H52" i="7" s="1"/>
  <c r="C69" i="6"/>
  <c r="H69" i="6" s="1"/>
  <c r="B70" i="6"/>
  <c r="D71" i="6"/>
  <c r="E71" i="6" s="1"/>
  <c r="F70" i="6"/>
  <c r="J69" i="6"/>
  <c r="F52" i="7"/>
  <c r="G52" i="7" l="1"/>
  <c r="E53" i="7"/>
  <c r="H53" i="7" s="1"/>
  <c r="B71" i="6"/>
  <c r="C70" i="6"/>
  <c r="H70" i="6" s="1"/>
  <c r="D72" i="6"/>
  <c r="E72" i="6" s="1"/>
  <c r="G20" i="6"/>
  <c r="I20" i="6" s="1"/>
  <c r="F71" i="6"/>
  <c r="J70" i="6"/>
  <c r="F53" i="7"/>
  <c r="G53" i="7" l="1"/>
  <c r="E54" i="7"/>
  <c r="H54" i="7" s="1"/>
  <c r="C71" i="6"/>
  <c r="G71" i="6" s="1"/>
  <c r="I13" i="6" s="1"/>
  <c r="B72" i="6"/>
  <c r="D73" i="6"/>
  <c r="J71" i="6"/>
  <c r="F72" i="6"/>
  <c r="F54" i="7"/>
  <c r="G54" i="7" l="1"/>
  <c r="E55" i="7"/>
  <c r="H55" i="7" s="1"/>
  <c r="F73" i="6"/>
  <c r="J73" i="6" s="1"/>
  <c r="E73" i="6"/>
  <c r="C72" i="6"/>
  <c r="H72" i="6" s="1"/>
  <c r="B73" i="6"/>
  <c r="H71" i="6"/>
  <c r="J13" i="6" s="1"/>
  <c r="F20" i="6" s="1"/>
  <c r="J72" i="6"/>
  <c r="D74" i="6"/>
  <c r="E74" i="6" s="1"/>
  <c r="F55" i="7"/>
  <c r="G55" i="7" l="1"/>
  <c r="E56" i="7"/>
  <c r="H56" i="7" s="1"/>
  <c r="N13" i="6"/>
  <c r="K13" i="6"/>
  <c r="B74" i="6"/>
  <c r="C73" i="6"/>
  <c r="H73" i="6" s="1"/>
  <c r="D75" i="6"/>
  <c r="F74" i="6"/>
  <c r="F56" i="7"/>
  <c r="G56" i="7" l="1"/>
  <c r="E57" i="7"/>
  <c r="H57" i="7" s="1"/>
  <c r="F75" i="6"/>
  <c r="J75" i="6" s="1"/>
  <c r="E75" i="6"/>
  <c r="B75" i="6"/>
  <c r="C74" i="6"/>
  <c r="H74" i="6" s="1"/>
  <c r="J74" i="6"/>
  <c r="D76" i="6"/>
  <c r="F57" i="7"/>
  <c r="G57" i="7" l="1"/>
  <c r="E58" i="7"/>
  <c r="H58" i="7" s="1"/>
  <c r="F76" i="6"/>
  <c r="J76" i="6" s="1"/>
  <c r="E76" i="6"/>
  <c r="C75" i="6"/>
  <c r="H75" i="6" s="1"/>
  <c r="B76" i="6"/>
  <c r="D77" i="6"/>
  <c r="F58" i="7"/>
  <c r="G58" i="7" l="1"/>
  <c r="E59" i="7"/>
  <c r="H59" i="7" s="1"/>
  <c r="F77" i="6"/>
  <c r="J77" i="6" s="1"/>
  <c r="E77" i="6"/>
  <c r="B77" i="6"/>
  <c r="C76" i="6"/>
  <c r="D78" i="6"/>
  <c r="E78" i="6" s="1"/>
  <c r="F59" i="7"/>
  <c r="G59" i="7" l="1"/>
  <c r="E60" i="7"/>
  <c r="H60" i="7" s="1"/>
  <c r="H76" i="6"/>
  <c r="G76" i="6"/>
  <c r="C77" i="6"/>
  <c r="H77" i="6" s="1"/>
  <c r="B78" i="6"/>
  <c r="D79" i="6"/>
  <c r="E79" i="6" s="1"/>
  <c r="F78" i="6"/>
  <c r="F60" i="7"/>
  <c r="G60" i="7" l="1"/>
  <c r="E61" i="7"/>
  <c r="H61" i="7" s="1"/>
  <c r="B79" i="6"/>
  <c r="C78" i="6"/>
  <c r="H78" i="6" s="1"/>
  <c r="D80" i="6"/>
  <c r="E80" i="6" s="1"/>
  <c r="J78" i="6"/>
  <c r="F79" i="6"/>
  <c r="F61" i="7"/>
  <c r="G61" i="7" l="1"/>
  <c r="E62" i="7"/>
  <c r="H62" i="7" s="1"/>
  <c r="B80" i="6"/>
  <c r="C79" i="6"/>
  <c r="H79" i="6" s="1"/>
  <c r="D81" i="6"/>
  <c r="J79" i="6"/>
  <c r="F80" i="6"/>
  <c r="F62" i="7"/>
  <c r="G62" i="7" l="1"/>
  <c r="E63" i="7"/>
  <c r="H63" i="7" s="1"/>
  <c r="F81" i="6"/>
  <c r="J81" i="6" s="1"/>
  <c r="E81" i="6"/>
  <c r="C80" i="6"/>
  <c r="H80" i="6" s="1"/>
  <c r="B81" i="6"/>
  <c r="J80" i="6"/>
  <c r="D82" i="6"/>
  <c r="F63" i="7"/>
  <c r="G63" i="7" l="1"/>
  <c r="E64" i="7"/>
  <c r="H64" i="7" s="1"/>
  <c r="F82" i="6"/>
  <c r="J82" i="6" s="1"/>
  <c r="E82" i="6"/>
  <c r="C81" i="6"/>
  <c r="B82" i="6"/>
  <c r="D83" i="6"/>
  <c r="F64" i="7"/>
  <c r="G64" i="7" l="1"/>
  <c r="E65" i="7"/>
  <c r="H65" i="7" s="1"/>
  <c r="F83" i="6"/>
  <c r="J83" i="6" s="1"/>
  <c r="E83" i="6"/>
  <c r="C82" i="6"/>
  <c r="H82" i="6" s="1"/>
  <c r="B83" i="6"/>
  <c r="H81" i="6"/>
  <c r="G81" i="6"/>
  <c r="D84" i="6"/>
  <c r="F65" i="7"/>
  <c r="G65" i="7" l="1"/>
  <c r="E66" i="7"/>
  <c r="H66" i="7" s="1"/>
  <c r="F84" i="6"/>
  <c r="J84" i="6" s="1"/>
  <c r="E84" i="6"/>
  <c r="C83" i="6"/>
  <c r="H83" i="6" s="1"/>
  <c r="B84" i="6"/>
  <c r="D85" i="6"/>
  <c r="F66" i="7"/>
  <c r="G66" i="7" l="1"/>
  <c r="E67" i="7"/>
  <c r="H67" i="7" s="1"/>
  <c r="F85" i="6"/>
  <c r="J85" i="6" s="1"/>
  <c r="E85" i="6"/>
  <c r="C84" i="6"/>
  <c r="H84" i="6" s="1"/>
  <c r="B85" i="6"/>
  <c r="D86" i="6"/>
  <c r="E86" i="6" s="1"/>
  <c r="F67" i="7"/>
  <c r="G67" i="7" l="1"/>
  <c r="E68" i="7"/>
  <c r="H68" i="7" s="1"/>
  <c r="C85" i="6"/>
  <c r="H85" i="6" s="1"/>
  <c r="B86" i="6"/>
  <c r="D87" i="6"/>
  <c r="E87" i="6" s="1"/>
  <c r="F86" i="6"/>
  <c r="F68" i="7"/>
  <c r="G68" i="7" l="1"/>
  <c r="E69" i="7"/>
  <c r="H69" i="7" s="1"/>
  <c r="B87" i="6"/>
  <c r="C86" i="6"/>
  <c r="G86" i="6" s="1"/>
  <c r="D88" i="6"/>
  <c r="E88" i="6" s="1"/>
  <c r="F87" i="6"/>
  <c r="J86" i="6"/>
  <c r="F69" i="7"/>
  <c r="G69" i="7" l="1"/>
  <c r="E70" i="7"/>
  <c r="H70" i="7" s="1"/>
  <c r="H86" i="6"/>
  <c r="C87" i="6"/>
  <c r="H87" i="6" s="1"/>
  <c r="B88" i="6"/>
  <c r="J87" i="6"/>
  <c r="D89" i="6"/>
  <c r="E89" i="6" s="1"/>
  <c r="F88" i="6"/>
  <c r="F70" i="7"/>
  <c r="G70" i="7" l="1"/>
  <c r="E71" i="7"/>
  <c r="H71" i="7" s="1"/>
  <c r="B89" i="6"/>
  <c r="C88" i="6"/>
  <c r="H88" i="6" s="1"/>
  <c r="D90" i="6"/>
  <c r="E90" i="6" s="1"/>
  <c r="F89" i="6"/>
  <c r="J88" i="6"/>
  <c r="F71" i="7"/>
  <c r="G71" i="7" l="1"/>
  <c r="E72" i="7"/>
  <c r="H72" i="7" s="1"/>
  <c r="B90" i="6"/>
  <c r="C89" i="6"/>
  <c r="H89" i="6" s="1"/>
  <c r="J89" i="6"/>
  <c r="D91" i="6"/>
  <c r="F90" i="6"/>
  <c r="F72" i="7"/>
  <c r="G72" i="7" l="1"/>
  <c r="E73" i="7"/>
  <c r="H73" i="7" s="1"/>
  <c r="F91" i="6"/>
  <c r="J91" i="6" s="1"/>
  <c r="E91" i="6"/>
  <c r="B91" i="6"/>
  <c r="C90" i="6"/>
  <c r="H90" i="6" s="1"/>
  <c r="J90" i="6"/>
  <c r="G21" i="6"/>
  <c r="I21" i="6" s="1"/>
  <c r="D92" i="6"/>
  <c r="F73" i="7"/>
  <c r="G73" i="7" l="1"/>
  <c r="E74" i="7"/>
  <c r="H74" i="7" s="1"/>
  <c r="F92" i="6"/>
  <c r="J92" i="6" s="1"/>
  <c r="E92" i="6"/>
  <c r="B92" i="6"/>
  <c r="C91" i="6"/>
  <c r="D93" i="6"/>
  <c r="F74" i="7"/>
  <c r="G74" i="7" l="1"/>
  <c r="E75" i="7"/>
  <c r="H75" i="7" s="1"/>
  <c r="F93" i="6"/>
  <c r="J93" i="6" s="1"/>
  <c r="E93" i="6"/>
  <c r="H91" i="6"/>
  <c r="J14" i="6" s="1"/>
  <c r="G91" i="6"/>
  <c r="I14" i="6" s="1"/>
  <c r="B93" i="6"/>
  <c r="C92" i="6"/>
  <c r="H92" i="6" s="1"/>
  <c r="D94" i="6"/>
  <c r="F75" i="7"/>
  <c r="G75" i="7" l="1"/>
  <c r="E76" i="7"/>
  <c r="H76" i="7" s="1"/>
  <c r="F94" i="6"/>
  <c r="J94" i="6" s="1"/>
  <c r="E94" i="6"/>
  <c r="F21" i="6"/>
  <c r="K14" i="6"/>
  <c r="N14" i="6"/>
  <c r="C93" i="6"/>
  <c r="H93" i="6" s="1"/>
  <c r="B94" i="6"/>
  <c r="D95" i="6"/>
  <c r="F76" i="7"/>
  <c r="G76" i="7" l="1"/>
  <c r="E77" i="7"/>
  <c r="H77" i="7" s="1"/>
  <c r="F95" i="6"/>
  <c r="J95" i="6" s="1"/>
  <c r="E95" i="6"/>
  <c r="B95" i="6"/>
  <c r="C94" i="6"/>
  <c r="H94" i="6" s="1"/>
  <c r="D96" i="6"/>
  <c r="F77" i="7"/>
  <c r="G77" i="7" l="1"/>
  <c r="E78" i="7"/>
  <c r="H78" i="7" s="1"/>
  <c r="F96" i="6"/>
  <c r="J96" i="6" s="1"/>
  <c r="E96" i="6"/>
  <c r="C95" i="6"/>
  <c r="H95" i="6" s="1"/>
  <c r="B96" i="6"/>
  <c r="D97" i="6"/>
  <c r="E97" i="6" s="1"/>
  <c r="F78" i="7"/>
  <c r="G78" i="7" l="1"/>
  <c r="E79" i="7"/>
  <c r="H79" i="7" s="1"/>
  <c r="B97" i="6"/>
  <c r="C96" i="6"/>
  <c r="D98" i="6"/>
  <c r="E98" i="6" s="1"/>
  <c r="F97" i="6"/>
  <c r="F79" i="7"/>
  <c r="G79" i="7" l="1"/>
  <c r="E80" i="7"/>
  <c r="H80" i="7" s="1"/>
  <c r="B98" i="6"/>
  <c r="C97" i="6"/>
  <c r="H97" i="6" s="1"/>
  <c r="G96" i="6"/>
  <c r="H96" i="6"/>
  <c r="D99" i="6"/>
  <c r="F98" i="6"/>
  <c r="J97" i="6"/>
  <c r="F80" i="7"/>
  <c r="G80" i="7" l="1"/>
  <c r="E81" i="7"/>
  <c r="H81" i="7" s="1"/>
  <c r="F99" i="6"/>
  <c r="J99" i="6" s="1"/>
  <c r="E99" i="6"/>
  <c r="C98" i="6"/>
  <c r="H98" i="6" s="1"/>
  <c r="B99" i="6"/>
  <c r="D100" i="6"/>
  <c r="E100" i="6" s="1"/>
  <c r="J98" i="6"/>
  <c r="F81" i="7"/>
  <c r="G81" i="7" l="1"/>
  <c r="E82" i="7"/>
  <c r="H82" i="7" s="1"/>
  <c r="C99" i="6"/>
  <c r="H99" i="6" s="1"/>
  <c r="B100" i="6"/>
  <c r="D101" i="6"/>
  <c r="E101" i="6" s="1"/>
  <c r="F100" i="6"/>
  <c r="F82" i="7"/>
  <c r="G82" i="7" l="1"/>
  <c r="E83" i="7"/>
  <c r="H83" i="7" s="1"/>
  <c r="B101" i="6"/>
  <c r="C100" i="6"/>
  <c r="H100" i="6" s="1"/>
  <c r="D102" i="6"/>
  <c r="E102" i="6" s="1"/>
  <c r="J100" i="6"/>
  <c r="F101" i="6"/>
  <c r="F83" i="7"/>
  <c r="G83" i="7" l="1"/>
  <c r="E84" i="7"/>
  <c r="H84" i="7" s="1"/>
  <c r="B102" i="6"/>
  <c r="C101" i="6"/>
  <c r="G101" i="6" s="1"/>
  <c r="D103" i="6"/>
  <c r="J101" i="6"/>
  <c r="F102" i="6"/>
  <c r="F84" i="7"/>
  <c r="G84" i="7" l="1"/>
  <c r="E85" i="7"/>
  <c r="H85" i="7" s="1"/>
  <c r="F103" i="6"/>
  <c r="J103" i="6" s="1"/>
  <c r="E103" i="6"/>
  <c r="C102" i="6"/>
  <c r="H102" i="6" s="1"/>
  <c r="B103" i="6"/>
  <c r="H101" i="6"/>
  <c r="J102" i="6"/>
  <c r="D104" i="6"/>
  <c r="F85" i="7"/>
  <c r="G85" i="7" l="1"/>
  <c r="E86" i="7"/>
  <c r="H86" i="7" s="1"/>
  <c r="F104" i="6"/>
  <c r="J104" i="6" s="1"/>
  <c r="E104" i="6"/>
  <c r="C103" i="6"/>
  <c r="H103" i="6" s="1"/>
  <c r="B104" i="6"/>
  <c r="D105" i="6"/>
  <c r="E105" i="6" s="1"/>
  <c r="F86" i="7"/>
  <c r="G86" i="7" l="1"/>
  <c r="E87" i="7"/>
  <c r="H87" i="7" s="1"/>
  <c r="B105" i="6"/>
  <c r="C104" i="6"/>
  <c r="H104" i="6" s="1"/>
  <c r="D106" i="6"/>
  <c r="E106" i="6" s="1"/>
  <c r="F105" i="6"/>
  <c r="F87" i="7"/>
  <c r="G87" i="7" l="1"/>
  <c r="E88" i="7"/>
  <c r="H88" i="7" s="1"/>
  <c r="C105" i="6"/>
  <c r="H105" i="6" s="1"/>
  <c r="B106" i="6"/>
  <c r="J105" i="6"/>
  <c r="D107" i="6"/>
  <c r="F106" i="6"/>
  <c r="F88" i="7"/>
  <c r="G88" i="7" l="1"/>
  <c r="E89" i="7"/>
  <c r="H89" i="7" s="1"/>
  <c r="F107" i="6"/>
  <c r="J107" i="6" s="1"/>
  <c r="E107" i="6"/>
  <c r="B107" i="6"/>
  <c r="C106" i="6"/>
  <c r="G106" i="6" s="1"/>
  <c r="D108" i="6"/>
  <c r="J106" i="6"/>
  <c r="F89" i="7"/>
  <c r="G89" i="7" l="1"/>
  <c r="E90" i="7"/>
  <c r="H90" i="7" s="1"/>
  <c r="F108" i="6"/>
  <c r="J108" i="6" s="1"/>
  <c r="E108" i="6"/>
  <c r="H106" i="6"/>
  <c r="B108" i="6"/>
  <c r="C107" i="6"/>
  <c r="H107" i="6" s="1"/>
  <c r="D109" i="6"/>
  <c r="F90" i="7"/>
  <c r="G90" i="7" l="1"/>
  <c r="E91" i="7"/>
  <c r="H91" i="7" s="1"/>
  <c r="F109" i="6"/>
  <c r="J109" i="6" s="1"/>
  <c r="E109" i="6"/>
  <c r="B109" i="6"/>
  <c r="C108" i="6"/>
  <c r="H108" i="6" s="1"/>
  <c r="D110" i="6"/>
  <c r="F91" i="7"/>
  <c r="G91" i="7" l="1"/>
  <c r="E92" i="7"/>
  <c r="H92" i="7" s="1"/>
  <c r="F110" i="6"/>
  <c r="J110" i="6" s="1"/>
  <c r="E110" i="6"/>
  <c r="C109" i="6"/>
  <c r="H109" i="6" s="1"/>
  <c r="B110" i="6"/>
  <c r="D111" i="6"/>
  <c r="E111" i="6" s="1"/>
  <c r="F92" i="7"/>
  <c r="G92" i="7" l="1"/>
  <c r="E93" i="7"/>
  <c r="H93" i="7" s="1"/>
  <c r="C110" i="6"/>
  <c r="H110" i="6" s="1"/>
  <c r="B111" i="6"/>
  <c r="D112" i="6"/>
  <c r="E112" i="6" s="1"/>
  <c r="G22" i="6"/>
  <c r="I22" i="6" s="1"/>
  <c r="F111" i="6"/>
  <c r="F93" i="7"/>
  <c r="G93" i="7" l="1"/>
  <c r="E94" i="7"/>
  <c r="H94" i="7" s="1"/>
  <c r="C111" i="6"/>
  <c r="G111" i="6" s="1"/>
  <c r="I15" i="6" s="1"/>
  <c r="B112" i="6"/>
  <c r="J111" i="6"/>
  <c r="D113" i="6"/>
  <c r="E113" i="6" s="1"/>
  <c r="F112" i="6"/>
  <c r="F94" i="7"/>
  <c r="G94" i="7" l="1"/>
  <c r="E95" i="7"/>
  <c r="H95" i="7" s="1"/>
  <c r="B113" i="6"/>
  <c r="C112" i="6"/>
  <c r="H112" i="6" s="1"/>
  <c r="H111" i="6"/>
  <c r="J15" i="6" s="1"/>
  <c r="N15" i="6" s="1"/>
  <c r="D114" i="6"/>
  <c r="E114" i="6" s="1"/>
  <c r="J112" i="6"/>
  <c r="F113" i="6"/>
  <c r="F95" i="7"/>
  <c r="G95" i="7" l="1"/>
  <c r="E96" i="7"/>
  <c r="H96" i="7" s="1"/>
  <c r="F22" i="6"/>
  <c r="K15" i="6"/>
  <c r="B114" i="6"/>
  <c r="C113" i="6"/>
  <c r="H113" i="6" s="1"/>
  <c r="D115" i="6"/>
  <c r="E115" i="6" s="1"/>
  <c r="J113" i="6"/>
  <c r="F114" i="6"/>
  <c r="F96" i="7"/>
  <c r="G96" i="7" l="1"/>
  <c r="E97" i="7"/>
  <c r="H97" i="7" s="1"/>
  <c r="C114" i="6"/>
  <c r="H114" i="6" s="1"/>
  <c r="B115" i="6"/>
  <c r="D116" i="6"/>
  <c r="J114" i="6"/>
  <c r="F115" i="6"/>
  <c r="F97" i="7"/>
  <c r="G97" i="7" l="1"/>
  <c r="E98" i="7"/>
  <c r="H98" i="7" s="1"/>
  <c r="F116" i="6"/>
  <c r="J116" i="6" s="1"/>
  <c r="E116" i="6"/>
  <c r="B116" i="6"/>
  <c r="C115" i="6"/>
  <c r="H115" i="6" s="1"/>
  <c r="J115" i="6"/>
  <c r="D117" i="6"/>
  <c r="E117" i="6" s="1"/>
  <c r="F98" i="7"/>
  <c r="G98" i="7" l="1"/>
  <c r="E99" i="7"/>
  <c r="H99" i="7" s="1"/>
  <c r="C116" i="6"/>
  <c r="B117" i="6"/>
  <c r="D118" i="6"/>
  <c r="F117" i="6"/>
  <c r="F99" i="7"/>
  <c r="G99" i="7" l="1"/>
  <c r="E100" i="7"/>
  <c r="H100" i="7" s="1"/>
  <c r="F118" i="6"/>
  <c r="J118" i="6" s="1"/>
  <c r="E118" i="6"/>
  <c r="B118" i="6"/>
  <c r="C117" i="6"/>
  <c r="H117" i="6" s="1"/>
  <c r="G116" i="6"/>
  <c r="H116" i="6"/>
  <c r="D119" i="6"/>
  <c r="E119" i="6" s="1"/>
  <c r="J117" i="6"/>
  <c r="F100" i="7"/>
  <c r="G100" i="7" l="1"/>
  <c r="E101" i="7"/>
  <c r="H101" i="7" s="1"/>
  <c r="C118" i="6"/>
  <c r="H118" i="6" s="1"/>
  <c r="B119" i="6"/>
  <c r="D120" i="6"/>
  <c r="E120" i="6" s="1"/>
  <c r="F119" i="6"/>
  <c r="F101" i="7"/>
  <c r="G101" i="7" l="1"/>
  <c r="E102" i="7"/>
  <c r="H102" i="7" s="1"/>
  <c r="C119" i="6"/>
  <c r="H119" i="6" s="1"/>
  <c r="B120" i="6"/>
  <c r="D121" i="6"/>
  <c r="F120" i="6"/>
  <c r="J119" i="6"/>
  <c r="F102" i="7"/>
  <c r="G102" i="7" l="1"/>
  <c r="E103" i="7"/>
  <c r="H103" i="7" s="1"/>
  <c r="F121" i="6"/>
  <c r="J121" i="6" s="1"/>
  <c r="E121" i="6"/>
  <c r="B121" i="6"/>
  <c r="C120" i="6"/>
  <c r="H120" i="6" s="1"/>
  <c r="D122" i="6"/>
  <c r="J120" i="6"/>
  <c r="F103" i="7"/>
  <c r="G103" i="7" l="1"/>
  <c r="E104" i="7"/>
  <c r="H104" i="7" s="1"/>
  <c r="F122" i="6"/>
  <c r="J122" i="6" s="1"/>
  <c r="E122" i="6"/>
  <c r="B122" i="6"/>
  <c r="C121" i="6"/>
  <c r="D123" i="6"/>
  <c r="F104" i="7"/>
  <c r="G104" i="7" l="1"/>
  <c r="E105" i="7"/>
  <c r="H105" i="7" s="1"/>
  <c r="F123" i="6"/>
  <c r="J123" i="6" s="1"/>
  <c r="E123" i="6"/>
  <c r="H121" i="6"/>
  <c r="G121" i="6"/>
  <c r="C122" i="6"/>
  <c r="H122" i="6" s="1"/>
  <c r="B123" i="6"/>
  <c r="D124" i="6"/>
  <c r="E124" i="6" s="1"/>
  <c r="F105" i="7"/>
  <c r="G105" i="7" l="1"/>
  <c r="E106" i="7"/>
  <c r="H106" i="7" s="1"/>
  <c r="B124" i="6"/>
  <c r="C123" i="6"/>
  <c r="H123" i="6" s="1"/>
  <c r="D125" i="6"/>
  <c r="F124" i="6"/>
  <c r="F106" i="7"/>
  <c r="G106" i="7" l="1"/>
  <c r="E107" i="7"/>
  <c r="H107" i="7" s="1"/>
  <c r="F125" i="6"/>
  <c r="J125" i="6" s="1"/>
  <c r="E125" i="6"/>
  <c r="B125" i="6"/>
  <c r="C124" i="6"/>
  <c r="H124" i="6" s="1"/>
  <c r="J124" i="6"/>
  <c r="D126" i="6"/>
  <c r="F107" i="7"/>
  <c r="G107" i="7" l="1"/>
  <c r="E108" i="7"/>
  <c r="H108" i="7" s="1"/>
  <c r="F126" i="6"/>
  <c r="J126" i="6" s="1"/>
  <c r="E126" i="6"/>
  <c r="B126" i="6"/>
  <c r="C125" i="6"/>
  <c r="H125" i="6" s="1"/>
  <c r="D127" i="6"/>
  <c r="F108" i="7"/>
  <c r="G108" i="7" l="1"/>
  <c r="E109" i="7"/>
  <c r="H109" i="7" s="1"/>
  <c r="F127" i="6"/>
  <c r="J127" i="6" s="1"/>
  <c r="E127" i="6"/>
  <c r="B127" i="6"/>
  <c r="C126" i="6"/>
  <c r="D128" i="6"/>
  <c r="E128" i="6" s="1"/>
  <c r="F109" i="7"/>
  <c r="G109" i="7" l="1"/>
  <c r="E110" i="7"/>
  <c r="H110" i="7" s="1"/>
  <c r="G126" i="6"/>
  <c r="H126" i="6"/>
  <c r="B128" i="6"/>
  <c r="C127" i="6"/>
  <c r="H127" i="6" s="1"/>
  <c r="D129" i="6"/>
  <c r="E129" i="6" s="1"/>
  <c r="F128" i="6"/>
  <c r="F110" i="7"/>
  <c r="G110" i="7" l="1"/>
  <c r="E111" i="7"/>
  <c r="H111" i="7" s="1"/>
  <c r="B129" i="6"/>
  <c r="C128" i="6"/>
  <c r="H128" i="6" s="1"/>
  <c r="D130" i="6"/>
  <c r="F129" i="6"/>
  <c r="J128" i="6"/>
  <c r="F111" i="7"/>
  <c r="G111" i="7" l="1"/>
  <c r="E112" i="7"/>
  <c r="H112" i="7" s="1"/>
  <c r="F130" i="6"/>
  <c r="J130" i="6" s="1"/>
  <c r="E130" i="6"/>
  <c r="C129" i="6"/>
  <c r="H129" i="6" s="1"/>
  <c r="B130" i="6"/>
  <c r="D131" i="6"/>
  <c r="J129" i="6"/>
  <c r="F112" i="7"/>
  <c r="G112" i="7" l="1"/>
  <c r="E113" i="7"/>
  <c r="H113" i="7" s="1"/>
  <c r="F131" i="6"/>
  <c r="J131" i="6" s="1"/>
  <c r="E131" i="6"/>
  <c r="B131" i="6"/>
  <c r="C131" i="6" s="1"/>
  <c r="C130" i="6"/>
  <c r="H130" i="6" s="1"/>
  <c r="G23" i="6"/>
  <c r="I23" i="6" s="1"/>
  <c r="F113" i="7"/>
  <c r="G113" i="7" l="1"/>
  <c r="E114" i="7"/>
  <c r="H114" i="7" s="1"/>
  <c r="H131" i="6"/>
  <c r="J16" i="6" s="1"/>
  <c r="G131" i="6"/>
  <c r="I16" i="6" s="1"/>
  <c r="F114" i="7"/>
  <c r="G114" i="7" l="1"/>
  <c r="E115" i="7"/>
  <c r="H115" i="7" s="1"/>
  <c r="K16" i="6"/>
  <c r="N16" i="6"/>
  <c r="F23" i="6"/>
  <c r="F115" i="7"/>
  <c r="G115" i="7" l="1"/>
  <c r="E116" i="7"/>
  <c r="H116" i="7" s="1"/>
  <c r="F116" i="7"/>
  <c r="G116" i="7" l="1"/>
  <c r="E117" i="7"/>
  <c r="H117" i="7" s="1"/>
  <c r="F117" i="7"/>
  <c r="G117" i="7" l="1"/>
  <c r="E118" i="7"/>
  <c r="H118" i="7" s="1"/>
  <c r="F118" i="7"/>
  <c r="G118" i="7" l="1"/>
  <c r="E119" i="7"/>
  <c r="H119" i="7" s="1"/>
  <c r="F119" i="7"/>
  <c r="G119" i="7" l="1"/>
  <c r="E120" i="7"/>
  <c r="H120" i="7" s="1"/>
  <c r="F120" i="7"/>
  <c r="G120" i="7" l="1"/>
  <c r="E121" i="7"/>
  <c r="H121" i="7" s="1"/>
  <c r="F121" i="7"/>
  <c r="G121" i="7" l="1"/>
  <c r="E122" i="7"/>
  <c r="H122" i="7" s="1"/>
  <c r="F122" i="7"/>
  <c r="G122" i="7" l="1"/>
  <c r="E123" i="7"/>
  <c r="H123" i="7" s="1"/>
  <c r="F123" i="7"/>
  <c r="G123" i="7" l="1"/>
  <c r="E124" i="7"/>
  <c r="H124" i="7" s="1"/>
  <c r="F124" i="7"/>
  <c r="G124" i="7" l="1"/>
  <c r="E125" i="7"/>
  <c r="H125" i="7" s="1"/>
  <c r="F125" i="7"/>
  <c r="G125" i="7" l="1"/>
  <c r="E126" i="7"/>
  <c r="H126" i="7" s="1"/>
  <c r="F126" i="7"/>
  <c r="G126" i="7" l="1"/>
  <c r="E127" i="7"/>
  <c r="H127" i="7" s="1"/>
  <c r="F127" i="7"/>
  <c r="G127" i="7" l="1"/>
  <c r="E128" i="7"/>
  <c r="H128" i="7" s="1"/>
  <c r="F128" i="7"/>
  <c r="G128" i="7" l="1"/>
  <c r="E129" i="7"/>
  <c r="H129" i="7" s="1"/>
  <c r="F129" i="7"/>
  <c r="G129" i="7" l="1"/>
  <c r="E130" i="7"/>
  <c r="H130" i="7" s="1"/>
  <c r="F130" i="7"/>
  <c r="G130" i="7" l="1"/>
  <c r="E131" i="7"/>
  <c r="H131" i="7" s="1"/>
  <c r="F131" i="7"/>
  <c r="G131" i="7" l="1"/>
  <c r="E132" i="7"/>
  <c r="H132" i="7" s="1"/>
  <c r="F132" i="7"/>
  <c r="G132" i="7" l="1"/>
  <c r="E133" i="7"/>
  <c r="H133" i="7" s="1"/>
  <c r="F133" i="7"/>
  <c r="G133" i="7" l="1"/>
  <c r="E134" i="7"/>
  <c r="H134" i="7" s="1"/>
  <c r="F134" i="7"/>
  <c r="G134" i="7" l="1"/>
  <c r="E135" i="7"/>
  <c r="H135" i="7" s="1"/>
  <c r="F135" i="7"/>
  <c r="G135" i="7" l="1"/>
  <c r="E136" i="7"/>
  <c r="H136" i="7" s="1"/>
  <c r="F136" i="7"/>
  <c r="G136" i="7" l="1"/>
  <c r="E137" i="7"/>
  <c r="H137" i="7" s="1"/>
  <c r="F137" i="7"/>
  <c r="G137" i="7" l="1"/>
  <c r="E138" i="7"/>
  <c r="H138" i="7" s="1"/>
  <c r="F138" i="7"/>
  <c r="G138" i="7" l="1"/>
  <c r="E139" i="7"/>
  <c r="H139" i="7" s="1"/>
  <c r="F139" i="7"/>
  <c r="G139" i="7" l="1"/>
  <c r="E140" i="7"/>
  <c r="H140" i="7" s="1"/>
  <c r="F140" i="7"/>
  <c r="G140" i="7" l="1"/>
  <c r="E141" i="7"/>
  <c r="H141" i="7" s="1"/>
  <c r="F141" i="7"/>
  <c r="G141" i="7" l="1"/>
  <c r="E142" i="7"/>
  <c r="H142" i="7" s="1"/>
  <c r="F142" i="7"/>
  <c r="G142" i="7" l="1"/>
  <c r="E143" i="7"/>
  <c r="H143" i="7" s="1"/>
  <c r="F143" i="7"/>
  <c r="G143" i="7" l="1"/>
  <c r="E144" i="7"/>
  <c r="H144" i="7" s="1"/>
  <c r="F144" i="7"/>
  <c r="G144" i="7" l="1"/>
  <c r="E145" i="7"/>
  <c r="H145" i="7" s="1"/>
  <c r="F145" i="7"/>
  <c r="G145" i="7" l="1"/>
  <c r="E146" i="7"/>
  <c r="H146" i="7" s="1"/>
  <c r="F146" i="7"/>
  <c r="G146" i="7" l="1"/>
  <c r="E147" i="7"/>
  <c r="H147" i="7" s="1"/>
  <c r="F147" i="7"/>
  <c r="G147" i="7" l="1"/>
  <c r="E148" i="7"/>
  <c r="H148" i="7" s="1"/>
  <c r="F148" i="7"/>
  <c r="G148" i="7" l="1"/>
  <c r="E149" i="7"/>
  <c r="H149" i="7" s="1"/>
  <c r="F149" i="7"/>
  <c r="G149" i="7" l="1"/>
  <c r="E150" i="7"/>
  <c r="H150" i="7" s="1"/>
  <c r="F150" i="7"/>
  <c r="G150" i="7" l="1"/>
  <c r="E151" i="7"/>
  <c r="H151" i="7" s="1"/>
  <c r="F151" i="7"/>
  <c r="G151" i="7" l="1"/>
  <c r="E152" i="7"/>
  <c r="H152" i="7" s="1"/>
  <c r="F152" i="7"/>
  <c r="G152" i="7" l="1"/>
  <c r="E153" i="7"/>
  <c r="H153" i="7" s="1"/>
  <c r="F153" i="7"/>
  <c r="G153" i="7" l="1"/>
  <c r="E154" i="7"/>
  <c r="H154" i="7" s="1"/>
  <c r="F154" i="7"/>
  <c r="G154" i="7" l="1"/>
  <c r="E155" i="7"/>
  <c r="H155" i="7" s="1"/>
  <c r="F155" i="7"/>
  <c r="G155" i="7" l="1"/>
  <c r="E156" i="7"/>
  <c r="H156" i="7" s="1"/>
  <c r="F156" i="7"/>
  <c r="G156" i="7" l="1"/>
  <c r="E157" i="7"/>
  <c r="H157" i="7" s="1"/>
  <c r="F157" i="7"/>
  <c r="G157" i="7" l="1"/>
  <c r="E158" i="7"/>
  <c r="H158" i="7" s="1"/>
  <c r="F158" i="7"/>
  <c r="G158" i="7" l="1"/>
  <c r="E159" i="7"/>
  <c r="H159" i="7" s="1"/>
  <c r="F159" i="7"/>
  <c r="G159" i="7" l="1"/>
  <c r="E160" i="7"/>
  <c r="H160" i="7" s="1"/>
  <c r="F160" i="7"/>
  <c r="G160" i="7" l="1"/>
  <c r="E161" i="7"/>
  <c r="H161" i="7" s="1"/>
  <c r="F161" i="7"/>
  <c r="G161" i="7" l="1"/>
  <c r="E162" i="7"/>
  <c r="H162" i="7" s="1"/>
  <c r="F162" i="7"/>
  <c r="G162" i="7" l="1"/>
  <c r="E163" i="7"/>
  <c r="H163" i="7" s="1"/>
  <c r="F163" i="7"/>
  <c r="G163" i="7" l="1"/>
  <c r="E164" i="7"/>
  <c r="H164" i="7" s="1"/>
  <c r="F164" i="7"/>
  <c r="G164" i="7" l="1"/>
  <c r="E165" i="7"/>
  <c r="H165" i="7" s="1"/>
  <c r="F165" i="7"/>
  <c r="G165" i="7" l="1"/>
  <c r="E166" i="7"/>
  <c r="H166" i="7" s="1"/>
  <c r="F166" i="7"/>
  <c r="G166" i="7" l="1"/>
  <c r="E167" i="7"/>
  <c r="H167" i="7" s="1"/>
  <c r="F167" i="7"/>
  <c r="G167" i="7" l="1"/>
  <c r="E168" i="7"/>
  <c r="H168" i="7" s="1"/>
  <c r="F168" i="7"/>
  <c r="G168" i="7" l="1"/>
  <c r="E169" i="7"/>
  <c r="H169" i="7" s="1"/>
  <c r="F169" i="7"/>
  <c r="G169" i="7" l="1"/>
  <c r="E170" i="7"/>
  <c r="H170" i="7" s="1"/>
  <c r="F170" i="7"/>
  <c r="G170" i="7" l="1"/>
  <c r="E171" i="7"/>
  <c r="H171" i="7" s="1"/>
  <c r="F171" i="7"/>
  <c r="G171" i="7" l="1"/>
  <c r="E172" i="7"/>
  <c r="H172" i="7" s="1"/>
  <c r="F172" i="7"/>
  <c r="G172" i="7" l="1"/>
  <c r="E173" i="7"/>
  <c r="H173" i="7" s="1"/>
  <c r="F173" i="7"/>
  <c r="G173" i="7" l="1"/>
  <c r="E174" i="7"/>
  <c r="H174" i="7" s="1"/>
  <c r="F174" i="7"/>
  <c r="G174" i="7" l="1"/>
  <c r="E175" i="7"/>
  <c r="H175" i="7" s="1"/>
  <c r="F175" i="7"/>
  <c r="G175" i="7" l="1"/>
  <c r="E176" i="7"/>
  <c r="H176" i="7" s="1"/>
  <c r="F176" i="7"/>
  <c r="G176" i="7" l="1"/>
  <c r="E177" i="7"/>
  <c r="H177" i="7" s="1"/>
  <c r="F177" i="7"/>
  <c r="G177" i="7" l="1"/>
  <c r="E178" i="7"/>
  <c r="H178" i="7" s="1"/>
  <c r="F178" i="7"/>
  <c r="G178" i="7" l="1"/>
  <c r="E179" i="7"/>
  <c r="H179" i="7" s="1"/>
  <c r="F179" i="7"/>
  <c r="G179" i="7" l="1"/>
  <c r="E180" i="7"/>
  <c r="H180" i="7" s="1"/>
  <c r="F180" i="7"/>
  <c r="G180" i="7" l="1"/>
  <c r="E181" i="7"/>
  <c r="H181" i="7" s="1"/>
  <c r="F181" i="7"/>
  <c r="G181" i="7" l="1"/>
  <c r="E182" i="7"/>
  <c r="H182" i="7" s="1"/>
  <c r="F182" i="7"/>
  <c r="G182" i="7" l="1"/>
  <c r="E183" i="7"/>
  <c r="H183" i="7" s="1"/>
  <c r="F183" i="7"/>
  <c r="G183" i="7" l="1"/>
  <c r="E184" i="7"/>
  <c r="H184" i="7" s="1"/>
  <c r="F184" i="7"/>
  <c r="G184" i="7" l="1"/>
  <c r="E185" i="7"/>
  <c r="H185" i="7" s="1"/>
  <c r="F185" i="7"/>
  <c r="G185" i="7" l="1"/>
  <c r="E186" i="7"/>
  <c r="H186" i="7" s="1"/>
  <c r="F186" i="7"/>
  <c r="G186" i="7" l="1"/>
  <c r="E187" i="7"/>
  <c r="H187" i="7" s="1"/>
  <c r="F187" i="7"/>
  <c r="G187" i="7" l="1"/>
  <c r="E188" i="7"/>
  <c r="H188" i="7" s="1"/>
  <c r="F188" i="7"/>
  <c r="G188" i="7" l="1"/>
  <c r="E189" i="7"/>
  <c r="H189" i="7" s="1"/>
  <c r="F189" i="7"/>
  <c r="G189" i="7" l="1"/>
  <c r="E190" i="7"/>
  <c r="H190" i="7" s="1"/>
  <c r="F190" i="7"/>
  <c r="G190" i="7" l="1"/>
  <c r="E191" i="7"/>
  <c r="H191" i="7" s="1"/>
  <c r="F191" i="7"/>
  <c r="G191" i="7" l="1"/>
  <c r="E192" i="7"/>
  <c r="H192" i="7" s="1"/>
  <c r="F192" i="7"/>
  <c r="G192" i="7" l="1"/>
  <c r="E193" i="7"/>
  <c r="H193" i="7" s="1"/>
  <c r="F193" i="7"/>
  <c r="G193" i="7" l="1"/>
  <c r="E194" i="7"/>
  <c r="H194" i="7" s="1"/>
  <c r="F194" i="7"/>
  <c r="G194" i="7" l="1"/>
  <c r="E195" i="7"/>
  <c r="H195" i="7" s="1"/>
  <c r="F195" i="7"/>
  <c r="G195" i="7" l="1"/>
  <c r="E196" i="7"/>
  <c r="H196" i="7" s="1"/>
  <c r="F196" i="7"/>
  <c r="G196" i="7" l="1"/>
  <c r="E197" i="7"/>
  <c r="H197" i="7" s="1"/>
  <c r="F197" i="7"/>
  <c r="G197" i="7" l="1"/>
  <c r="E198" i="7"/>
  <c r="H198" i="7" s="1"/>
  <c r="F198" i="7"/>
  <c r="G198" i="7" l="1"/>
  <c r="E199" i="7"/>
  <c r="H199" i="7" s="1"/>
  <c r="F199" i="7"/>
  <c r="G199" i="7" l="1"/>
  <c r="E200" i="7"/>
  <c r="H200" i="7" s="1"/>
  <c r="F200" i="7"/>
  <c r="G200" i="7" l="1"/>
  <c r="E201" i="7"/>
  <c r="H201" i="7" s="1"/>
  <c r="F201" i="7"/>
  <c r="G201" i="7" l="1"/>
  <c r="E202" i="7"/>
  <c r="H202" i="7" s="1"/>
  <c r="F202" i="7"/>
  <c r="G202" i="7" l="1"/>
  <c r="E203" i="7"/>
  <c r="H203" i="7" s="1"/>
  <c r="F203" i="7"/>
  <c r="G203" i="7" l="1"/>
  <c r="E204" i="7"/>
  <c r="H204" i="7" s="1"/>
  <c r="F204" i="7"/>
  <c r="G204" i="7" l="1"/>
  <c r="E205" i="7"/>
  <c r="H205" i="7" s="1"/>
  <c r="F205" i="7"/>
  <c r="G205" i="7" l="1"/>
  <c r="E206" i="7"/>
  <c r="H206" i="7" s="1"/>
  <c r="F206" i="7"/>
  <c r="G206" i="7" l="1"/>
  <c r="E207" i="7"/>
  <c r="H207" i="7" s="1"/>
  <c r="F207" i="7"/>
  <c r="G207" i="7" l="1"/>
  <c r="E208" i="7"/>
  <c r="H208" i="7" s="1"/>
  <c r="F208" i="7"/>
  <c r="G208" i="7" l="1"/>
  <c r="E209" i="7"/>
  <c r="H209" i="7" s="1"/>
  <c r="F209" i="7"/>
  <c r="G209" i="7" l="1"/>
  <c r="E210" i="7"/>
  <c r="H210" i="7" s="1"/>
  <c r="F210" i="7"/>
  <c r="G210" i="7" l="1"/>
  <c r="E211" i="7"/>
  <c r="H211" i="7" s="1"/>
  <c r="F211" i="7"/>
  <c r="G211" i="7" l="1"/>
  <c r="E212" i="7"/>
  <c r="H212" i="7" s="1"/>
  <c r="F212" i="7"/>
  <c r="G212" i="7" l="1"/>
  <c r="E213" i="7"/>
  <c r="H213" i="7" s="1"/>
  <c r="F213" i="7"/>
  <c r="G213" i="7" l="1"/>
</calcChain>
</file>

<file path=xl/sharedStrings.xml><?xml version="1.0" encoding="utf-8"?>
<sst xmlns="http://schemas.openxmlformats.org/spreadsheetml/2006/main" count="45" uniqueCount="40">
  <si>
    <t>Market Premium</t>
  </si>
  <si>
    <t>Price CDS</t>
  </si>
  <si>
    <t>Inputs</t>
  </si>
  <si>
    <t>Running</t>
  </si>
  <si>
    <t>Up-front</t>
  </si>
  <si>
    <t>Hazard Rate</t>
  </si>
  <si>
    <t>Risky Annuity</t>
  </si>
  <si>
    <t>Default Leg</t>
  </si>
  <si>
    <t>MTM</t>
  </si>
  <si>
    <t>Premium</t>
  </si>
  <si>
    <t>Interest Rate</t>
  </si>
  <si>
    <t>1Y CDS</t>
  </si>
  <si>
    <t>Recovery</t>
  </si>
  <si>
    <t>2Y CDS</t>
  </si>
  <si>
    <t>3Y CDS</t>
  </si>
  <si>
    <t>4Y CDS</t>
  </si>
  <si>
    <t>5Y CDS</t>
  </si>
  <si>
    <t>Fair Prem</t>
  </si>
  <si>
    <t>Def prob</t>
  </si>
  <si>
    <t>1Y</t>
  </si>
  <si>
    <t>2Y</t>
  </si>
  <si>
    <t>3Y</t>
  </si>
  <si>
    <t>4Y</t>
  </si>
  <si>
    <t>5Y</t>
  </si>
  <si>
    <t>Disc Factor</t>
  </si>
  <si>
    <t>Premiums</t>
  </si>
  <si>
    <t>Defaults</t>
  </si>
  <si>
    <t>Accr</t>
  </si>
  <si>
    <t>Cumulative Default Probability</t>
  </si>
  <si>
    <t>Marginal Def Probability</t>
  </si>
  <si>
    <t>Cumulative Survival Probability</t>
  </si>
  <si>
    <t>Credit Curve</t>
  </si>
  <si>
    <t>7Y</t>
  </si>
  <si>
    <t>10Y</t>
  </si>
  <si>
    <t>Credit spread</t>
  </si>
  <si>
    <t>Default probability</t>
  </si>
  <si>
    <t>Flat curve</t>
  </si>
  <si>
    <t>Actual</t>
  </si>
  <si>
    <t>PD (approx)</t>
  </si>
  <si>
    <t>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</si>
</sst>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0000"/>
    <numFmt numFmtId="171" formatCode="0.0000"/>
    <numFmt numFmtId="172" formatCode="0.000%"/>
    <numFmt numFmtId="173" formatCode="0.000"/>
    <numFmt numFmtId="174" formatCode="0.000000"/>
    <numFmt numFmtId="175" formatCode="_-* #,##0_-;\-* #,##0_-;_-* &quot;-&quot;??_-;_-@_-"/>
  </numFmts>
  <fonts count="32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b/>
      <i/>
      <sz val="11"/>
      <color indexed="8"/>
      <name val="Calibri"/>
      <family val="2"/>
    </font>
    <font>
      <sz val="10"/>
      <color rgb="FF000000"/>
      <name val="Arial"/>
      <family val="2"/>
    </font>
    <font>
      <sz val="11"/>
      <color rgb="FF00B050"/>
      <name val="Calibri"/>
      <family val="2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</font>
    <font>
      <b/>
      <sz val="10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0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43" fontId="1" fillId="0" borderId="0" applyFont="0" applyFill="0" applyBorder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2" fillId="0" borderId="0"/>
    <xf numFmtId="0" fontId="1" fillId="0" borderId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</cellStyleXfs>
  <cellXfs count="124">
    <xf numFmtId="0" fontId="0" fillId="0" borderId="0" xfId="0"/>
    <xf numFmtId="0" fontId="1" fillId="27" borderId="0" xfId="47" applyFill="1"/>
    <xf numFmtId="0" fontId="0" fillId="0" borderId="0" xfId="0" applyBorder="1"/>
    <xf numFmtId="2" fontId="0" fillId="0" borderId="0" xfId="0" applyNumberFormat="1" applyBorder="1"/>
    <xf numFmtId="172" fontId="25" fillId="0" borderId="0" xfId="51" applyNumberFormat="1" applyFont="1" applyBorder="1"/>
    <xf numFmtId="172" fontId="1" fillId="0" borderId="0" xfId="51" applyNumberFormat="1" applyBorder="1" applyProtection="1">
      <protection locked="0"/>
    </xf>
    <xf numFmtId="0" fontId="0" fillId="0" borderId="0" xfId="0" applyProtection="1"/>
    <xf numFmtId="0" fontId="1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1" fillId="0" borderId="0" xfId="0" applyFont="1" applyFill="1" applyBorder="1" applyProtection="1"/>
    <xf numFmtId="2" fontId="1" fillId="0" borderId="0" xfId="0" applyNumberFormat="1" applyFont="1" applyBorder="1" applyProtection="1"/>
    <xf numFmtId="172" fontId="25" fillId="0" borderId="0" xfId="51" applyNumberFormat="1" applyFont="1" applyBorder="1" applyProtection="1"/>
    <xf numFmtId="10" fontId="1" fillId="0" borderId="0" xfId="51" applyNumberFormat="1" applyFont="1" applyBorder="1" applyProtection="1"/>
    <xf numFmtId="10" fontId="1" fillId="0" borderId="0" xfId="48" applyNumberFormat="1" applyFont="1" applyBorder="1" applyProtection="1"/>
    <xf numFmtId="1" fontId="1" fillId="0" borderId="0" xfId="51" applyNumberFormat="1" applyFont="1" applyBorder="1" applyProtection="1"/>
    <xf numFmtId="172" fontId="1" fillId="0" borderId="0" xfId="51" applyNumberFormat="1" applyFont="1" applyBorder="1" applyProtection="1"/>
    <xf numFmtId="2" fontId="0" fillId="0" borderId="0" xfId="0" applyNumberFormat="1" applyBorder="1" applyProtection="1"/>
    <xf numFmtId="10" fontId="0" fillId="0" borderId="0" xfId="51" applyNumberFormat="1" applyFont="1" applyBorder="1" applyProtection="1"/>
    <xf numFmtId="172" fontId="0" fillId="0" borderId="0" xfId="51" applyNumberFormat="1" applyFont="1" applyBorder="1" applyProtection="1"/>
    <xf numFmtId="172" fontId="1" fillId="0" borderId="0" xfId="51" applyNumberFormat="1" applyBorder="1" applyProtection="1"/>
    <xf numFmtId="10" fontId="1" fillId="0" borderId="0" xfId="51" applyNumberFormat="1" applyBorder="1" applyProtection="1"/>
    <xf numFmtId="0" fontId="1" fillId="0" borderId="0" xfId="48" applyFont="1" applyBorder="1" applyAlignment="1" applyProtection="1">
      <alignment vertical="top" wrapText="1"/>
    </xf>
    <xf numFmtId="0" fontId="1" fillId="0" borderId="0" xfId="48" applyFont="1" applyBorder="1" applyProtection="1"/>
    <xf numFmtId="10" fontId="1" fillId="0" borderId="0" xfId="51" applyNumberFormat="1" applyFont="1" applyBorder="1" applyAlignment="1" applyProtection="1">
      <alignment vertical="top" wrapText="1"/>
    </xf>
    <xf numFmtId="0" fontId="2" fillId="0" borderId="0" xfId="46" applyProtection="1"/>
    <xf numFmtId="0" fontId="2" fillId="0" borderId="22" xfId="46" applyBorder="1" applyProtection="1"/>
    <xf numFmtId="0" fontId="2" fillId="0" borderId="23" xfId="46" applyFont="1" applyBorder="1" applyProtection="1"/>
    <xf numFmtId="0" fontId="2" fillId="0" borderId="24" xfId="46" applyFont="1" applyBorder="1" applyProtection="1"/>
    <xf numFmtId="0" fontId="2" fillId="0" borderId="25" xfId="46" applyBorder="1" applyAlignment="1" applyProtection="1">
      <alignment horizontal="right"/>
    </xf>
    <xf numFmtId="0" fontId="2" fillId="0" borderId="16" xfId="46" applyFont="1" applyBorder="1" applyProtection="1"/>
    <xf numFmtId="0" fontId="2" fillId="0" borderId="15" xfId="46" applyBorder="1" applyAlignment="1" applyProtection="1">
      <alignment horizontal="right"/>
    </xf>
    <xf numFmtId="0" fontId="2" fillId="0" borderId="14" xfId="46" applyFont="1" applyBorder="1" applyAlignment="1" applyProtection="1">
      <alignment horizontal="right"/>
    </xf>
    <xf numFmtId="0" fontId="2" fillId="0" borderId="22" xfId="46" applyFont="1" applyBorder="1" applyProtection="1"/>
    <xf numFmtId="0" fontId="2" fillId="0" borderId="26" xfId="46" applyBorder="1" applyProtection="1"/>
    <xf numFmtId="0" fontId="2" fillId="0" borderId="28" xfId="46" applyBorder="1" applyProtection="1"/>
    <xf numFmtId="0" fontId="23" fillId="0" borderId="28" xfId="46" applyFont="1" applyBorder="1" applyProtection="1">
      <protection locked="0"/>
    </xf>
    <xf numFmtId="10" fontId="2" fillId="0" borderId="30" xfId="51" applyNumberFormat="1" applyFont="1" applyBorder="1" applyProtection="1"/>
    <xf numFmtId="0" fontId="2" fillId="0" borderId="32" xfId="46" applyFont="1" applyBorder="1" applyProtection="1"/>
    <xf numFmtId="0" fontId="2" fillId="0" borderId="32" xfId="46" applyBorder="1" applyProtection="1"/>
    <xf numFmtId="0" fontId="23" fillId="0" borderId="32" xfId="46" applyFont="1" applyBorder="1" applyProtection="1">
      <protection locked="0"/>
    </xf>
    <xf numFmtId="10" fontId="2" fillId="0" borderId="34" xfId="51" applyNumberFormat="1" applyFont="1" applyBorder="1" applyProtection="1"/>
    <xf numFmtId="10" fontId="2" fillId="0" borderId="0" xfId="46" applyNumberFormat="1" applyProtection="1"/>
    <xf numFmtId="11" fontId="2" fillId="0" borderId="0" xfId="46" applyNumberFormat="1" applyFill="1" applyBorder="1" applyProtection="1"/>
    <xf numFmtId="0" fontId="2" fillId="0" borderId="36" xfId="46" applyFont="1" applyBorder="1" applyProtection="1"/>
    <xf numFmtId="0" fontId="2" fillId="0" borderId="37" xfId="46" applyFont="1" applyBorder="1" applyProtection="1"/>
    <xf numFmtId="0" fontId="2" fillId="0" borderId="0" xfId="46" applyFill="1" applyBorder="1" applyProtection="1"/>
    <xf numFmtId="0" fontId="2" fillId="0" borderId="26" xfId="46" applyFont="1" applyBorder="1" applyProtection="1"/>
    <xf numFmtId="0" fontId="2" fillId="0" borderId="28" xfId="46" applyFont="1" applyBorder="1" applyProtection="1"/>
    <xf numFmtId="0" fontId="2" fillId="0" borderId="15" xfId="46" applyFont="1" applyBorder="1" applyProtection="1"/>
    <xf numFmtId="0" fontId="2" fillId="0" borderId="16" xfId="46" applyBorder="1" applyProtection="1"/>
    <xf numFmtId="0" fontId="2" fillId="0" borderId="15" xfId="46" applyBorder="1" applyProtection="1"/>
    <xf numFmtId="0" fontId="2" fillId="0" borderId="14" xfId="46" applyBorder="1" applyProtection="1"/>
    <xf numFmtId="2" fontId="2" fillId="0" borderId="26" xfId="46" applyNumberFormat="1" applyBorder="1" applyProtection="1"/>
    <xf numFmtId="173" fontId="2" fillId="0" borderId="36" xfId="46" applyNumberFormat="1" applyBorder="1" applyProtection="1"/>
    <xf numFmtId="173" fontId="2" fillId="0" borderId="40" xfId="46" applyNumberFormat="1" applyBorder="1" applyProtection="1"/>
    <xf numFmtId="0" fontId="2" fillId="0" borderId="36" xfId="46" applyBorder="1" applyProtection="1"/>
    <xf numFmtId="0" fontId="2" fillId="0" borderId="40" xfId="46" applyBorder="1" applyProtection="1"/>
    <xf numFmtId="0" fontId="2" fillId="0" borderId="37" xfId="46" applyBorder="1" applyProtection="1"/>
    <xf numFmtId="2" fontId="2" fillId="0" borderId="28" xfId="46" applyNumberFormat="1" applyBorder="1" applyProtection="1"/>
    <xf numFmtId="173" fontId="2" fillId="0" borderId="17" xfId="46" applyNumberFormat="1" applyBorder="1" applyProtection="1"/>
    <xf numFmtId="173" fontId="2" fillId="0" borderId="0" xfId="46" applyNumberFormat="1" applyBorder="1" applyProtection="1"/>
    <xf numFmtId="170" fontId="2" fillId="0" borderId="17" xfId="46" applyNumberFormat="1" applyBorder="1" applyProtection="1"/>
    <xf numFmtId="174" fontId="2" fillId="0" borderId="17" xfId="46" applyNumberFormat="1" applyBorder="1" applyProtection="1"/>
    <xf numFmtId="174" fontId="2" fillId="0" borderId="18" xfId="46" applyNumberFormat="1" applyBorder="1" applyProtection="1"/>
    <xf numFmtId="2" fontId="2" fillId="0" borderId="32" xfId="46" applyNumberFormat="1" applyBorder="1" applyProtection="1"/>
    <xf numFmtId="173" fontId="2" fillId="0" borderId="19" xfId="46" applyNumberFormat="1" applyBorder="1" applyProtection="1"/>
    <xf numFmtId="173" fontId="2" fillId="0" borderId="20" xfId="46" applyNumberFormat="1" applyBorder="1" applyProtection="1"/>
    <xf numFmtId="170" fontId="2" fillId="0" borderId="19" xfId="46" applyNumberFormat="1" applyBorder="1" applyProtection="1"/>
    <xf numFmtId="174" fontId="2" fillId="0" borderId="19" xfId="46" applyNumberFormat="1" applyBorder="1" applyProtection="1"/>
    <xf numFmtId="174" fontId="2" fillId="0" borderId="21" xfId="46" applyNumberFormat="1" applyBorder="1" applyProtection="1"/>
    <xf numFmtId="10" fontId="0" fillId="0" borderId="0" xfId="51" applyNumberFormat="1" applyFont="1" applyBorder="1" applyAlignment="1" applyProtection="1">
      <alignment vertical="top" wrapText="1"/>
    </xf>
    <xf numFmtId="10" fontId="25" fillId="0" borderId="0" xfId="51" applyNumberFormat="1" applyFont="1" applyBorder="1" applyAlignment="1" applyProtection="1">
      <alignment vertical="top" wrapText="1"/>
      <protection locked="0"/>
    </xf>
    <xf numFmtId="2" fontId="1" fillId="0" borderId="0" xfId="48" applyNumberFormat="1" applyFont="1" applyBorder="1" applyAlignment="1" applyProtection="1">
      <alignment vertical="top" wrapText="1"/>
    </xf>
    <xf numFmtId="2" fontId="1" fillId="0" borderId="28" xfId="48" applyNumberFormat="1" applyFont="1" applyBorder="1" applyAlignment="1" applyProtection="1">
      <alignment vertical="top" wrapText="1"/>
    </xf>
    <xf numFmtId="2" fontId="1" fillId="0" borderId="32" xfId="48" applyNumberFormat="1" applyFont="1" applyBorder="1" applyAlignment="1" applyProtection="1">
      <alignment vertical="top" wrapText="1"/>
    </xf>
    <xf numFmtId="0" fontId="0" fillId="0" borderId="22" xfId="0" applyBorder="1" applyProtection="1"/>
    <xf numFmtId="0" fontId="1" fillId="0" borderId="14" xfId="0" applyFont="1" applyBorder="1" applyProtection="1"/>
    <xf numFmtId="0" fontId="1" fillId="0" borderId="15" xfId="0" applyFont="1" applyBorder="1" applyProtection="1"/>
    <xf numFmtId="175" fontId="1" fillId="0" borderId="0" xfId="28" applyNumberFormat="1" applyFont="1" applyBorder="1" applyAlignment="1" applyProtection="1">
      <alignment vertical="top" wrapText="1"/>
    </xf>
    <xf numFmtId="9" fontId="28" fillId="0" borderId="27" xfId="46" applyNumberFormat="1" applyFont="1" applyBorder="1" applyProtection="1">
      <protection locked="0"/>
    </xf>
    <xf numFmtId="9" fontId="28" fillId="0" borderId="34" xfId="46" applyNumberFormat="1" applyFont="1" applyBorder="1" applyProtection="1">
      <protection locked="0"/>
    </xf>
    <xf numFmtId="1" fontId="28" fillId="0" borderId="29" xfId="46" applyNumberFormat="1" applyFont="1" applyBorder="1" applyProtection="1">
      <protection locked="0"/>
    </xf>
    <xf numFmtId="9" fontId="28" fillId="0" borderId="30" xfId="51" applyFont="1" applyBorder="1" applyProtection="1">
      <protection locked="0"/>
    </xf>
    <xf numFmtId="1" fontId="28" fillId="0" borderId="33" xfId="46" applyNumberFormat="1" applyFont="1" applyBorder="1" applyProtection="1">
      <protection locked="0"/>
    </xf>
    <xf numFmtId="9" fontId="28" fillId="0" borderId="34" xfId="51" applyFont="1" applyBorder="1" applyProtection="1">
      <protection locked="0"/>
    </xf>
    <xf numFmtId="9" fontId="29" fillId="0" borderId="27" xfId="51" applyFont="1" applyBorder="1" applyProtection="1">
      <protection locked="0"/>
    </xf>
    <xf numFmtId="1" fontId="29" fillId="0" borderId="27" xfId="46" applyNumberFormat="1" applyFont="1" applyBorder="1" applyProtection="1">
      <protection locked="0"/>
    </xf>
    <xf numFmtId="1" fontId="29" fillId="0" borderId="30" xfId="46" applyNumberFormat="1" applyFont="1" applyBorder="1" applyProtection="1">
      <protection locked="0"/>
    </xf>
    <xf numFmtId="1" fontId="29" fillId="0" borderId="34" xfId="46" applyNumberFormat="1" applyFont="1" applyBorder="1" applyProtection="1">
      <protection locked="0"/>
    </xf>
    <xf numFmtId="172" fontId="30" fillId="0" borderId="31" xfId="46" applyNumberFormat="1" applyFont="1" applyBorder="1" applyProtection="1">
      <protection locked="0"/>
    </xf>
    <xf numFmtId="171" fontId="30" fillId="0" borderId="0" xfId="46" applyNumberFormat="1" applyFont="1" applyBorder="1" applyProtection="1"/>
    <xf numFmtId="171" fontId="30" fillId="0" borderId="17" xfId="46" applyNumberFormat="1" applyFont="1" applyBorder="1" applyProtection="1"/>
    <xf numFmtId="10" fontId="30" fillId="0" borderId="18" xfId="51" applyNumberFormat="1" applyFont="1" applyBorder="1" applyProtection="1"/>
    <xf numFmtId="172" fontId="30" fillId="0" borderId="35" xfId="46" applyNumberFormat="1" applyFont="1" applyBorder="1" applyProtection="1">
      <protection locked="0"/>
    </xf>
    <xf numFmtId="171" fontId="30" fillId="0" borderId="20" xfId="46" applyNumberFormat="1" applyFont="1" applyBorder="1" applyProtection="1"/>
    <xf numFmtId="171" fontId="30" fillId="0" borderId="19" xfId="46" applyNumberFormat="1" applyFont="1" applyBorder="1" applyProtection="1"/>
    <xf numFmtId="10" fontId="30" fillId="0" borderId="21" xfId="51" applyNumberFormat="1" applyFont="1" applyBorder="1" applyProtection="1"/>
    <xf numFmtId="2" fontId="30" fillId="0" borderId="38" xfId="51" applyNumberFormat="1" applyFont="1" applyBorder="1" applyProtection="1"/>
    <xf numFmtId="10" fontId="30" fillId="0" borderId="38" xfId="51" applyNumberFormat="1" applyFont="1" applyBorder="1" applyProtection="1"/>
    <xf numFmtId="10" fontId="30" fillId="0" borderId="27" xfId="28" applyNumberFormat="1" applyFont="1" applyBorder="1" applyProtection="1"/>
    <xf numFmtId="2" fontId="30" fillId="0" borderId="12" xfId="51" applyNumberFormat="1" applyFont="1" applyBorder="1" applyProtection="1"/>
    <xf numFmtId="10" fontId="30" fillId="0" borderId="12" xfId="51" applyNumberFormat="1" applyFont="1" applyBorder="1" applyProtection="1"/>
    <xf numFmtId="10" fontId="30" fillId="0" borderId="30" xfId="28" applyNumberFormat="1" applyFont="1" applyBorder="1" applyProtection="1"/>
    <xf numFmtId="2" fontId="30" fillId="0" borderId="39" xfId="51" applyNumberFormat="1" applyFont="1" applyBorder="1" applyProtection="1"/>
    <xf numFmtId="10" fontId="30" fillId="0" borderId="39" xfId="51" applyNumberFormat="1" applyFont="1" applyBorder="1" applyProtection="1"/>
    <xf numFmtId="10" fontId="30" fillId="0" borderId="34" xfId="28" applyNumberFormat="1" applyFont="1" applyBorder="1" applyProtection="1"/>
    <xf numFmtId="1" fontId="31" fillId="0" borderId="17" xfId="51" applyNumberFormat="1" applyFont="1" applyBorder="1" applyAlignment="1" applyProtection="1">
      <alignment vertical="top" wrapText="1"/>
      <protection locked="0"/>
    </xf>
    <xf numFmtId="0" fontId="31" fillId="0" borderId="17" xfId="48" applyFont="1" applyBorder="1" applyAlignment="1" applyProtection="1">
      <alignment vertical="top" wrapText="1"/>
    </xf>
    <xf numFmtId="0" fontId="31" fillId="0" borderId="18" xfId="48" applyFont="1" applyBorder="1" applyAlignment="1" applyProtection="1">
      <alignment vertical="top" wrapText="1"/>
    </xf>
    <xf numFmtId="10" fontId="31" fillId="0" borderId="17" xfId="51" applyNumberFormat="1" applyFont="1" applyBorder="1" applyAlignment="1" applyProtection="1">
      <alignment vertical="top" wrapText="1"/>
      <protection locked="0"/>
    </xf>
    <xf numFmtId="10" fontId="31" fillId="0" borderId="18" xfId="51" applyNumberFormat="1" applyFont="1" applyBorder="1" applyAlignment="1" applyProtection="1">
      <alignment vertical="top" wrapText="1"/>
      <protection locked="0"/>
    </xf>
    <xf numFmtId="1" fontId="31" fillId="0" borderId="19" xfId="51" applyNumberFormat="1" applyFont="1" applyBorder="1" applyAlignment="1" applyProtection="1">
      <alignment vertical="top" wrapText="1"/>
      <protection locked="0"/>
    </xf>
    <xf numFmtId="10" fontId="31" fillId="0" borderId="19" xfId="51" applyNumberFormat="1" applyFont="1" applyBorder="1" applyAlignment="1" applyProtection="1">
      <alignment vertical="top" wrapText="1"/>
      <protection locked="0"/>
    </xf>
    <xf numFmtId="10" fontId="31" fillId="0" borderId="21" xfId="51" applyNumberFormat="1" applyFont="1" applyBorder="1" applyAlignment="1" applyProtection="1">
      <alignment vertical="top" wrapText="1"/>
      <protection locked="0"/>
    </xf>
    <xf numFmtId="0" fontId="26" fillId="0" borderId="26" xfId="46" applyFont="1" applyBorder="1" applyAlignment="1" applyProtection="1">
      <alignment horizontal="center"/>
    </xf>
    <xf numFmtId="0" fontId="26" fillId="0" borderId="37" xfId="46" applyFont="1" applyBorder="1" applyAlignment="1" applyProtection="1">
      <alignment horizontal="center"/>
    </xf>
    <xf numFmtId="0" fontId="26" fillId="0" borderId="0" xfId="46" applyFont="1" applyBorder="1" applyAlignment="1" applyProtection="1">
      <alignment horizontal="center"/>
    </xf>
    <xf numFmtId="0" fontId="26" fillId="0" borderId="22" xfId="46" applyFont="1" applyBorder="1" applyAlignment="1" applyProtection="1">
      <alignment horizontal="center"/>
    </xf>
    <xf numFmtId="0" fontId="26" fillId="0" borderId="14" xfId="46" applyFont="1" applyBorder="1" applyAlignment="1" applyProtection="1">
      <alignment horizontal="center"/>
    </xf>
    <xf numFmtId="0" fontId="2" fillId="0" borderId="22" xfId="46" applyFont="1" applyBorder="1" applyAlignment="1" applyProtection="1">
      <alignment horizontal="center"/>
    </xf>
    <xf numFmtId="0" fontId="2" fillId="0" borderId="14" xfId="46" applyBorder="1" applyAlignment="1" applyProtection="1">
      <alignment horizontal="center"/>
    </xf>
    <xf numFmtId="0" fontId="1" fillId="0" borderId="22" xfId="0" applyFont="1" applyBorder="1" applyAlignment="1">
      <alignment horizontal="center"/>
    </xf>
    <xf numFmtId="0" fontId="0" fillId="0" borderId="14" xfId="0" applyBorder="1" applyAlignment="1">
      <alignment horizontal="center"/>
    </xf>
  </cellXfs>
  <cellStyles count="6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Data" xfId="29"/>
    <cellStyle name="DataInput" xfId="30"/>
    <cellStyle name="Explanatory Text" xfId="31" builtinId="53" customBuiltin="1"/>
    <cellStyle name="Good" xfId="32" builtinId="26" customBuiltin="1"/>
    <cellStyle name="Header" xfId="33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Milliers [0]_rating factor" xfId="40"/>
    <cellStyle name="Milliers_rating factor" xfId="41"/>
    <cellStyle name="Monétaire [0]_rating factor" xfId="42"/>
    <cellStyle name="Monétaire_rating factor" xfId="43"/>
    <cellStyle name="Month" xfId="44"/>
    <cellStyle name="Neutral" xfId="45" builtinId="28" customBuiltin="1"/>
    <cellStyle name="Normal" xfId="0" builtinId="0"/>
    <cellStyle name="Normal_CreditDerivsExamples" xfId="46"/>
    <cellStyle name="Normal_LFS_CollateralandCntrptyRisk" xfId="47"/>
    <cellStyle name="Normal_QTinRM3" xfId="48"/>
    <cellStyle name="Note" xfId="49" builtinId="10" customBuiltin="1"/>
    <cellStyle name="Output" xfId="50" builtinId="21" customBuiltin="1"/>
    <cellStyle name="Percent" xfId="51" builtinId="5"/>
    <cellStyle name="PricingProducts" xfId="52"/>
    <cellStyle name="Style 1" xfId="53"/>
    <cellStyle name="TIMES" xfId="54"/>
    <cellStyle name="Title" xfId="55" builtinId="15" customBuiltin="1"/>
    <cellStyle name="Total" xfId="56" builtinId="25" customBuiltin="1"/>
    <cellStyle name="Warning Text" xfId="57" builtinId="11" customBuiltin="1"/>
    <cellStyle name="WASP_PLStyle" xfId="58"/>
    <cellStyle name="Year" xfId="5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theme" Target="theme/theme1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Spreadsheet12.1!$E$30</c:f>
              <c:strCache>
                <c:ptCount val="1"/>
                <c:pt idx="0">
                  <c:v>Cumulative Default Probability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Spreadsheet12.1!$B$31:$B$131</c:f>
              <c:numCache>
                <c:formatCode>0.00</c:formatCode>
                <c:ptCount val="1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</c:numCache>
            </c:numRef>
          </c:xVal>
          <c:yVal>
            <c:numRef>
              <c:f>Spreadsheet12.1!$E$31:$E$131</c:f>
              <c:numCache>
                <c:formatCode>0.000</c:formatCode>
                <c:ptCount val="101"/>
                <c:pt idx="0">
                  <c:v>0</c:v>
                </c:pt>
                <c:pt idx="1">
                  <c:v>2.4690898000271355E-3</c:v>
                </c:pt>
                <c:pt idx="2">
                  <c:v>4.9320831956136679E-3</c:v>
                </c:pt>
                <c:pt idx="3">
                  <c:v>7.3889952393296765E-3</c:v>
                </c:pt>
                <c:pt idx="4">
                  <c:v>9.8398409465789705E-3</c:v>
                </c:pt>
                <c:pt idx="5">
                  <c:v>1.2284635295691015E-2</c:v>
                </c:pt>
                <c:pt idx="6">
                  <c:v>1.4723393228012527E-2</c:v>
                </c:pt>
                <c:pt idx="7">
                  <c:v>1.7156129647998619E-2</c:v>
                </c:pt>
                <c:pt idx="8">
                  <c:v>1.9582859423303955E-2</c:v>
                </c:pt>
                <c:pt idx="9">
                  <c:v>2.2003597384873674E-2</c:v>
                </c:pt>
                <c:pt idx="10">
                  <c:v>2.4418358327033873E-2</c:v>
                </c:pt>
                <c:pt idx="11">
                  <c:v>2.6827157007582314E-2</c:v>
                </c:pt>
                <c:pt idx="12">
                  <c:v>2.923000814787835E-2</c:v>
                </c:pt>
                <c:pt idx="13">
                  <c:v>3.1626926432932856E-2</c:v>
                </c:pt>
                <c:pt idx="14">
                  <c:v>3.4017926511498264E-2</c:v>
                </c:pt>
                <c:pt idx="15">
                  <c:v>3.640302299615783E-2</c:v>
                </c:pt>
                <c:pt idx="16">
                  <c:v>3.8782230463415002E-2</c:v>
                </c:pt>
                <c:pt idx="17">
                  <c:v>4.1155563453782573E-2</c:v>
                </c:pt>
                <c:pt idx="18">
                  <c:v>4.3523036471871612E-2</c:v>
                </c:pt>
                <c:pt idx="19">
                  <c:v>4.5884663986479834E-2</c:v>
                </c:pt>
                <c:pt idx="20">
                  <c:v>4.824046043068031E-2</c:v>
                </c:pt>
                <c:pt idx="21">
                  <c:v>5.1411089281295452E-2</c:v>
                </c:pt>
                <c:pt idx="22">
                  <c:v>5.4571155708430297E-2</c:v>
                </c:pt>
                <c:pt idx="23">
                  <c:v>5.7720694899044522E-2</c:v>
                </c:pt>
                <c:pt idx="24">
                  <c:v>6.0859741922878463E-2</c:v>
                </c:pt>
                <c:pt idx="25">
                  <c:v>6.3988331732843351E-2</c:v>
                </c:pt>
                <c:pt idx="26">
                  <c:v>6.710649916541056E-2</c:v>
                </c:pt>
                <c:pt idx="27">
                  <c:v>7.021427894099963E-2</c:v>
                </c:pt>
                <c:pt idx="28">
                  <c:v>7.3311705664364735E-2</c:v>
                </c:pt>
                <c:pt idx="29">
                  <c:v>7.6398813824980039E-2</c:v>
                </c:pt>
                <c:pt idx="30">
                  <c:v>7.9475637797423726E-2</c:v>
                </c:pt>
                <c:pt idx="31">
                  <c:v>8.2542211841760915E-2</c:v>
                </c:pt>
                <c:pt idx="32">
                  <c:v>8.5598570103924909E-2</c:v>
                </c:pt>
                <c:pt idx="33">
                  <c:v>8.8644746616097447E-2</c:v>
                </c:pt>
                <c:pt idx="34">
                  <c:v>9.1680775297087846E-2</c:v>
                </c:pt>
                <c:pt idx="35">
                  <c:v>9.4706689952710477E-2</c:v>
                </c:pt>
                <c:pt idx="36">
                  <c:v>9.7722524276161238E-2</c:v>
                </c:pt>
                <c:pt idx="37">
                  <c:v>0.1007283118483927</c:v>
                </c:pt>
                <c:pt idx="38">
                  <c:v>0.10372408613848816</c:v>
                </c:pt>
                <c:pt idx="39">
                  <c:v>0.10670988050403418</c:v>
                </c:pt>
                <c:pt idx="40">
                  <c:v>0.10968572819149203</c:v>
                </c:pt>
                <c:pt idx="41">
                  <c:v>0.11347763870497307</c:v>
                </c:pt>
                <c:pt idx="42">
                  <c:v>0.11725339920738775</c:v>
                </c:pt>
                <c:pt idx="43">
                  <c:v>0.12101307848275844</c:v>
                </c:pt>
                <c:pt idx="44">
                  <c:v>0.12475674502215139</c:v>
                </c:pt>
                <c:pt idx="45">
                  <c:v>0.12848446702492489</c:v>
                </c:pt>
                <c:pt idx="46">
                  <c:v>0.13219631239997132</c:v>
                </c:pt>
                <c:pt idx="47">
                  <c:v>0.13589234876695422</c:v>
                </c:pt>
                <c:pt idx="48">
                  <c:v>0.13957264345754039</c:v>
                </c:pt>
                <c:pt idx="49">
                  <c:v>0.14323726351662647</c:v>
                </c:pt>
                <c:pt idx="50">
                  <c:v>0.14688627570355994</c:v>
                </c:pt>
                <c:pt idx="51">
                  <c:v>0.15051974649335587</c:v>
                </c:pt>
                <c:pt idx="52">
                  <c:v>0.15413774207790742</c:v>
                </c:pt>
                <c:pt idx="53">
                  <c:v>0.15774032836719187</c:v>
                </c:pt>
                <c:pt idx="54">
                  <c:v>0.16132757099047135</c:v>
                </c:pt>
                <c:pt idx="55">
                  <c:v>0.16489953529748846</c:v>
                </c:pt>
                <c:pt idx="56">
                  <c:v>0.16845628635965659</c:v>
                </c:pt>
                <c:pt idx="57">
                  <c:v>0.17199788897124546</c:v>
                </c:pt>
                <c:pt idx="58">
                  <c:v>0.17552440765056154</c:v>
                </c:pt>
                <c:pt idx="59">
                  <c:v>0.17903590664112334</c:v>
                </c:pt>
                <c:pt idx="60">
                  <c:v>0.18253244991283168</c:v>
                </c:pt>
                <c:pt idx="61">
                  <c:v>0.18685161705075204</c:v>
                </c:pt>
                <c:pt idx="62">
                  <c:v>0.19114796346048157</c:v>
                </c:pt>
                <c:pt idx="63">
                  <c:v>0.19542160971749678</c:v>
                </c:pt>
                <c:pt idx="64">
                  <c:v>0.19967267576020198</c:v>
                </c:pt>
                <c:pt idx="65">
                  <c:v>0.20390128089329584</c:v>
                </c:pt>
                <c:pt idx="66">
                  <c:v>0.20810754379111907</c:v>
                </c:pt>
                <c:pt idx="67">
                  <c:v>0.21229158250098545</c:v>
                </c:pt>
                <c:pt idx="68">
                  <c:v>0.21645351444649463</c:v>
                </c:pt>
                <c:pt idx="69">
                  <c:v>0.22059345643082751</c:v>
                </c:pt>
                <c:pt idx="70">
                  <c:v>0.22471152464002442</c:v>
                </c:pt>
                <c:pt idx="71">
                  <c:v>0.22880783464624554</c:v>
                </c:pt>
                <c:pt idx="72">
                  <c:v>0.23288250141101485</c:v>
                </c:pt>
                <c:pt idx="73">
                  <c:v>0.23693563928844608</c:v>
                </c:pt>
                <c:pt idx="74">
                  <c:v>0.24096736202845215</c:v>
                </c:pt>
                <c:pt idx="75">
                  <c:v>0.24497778277993776</c:v>
                </c:pt>
                <c:pt idx="76">
                  <c:v>0.24896701409397448</c:v>
                </c:pt>
                <c:pt idx="77">
                  <c:v>0.25293516792695969</c:v>
                </c:pt>
                <c:pt idx="78">
                  <c:v>0.25688235564375872</c:v>
                </c:pt>
                <c:pt idx="79">
                  <c:v>0.26080868802082979</c:v>
                </c:pt>
                <c:pt idx="80">
                  <c:v>0.26471427524933344</c:v>
                </c:pt>
                <c:pt idx="81">
                  <c:v>0.26945814298928894</c:v>
                </c:pt>
                <c:pt idx="82">
                  <c:v>0.27417140455755273</c:v>
                </c:pt>
                <c:pt idx="83">
                  <c:v>0.27885425741699621</c:v>
                </c:pt>
                <c:pt idx="84">
                  <c:v>0.28350689775651294</c:v>
                </c:pt>
                <c:pt idx="85">
                  <c:v>0.28812952049923801</c:v>
                </c:pt>
                <c:pt idx="86">
                  <c:v>0.29272231931071424</c:v>
                </c:pt>
                <c:pt idx="87">
                  <c:v>0.29728548660700604</c:v>
                </c:pt>
                <c:pt idx="88">
                  <c:v>0.30181921356276042</c:v>
                </c:pt>
                <c:pt idx="89">
                  <c:v>0.30632369011921667</c:v>
                </c:pt>
                <c:pt idx="90">
                  <c:v>0.31079910499216379</c:v>
                </c:pt>
                <c:pt idx="91">
                  <c:v>0.31524564567984648</c:v>
                </c:pt>
                <c:pt idx="92">
                  <c:v>0.31966349847082098</c:v>
                </c:pt>
                <c:pt idx="93">
                  <c:v>0.32405284845175919</c:v>
                </c:pt>
                <c:pt idx="94">
                  <c:v>0.32841387951520307</c:v>
                </c:pt>
                <c:pt idx="95">
                  <c:v>0.33274677436726896</c:v>
                </c:pt>
                <c:pt idx="96">
                  <c:v>0.33705171453530192</c:v>
                </c:pt>
                <c:pt idx="97">
                  <c:v>0.34132888037548081</c:v>
                </c:pt>
                <c:pt idx="98">
                  <c:v>0.34557845108037466</c:v>
                </c:pt>
                <c:pt idx="99">
                  <c:v>0.34980060468644969</c:v>
                </c:pt>
                <c:pt idx="100">
                  <c:v>0.35399551808152807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194016"/>
        <c:axId val="347195192"/>
      </c:scatterChart>
      <c:valAx>
        <c:axId val="347194016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47195192"/>
        <c:crosses val="autoZero"/>
        <c:crossBetween val="midCat"/>
      </c:valAx>
      <c:valAx>
        <c:axId val="3471951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4719401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Spreadsheet12.1!$H$18</c:f>
              <c:strCache>
                <c:ptCount val="1"/>
                <c:pt idx="0">
                  <c:v>PD (approx)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Spreadsheet12.1!$E$19:$E$23</c:f>
              <c:strCache>
                <c:ptCount val="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</c:strCache>
            </c:strRef>
          </c:cat>
          <c:val>
            <c:numRef>
              <c:f>Spreadsheet12.1!$H$19:$H$23</c:f>
              <c:numCache>
                <c:formatCode>0.00%</c:formatCode>
                <c:ptCount val="5"/>
                <c:pt idx="0">
                  <c:v>4.8770575499285984E-2</c:v>
                </c:pt>
                <c:pt idx="1">
                  <c:v>6.1347653512690226E-2</c:v>
                </c:pt>
                <c:pt idx="2">
                  <c:v>7.1151017910041969E-2</c:v>
                </c:pt>
                <c:pt idx="3">
                  <c:v>7.7912532396263945E-2</c:v>
                </c:pt>
                <c:pt idx="4">
                  <c:v>8.1577590481274109E-2</c:v>
                </c:pt>
              </c:numCache>
            </c:numRef>
          </c:val>
        </c:ser>
        <c:ser>
          <c:idx val="1"/>
          <c:order val="1"/>
          <c:tx>
            <c:strRef>
              <c:f>Spreadsheet12.1!$I$18</c:f>
              <c:strCache>
                <c:ptCount val="1"/>
                <c:pt idx="0">
                  <c:v>PD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Spreadsheet12.1!$E$19:$E$23</c:f>
              <c:strCache>
                <c:ptCount val="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</c:strCache>
            </c:strRef>
          </c:cat>
          <c:val>
            <c:numRef>
              <c:f>Spreadsheet12.1!$I$19:$I$23</c:f>
              <c:numCache>
                <c:formatCode>0.00%</c:formatCode>
                <c:ptCount val="5"/>
                <c:pt idx="0">
                  <c:v>4.824046043068031E-2</c:v>
                </c:pt>
                <c:pt idx="1">
                  <c:v>6.1445267760811717E-2</c:v>
                </c:pt>
                <c:pt idx="2">
                  <c:v>7.2846721721339658E-2</c:v>
                </c:pt>
                <c:pt idx="3">
                  <c:v>8.2181825336501757E-2</c:v>
                </c:pt>
                <c:pt idx="4">
                  <c:v>8.9281242832194629E-2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7193232"/>
        <c:axId val="347192448"/>
      </c:barChart>
      <c:catAx>
        <c:axId val="34719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92448"/>
        <c:crosses val="autoZero"/>
        <c:auto val="1"/>
        <c:lblAlgn val="ctr"/>
        <c:lblOffset val="100"/>
        <c:noMultiLvlLbl val="0"/>
      </c:catAx>
      <c:valAx>
        <c:axId val="347192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Annual</a:t>
                </a:r>
                <a:r>
                  <a:rPr lang="en-US" baseline="0"/>
                  <a:t> d</a:t>
                </a:r>
                <a:r>
                  <a:rPr lang="en-US"/>
                  <a:t>efault probability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93232"/>
        <c:crosses val="autoZero"/>
        <c:crossBetween val="between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layout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9961822953949"/>
          <c:y val="0.18197185065861443"/>
          <c:w val="0.78336408706487448"/>
          <c:h val="0.5889592425876295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Spreadsheet12.2!$G$10</c:f>
              <c:strCache>
                <c:ptCount val="1"/>
                <c:pt idx="0">
                  <c:v>Actual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Spreadsheet12.2!$E$11:$E$213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Spreadsheet12.2!$G$11:$G$213</c:f>
              <c:numCache>
                <c:formatCode>0.00%</c:formatCode>
                <c:ptCount val="203"/>
                <c:pt idx="1">
                  <c:v>1.171581216008688E-3</c:v>
                </c:pt>
                <c:pt idx="2">
                  <c:v>2.3511511561238319E-3</c:v>
                </c:pt>
                <c:pt idx="3">
                  <c:v>3.5383871528756883E-3</c:v>
                </c:pt>
                <c:pt idx="4">
                  <c:v>4.7329892866494472E-3</c:v>
                </c:pt>
                <c:pt idx="5">
                  <c:v>4.7329892866494472E-3</c:v>
                </c:pt>
                <c:pt idx="6">
                  <c:v>5.9346802788688979E-3</c:v>
                </c:pt>
                <c:pt idx="7">
                  <c:v>5.9346802788688979E-3</c:v>
                </c:pt>
                <c:pt idx="8">
                  <c:v>7.1432053819635577E-3</c:v>
                </c:pt>
                <c:pt idx="9">
                  <c:v>8.3583322663343118E-3</c:v>
                </c:pt>
                <c:pt idx="10">
                  <c:v>9.5798509045116331E-3</c:v>
                </c:pt>
                <c:pt idx="11">
                  <c:v>1.0807573452687569E-2</c:v>
                </c:pt>
                <c:pt idx="12">
                  <c:v>1.2041334129779924E-2</c:v>
                </c:pt>
                <c:pt idx="13">
                  <c:v>1.3280989094174522E-2</c:v>
                </c:pt>
                <c:pt idx="14">
                  <c:v>1.4526416318271229E-2</c:v>
                </c:pt>
                <c:pt idx="15">
                  <c:v>1.5777515460944191E-2</c:v>
                </c:pt>
                <c:pt idx="16">
                  <c:v>1.70342077380079E-2</c:v>
                </c:pt>
                <c:pt idx="17">
                  <c:v>1.8296435790767229E-2</c:v>
                </c:pt>
                <c:pt idx="18">
                  <c:v>1.9564163552709291E-2</c:v>
                </c:pt>
                <c:pt idx="19">
                  <c:v>2.0837376114381745E-2</c:v>
                </c:pt>
                <c:pt idx="20">
                  <c:v>2.2116079586485204E-2</c:v>
                </c:pt>
                <c:pt idx="21">
                  <c:v>2.3400300961188614E-2</c:v>
                </c:pt>
                <c:pt idx="22">
                  <c:v>2.4690087971667385E-2</c:v>
                </c:pt>
                <c:pt idx="23">
                  <c:v>2.5985508949839198E-2</c:v>
                </c:pt>
                <c:pt idx="24">
                  <c:v>2.7286652682267154E-2</c:v>
                </c:pt>
                <c:pt idx="25">
                  <c:v>2.859362826417533E-2</c:v>
                </c:pt>
                <c:pt idx="26">
                  <c:v>2.9906564951514558E-2</c:v>
                </c:pt>
                <c:pt idx="27">
                  <c:v>3.1225612010995052E-2</c:v>
                </c:pt>
                <c:pt idx="28">
                  <c:v>3.2550938567994181E-2</c:v>
                </c:pt>
                <c:pt idx="29">
                  <c:v>3.3882733452226921E-2</c:v>
                </c:pt>
                <c:pt idx="30">
                  <c:v>3.5221205041058301E-2</c:v>
                </c:pt>
                <c:pt idx="31">
                  <c:v>3.6566581100318296E-2</c:v>
                </c:pt>
                <c:pt idx="32">
                  <c:v>3.7919108622470277E-2</c:v>
                </c:pt>
                <c:pt idx="33">
                  <c:v>3.9279053661966712E-2</c:v>
                </c:pt>
                <c:pt idx="34">
                  <c:v>4.0646701167616039E-2</c:v>
                </c:pt>
                <c:pt idx="35">
                  <c:v>4.2022354811769302E-2</c:v>
                </c:pt>
                <c:pt idx="36">
                  <c:v>4.3406336816123714E-2</c:v>
                </c:pt>
                <c:pt idx="37">
                  <c:v>4.4798987773927768E-2</c:v>
                </c:pt>
                <c:pt idx="38">
                  <c:v>4.6200666468359741E-2</c:v>
                </c:pt>
                <c:pt idx="39">
                  <c:v>4.7611749686841232E-2</c:v>
                </c:pt>
                <c:pt idx="40">
                  <c:v>4.9032632031032142E-2</c:v>
                </c:pt>
                <c:pt idx="41">
                  <c:v>5.0463725722249442E-2</c:v>
                </c:pt>
                <c:pt idx="42">
                  <c:v>5.1905460402030812E-2</c:v>
                </c:pt>
                <c:pt idx="43">
                  <c:v>5.3358282927565504E-2</c:v>
                </c:pt>
                <c:pt idx="44">
                  <c:v>5.4822657161693655E-2</c:v>
                </c:pt>
                <c:pt idx="45">
                  <c:v>5.6299063757174306E-2</c:v>
                </c:pt>
                <c:pt idx="46">
                  <c:v>5.7787999934905576E-2</c:v>
                </c:pt>
                <c:pt idx="47">
                  <c:v>5.9289979255778835E-2</c:v>
                </c:pt>
                <c:pt idx="48">
                  <c:v>6.0805531385832667E-2</c:v>
                </c:pt>
                <c:pt idx="49">
                  <c:v>6.2335201854370137E-2</c:v>
                </c:pt>
                <c:pt idx="50">
                  <c:v>6.3879551804691403E-2</c:v>
                </c:pt>
                <c:pt idx="51">
                  <c:v>6.5439157737089859E-2</c:v>
                </c:pt>
                <c:pt idx="52">
                  <c:v>6.7014611243748634E-2</c:v>
                </c:pt>
                <c:pt idx="53">
                  <c:v>6.8606518735173205E-2</c:v>
                </c:pt>
                <c:pt idx="54">
                  <c:v>7.0215501157787075E-2</c:v>
                </c:pt>
                <c:pt idx="55">
                  <c:v>7.1842193702312485E-2</c:v>
                </c:pt>
                <c:pt idx="56">
                  <c:v>7.3487245502555143E-2</c:v>
                </c:pt>
                <c:pt idx="57">
                  <c:v>7.5151319324207044E-2</c:v>
                </c:pt>
                <c:pt idx="58">
                  <c:v>7.6835091243278586E-2</c:v>
                </c:pt>
                <c:pt idx="59">
                  <c:v>7.8539250313768183E-2</c:v>
                </c:pt>
                <c:pt idx="60">
                  <c:v>8.0264498224177472E-2</c:v>
                </c:pt>
                <c:pt idx="61">
                  <c:v>8.2011548942475976E-2</c:v>
                </c:pt>
                <c:pt idx="62">
                  <c:v>8.3781128349122214E-2</c:v>
                </c:pt>
                <c:pt idx="63">
                  <c:v>8.5573817501690463E-2</c:v>
                </c:pt>
                <c:pt idx="64">
                  <c:v>8.7389563884484378E-2</c:v>
                </c:pt>
                <c:pt idx="65">
                  <c:v>8.922812129249047E-2</c:v>
                </c:pt>
                <c:pt idx="66">
                  <c:v>9.1089199738443205E-2</c:v>
                </c:pt>
                <c:pt idx="67">
                  <c:v>9.2972468493912053E-2</c:v>
                </c:pt>
                <c:pt idx="68">
                  <c:v>9.4877554437804879E-2</c:v>
                </c:pt>
                <c:pt idx="69">
                  <c:v>9.680404355761163E-2</c:v>
                </c:pt>
                <c:pt idx="70">
                  <c:v>9.8751482048429873E-2</c:v>
                </c:pt>
                <c:pt idx="71">
                  <c:v>0.10071937530261288</c:v>
                </c:pt>
                <c:pt idx="72">
                  <c:v>0.10270719009659734</c:v>
                </c:pt>
                <c:pt idx="73">
                  <c:v>0.10471435785209993</c:v>
                </c:pt>
                <c:pt idx="74">
                  <c:v>0.10674025564335199</c:v>
                </c:pt>
                <c:pt idx="75">
                  <c:v>0.10878424742962722</c:v>
                </c:pt>
                <c:pt idx="76">
                  <c:v>0.11084563929165436</c:v>
                </c:pt>
                <c:pt idx="77">
                  <c:v>0.11292372189186417</c:v>
                </c:pt>
                <c:pt idx="78">
                  <c:v>0.11501772892109496</c:v>
                </c:pt>
                <c:pt idx="79">
                  <c:v>0.1171268584626316</c:v>
                </c:pt>
                <c:pt idx="80">
                  <c:v>0.11925029537601095</c:v>
                </c:pt>
                <c:pt idx="81">
                  <c:v>0.12138716890905576</c:v>
                </c:pt>
                <c:pt idx="82">
                  <c:v>0.12353659666382977</c:v>
                </c:pt>
                <c:pt idx="83">
                  <c:v>0.12569763701573711</c:v>
                </c:pt>
                <c:pt idx="84">
                  <c:v>0.12786933364899078</c:v>
                </c:pt>
                <c:pt idx="85">
                  <c:v>0.13005069414913883</c:v>
                </c:pt>
                <c:pt idx="86">
                  <c:v>0.13224069522224247</c:v>
                </c:pt>
                <c:pt idx="87">
                  <c:v>0.13443828298142868</c:v>
                </c:pt>
                <c:pt idx="88">
                  <c:v>0.13664237374518895</c:v>
                </c:pt>
                <c:pt idx="89">
                  <c:v>0.13885185219585461</c:v>
                </c:pt>
                <c:pt idx="90">
                  <c:v>0.14106558617468568</c:v>
                </c:pt>
                <c:pt idx="91">
                  <c:v>0.1432823917924525</c:v>
                </c:pt>
                <c:pt idx="92">
                  <c:v>0.14550108127994377</c:v>
                </c:pt>
                <c:pt idx="93">
                  <c:v>0.14772042795212392</c:v>
                </c:pt>
                <c:pt idx="94">
                  <c:v>0.14993918098210235</c:v>
                </c:pt>
                <c:pt idx="95">
                  <c:v>0.15215606374058965</c:v>
                </c:pt>
                <c:pt idx="96">
                  <c:v>0.1543697751367421</c:v>
                </c:pt>
                <c:pt idx="97">
                  <c:v>0.15657898425099082</c:v>
                </c:pt>
                <c:pt idx="98">
                  <c:v>0.15878234294825433</c:v>
                </c:pt>
                <c:pt idx="99">
                  <c:v>0.16097847465961523</c:v>
                </c:pt>
                <c:pt idx="100">
                  <c:v>0.16316597771875518</c:v>
                </c:pt>
                <c:pt idx="101">
                  <c:v>0.16534343090453862</c:v>
                </c:pt>
                <c:pt idx="102">
                  <c:v>0.16750938738839627</c:v>
                </c:pt>
                <c:pt idx="103">
                  <c:v>0.16966260944986644</c:v>
                </c:pt>
                <c:pt idx="104">
                  <c:v>0.1718027773710018</c:v>
                </c:pt>
                <c:pt idx="105">
                  <c:v>0.17392981564464072</c:v>
                </c:pt>
                <c:pt idx="106">
                  <c:v>0.17604366885886713</c:v>
                </c:pt>
                <c:pt idx="107">
                  <c:v>0.17814429721388914</c:v>
                </c:pt>
                <c:pt idx="108">
                  <c:v>0.18023167981945931</c:v>
                </c:pt>
                <c:pt idx="109">
                  <c:v>0.18230581281904668</c:v>
                </c:pt>
                <c:pt idx="110">
                  <c:v>0.18436670824384371</c:v>
                </c:pt>
                <c:pt idx="111">
                  <c:v>0.18641439627464107</c:v>
                </c:pt>
                <c:pt idx="112">
                  <c:v>0.1884489223903526</c:v>
                </c:pt>
                <c:pt idx="113">
                  <c:v>0.1904703492898252</c:v>
                </c:pt>
                <c:pt idx="114">
                  <c:v>0.19247875564699768</c:v>
                </c:pt>
                <c:pt idx="115">
                  <c:v>0.19447423553335441</c:v>
                </c:pt>
                <c:pt idx="116">
                  <c:v>0.19645689939403532</c:v>
                </c:pt>
                <c:pt idx="117">
                  <c:v>0.19842687268881765</c:v>
                </c:pt>
                <c:pt idx="118">
                  <c:v>0.20038429656216716</c:v>
                </c:pt>
                <c:pt idx="119">
                  <c:v>0.2023293271773029</c:v>
                </c:pt>
                <c:pt idx="120">
                  <c:v>0.20426213564177453</c:v>
                </c:pt>
                <c:pt idx="121">
                  <c:v>0.20618290183366672</c:v>
                </c:pt>
                <c:pt idx="122">
                  <c:v>0.20809184439500528</c:v>
                </c:pt>
                <c:pt idx="123">
                  <c:v>0.20998916017976921</c:v>
                </c:pt>
                <c:pt idx="124">
                  <c:v>0.21187508445665604</c:v>
                </c:pt>
                <c:pt idx="125">
                  <c:v>0.21374986064089208</c:v>
                </c:pt>
                <c:pt idx="126">
                  <c:v>0.21561374584014059</c:v>
                </c:pt>
                <c:pt idx="127">
                  <c:v>0.21746701116456313</c:v>
                </c:pt>
                <c:pt idx="128">
                  <c:v>0.21930994126584125</c:v>
                </c:pt>
                <c:pt idx="129">
                  <c:v>0.22114283425242831</c:v>
                </c:pt>
                <c:pt idx="130">
                  <c:v>0.22296600167358671</c:v>
                </c:pt>
                <c:pt idx="131">
                  <c:v>0.22477976782015807</c:v>
                </c:pt>
                <c:pt idx="132">
                  <c:v>0.22658447037876361</c:v>
                </c:pt>
                <c:pt idx="133">
                  <c:v>0.2283804597550505</c:v>
                </c:pt>
                <c:pt idx="134">
                  <c:v>0.23016809913999803</c:v>
                </c:pt>
                <c:pt idx="135">
                  <c:v>0.23194776402376993</c:v>
                </c:pt>
                <c:pt idx="136">
                  <c:v>0.23371984264378043</c:v>
                </c:pt>
                <c:pt idx="137">
                  <c:v>0.23548473514331558</c:v>
                </c:pt>
                <c:pt idx="138">
                  <c:v>0.23724285409736434</c:v>
                </c:pt>
                <c:pt idx="139">
                  <c:v>0.23899462386655068</c:v>
                </c:pt>
                <c:pt idx="140">
                  <c:v>0.24074048065536136</c:v>
                </c:pt>
                <c:pt idx="141">
                  <c:v>0.24248087240672433</c:v>
                </c:pt>
                <c:pt idx="142">
                  <c:v>0.24421625854427276</c:v>
                </c:pt>
                <c:pt idx="143">
                  <c:v>0.24594702921233125</c:v>
                </c:pt>
                <c:pt idx="144">
                  <c:v>0.24767326073390261</c:v>
                </c:pt>
                <c:pt idx="145">
                  <c:v>0.24939495066663586</c:v>
                </c:pt>
                <c:pt idx="146">
                  <c:v>0.25111209917446409</c:v>
                </c:pt>
                <c:pt idx="147">
                  <c:v>0.25282470800074308</c:v>
                </c:pt>
                <c:pt idx="148">
                  <c:v>0.25453278089802511</c:v>
                </c:pt>
                <c:pt idx="149">
                  <c:v>0.25623632281217146</c:v>
                </c:pt>
                <c:pt idx="150">
                  <c:v>0.25793534107216509</c:v>
                </c:pt>
                <c:pt idx="151">
                  <c:v>0.25962984455155136</c:v>
                </c:pt>
                <c:pt idx="152">
                  <c:v>0.26131984400700992</c:v>
                </c:pt>
                <c:pt idx="153">
                  <c:v>0.26300535144292825</c:v>
                </c:pt>
                <c:pt idx="154">
                  <c:v>0.26468638103141684</c:v>
                </c:pt>
                <c:pt idx="155">
                  <c:v>0.26636294845513908</c:v>
                </c:pt>
                <c:pt idx="156">
                  <c:v>0.26803507115841207</c:v>
                </c:pt>
                <c:pt idx="157">
                  <c:v>0.26970276788416492</c:v>
                </c:pt>
                <c:pt idx="158">
                  <c:v>0.27136605933613667</c:v>
                </c:pt>
                <c:pt idx="159">
                  <c:v>0.2730249677728751</c:v>
                </c:pt>
                <c:pt idx="160">
                  <c:v>0.27467951678693314</c:v>
                </c:pt>
                <c:pt idx="161">
                  <c:v>0.27632973178245579</c:v>
                </c:pt>
                <c:pt idx="162">
                  <c:v>0.27797563961570326</c:v>
                </c:pt>
                <c:pt idx="163">
                  <c:v>0.27961726870352832</c:v>
                </c:pt>
                <c:pt idx="164">
                  <c:v>0.28125464883960849</c:v>
                </c:pt>
                <c:pt idx="165">
                  <c:v>0.28288781143869568</c:v>
                </c:pt>
                <c:pt idx="166">
                  <c:v>0.28451678933427826</c:v>
                </c:pt>
                <c:pt idx="167">
                  <c:v>0.2861416168123383</c:v>
                </c:pt>
                <c:pt idx="168">
                  <c:v>0.28776232957275127</c:v>
                </c:pt>
                <c:pt idx="169">
                  <c:v>0.28937896475609881</c:v>
                </c:pt>
                <c:pt idx="170">
                  <c:v>0.29099156088786171</c:v>
                </c:pt>
                <c:pt idx="171">
                  <c:v>0.29260015784294879</c:v>
                </c:pt>
                <c:pt idx="172">
                  <c:v>0.2942047969406566</c:v>
                </c:pt>
                <c:pt idx="173">
                  <c:v>0.29580552074858502</c:v>
                </c:pt>
                <c:pt idx="174">
                  <c:v>0.29740237324889274</c:v>
                </c:pt>
                <c:pt idx="175">
                  <c:v>0.29899539964458355</c:v>
                </c:pt>
                <c:pt idx="176">
                  <c:v>0.30058464653860872</c:v>
                </c:pt>
                <c:pt idx="177">
                  <c:v>0.30217016169226585</c:v>
                </c:pt>
                <c:pt idx="178">
                  <c:v>0.30375199426197741</c:v>
                </c:pt>
                <c:pt idx="179">
                  <c:v>0.3053301945020821</c:v>
                </c:pt>
                <c:pt idx="180">
                  <c:v>0.30690481405593129</c:v>
                </c:pt>
                <c:pt idx="181">
                  <c:v>0.30847590560645333</c:v>
                </c:pt>
                <c:pt idx="182">
                  <c:v>0.31004352321810902</c:v>
                </c:pt>
                <c:pt idx="183">
                  <c:v>0.31160772193870501</c:v>
                </c:pt>
                <c:pt idx="184">
                  <c:v>0.31316855818865452</c:v>
                </c:pt>
                <c:pt idx="185">
                  <c:v>0.31472608931761059</c:v>
                </c:pt>
                <c:pt idx="186">
                  <c:v>0.31628037403738352</c:v>
                </c:pt>
                <c:pt idx="187">
                  <c:v>0.31783147193705485</c:v>
                </c:pt>
                <c:pt idx="188">
                  <c:v>0.31937944392246886</c:v>
                </c:pt>
                <c:pt idx="189">
                  <c:v>0.32092435186030133</c:v>
                </c:pt>
                <c:pt idx="190">
                  <c:v>0.32246625871824941</c:v>
                </c:pt>
                <c:pt idx="191">
                  <c:v>0.32400522851833768</c:v>
                </c:pt>
                <c:pt idx="192">
                  <c:v>0.32554132632142607</c:v>
                </c:pt>
                <c:pt idx="193">
                  <c:v>0.32707461821175954</c:v>
                </c:pt>
                <c:pt idx="194">
                  <c:v>0.32860517128155708</c:v>
                </c:pt>
                <c:pt idx="195">
                  <c:v>0.330133053596113</c:v>
                </c:pt>
                <c:pt idx="196">
                  <c:v>0.33165833425624669</c:v>
                </c:pt>
                <c:pt idx="197">
                  <c:v>0.33318108326672691</c:v>
                </c:pt>
                <c:pt idx="198">
                  <c:v>0.33470137159814339</c:v>
                </c:pt>
                <c:pt idx="199">
                  <c:v>0.33621927114219219</c:v>
                </c:pt>
                <c:pt idx="200">
                  <c:v>0.33773485473718035</c:v>
                </c:pt>
                <c:pt idx="201">
                  <c:v>0.33924819608652435</c:v>
                </c:pt>
                <c:pt idx="202">
                  <c:v>0.34075936979955657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Spreadsheet12.2!$H$10</c:f>
              <c:strCache>
                <c:ptCount val="1"/>
                <c:pt idx="0">
                  <c:v>Flat curve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Spreadsheet12.2!$E$11:$E$213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Spreadsheet12.2!$H$11:$H$213</c:f>
              <c:numCache>
                <c:formatCode>0.00%</c:formatCode>
                <c:ptCount val="203"/>
                <c:pt idx="1">
                  <c:v>1.8316538043133823E-3</c:v>
                </c:pt>
                <c:pt idx="2">
                  <c:v>3.6599526529679238E-3</c:v>
                </c:pt>
                <c:pt idx="3">
                  <c:v>5.4849026910809284E-3</c:v>
                </c:pt>
                <c:pt idx="4">
                  <c:v>7.3065100525139259E-3</c:v>
                </c:pt>
                <c:pt idx="5">
                  <c:v>7.3065100525139259E-3</c:v>
                </c:pt>
                <c:pt idx="6">
                  <c:v>9.1247808598934332E-3</c:v>
                </c:pt>
                <c:pt idx="7">
                  <c:v>9.1247808598934332E-3</c:v>
                </c:pt>
                <c:pt idx="8">
                  <c:v>1.0939721224631271E-2</c:v>
                </c:pt>
                <c:pt idx="9">
                  <c:v>1.2751337246945438E-2</c:v>
                </c:pt>
                <c:pt idx="10">
                  <c:v>1.4559635015880423E-2</c:v>
                </c:pt>
                <c:pt idx="11">
                  <c:v>1.636462060932764E-2</c:v>
                </c:pt>
                <c:pt idx="12">
                  <c:v>1.8166300094045851E-2</c:v>
                </c:pt>
                <c:pt idx="13">
                  <c:v>1.9964679525681706E-2</c:v>
                </c:pt>
                <c:pt idx="14">
                  <c:v>2.175976494878995E-2</c:v>
                </c:pt>
                <c:pt idx="15">
                  <c:v>2.3551562396853964E-2</c:v>
                </c:pt>
                <c:pt idx="16">
                  <c:v>2.5340077892305635E-2</c:v>
                </c:pt>
                <c:pt idx="17">
                  <c:v>2.7125317446546005E-2</c:v>
                </c:pt>
                <c:pt idx="18">
                  <c:v>2.8907287059965259E-2</c:v>
                </c:pt>
                <c:pt idx="19">
                  <c:v>3.0685992721962929E-2</c:v>
                </c:pt>
                <c:pt idx="20">
                  <c:v>3.246144041096799E-2</c:v>
                </c:pt>
                <c:pt idx="21">
                  <c:v>3.4233636094459174E-2</c:v>
                </c:pt>
                <c:pt idx="22">
                  <c:v>3.6002585728984737E-2</c:v>
                </c:pt>
                <c:pt idx="23">
                  <c:v>3.7768295260182438E-2</c:v>
                </c:pt>
                <c:pt idx="24">
                  <c:v>3.9530770622800193E-2</c:v>
                </c:pt>
                <c:pt idx="25">
                  <c:v>4.1290017740714835E-2</c:v>
                </c:pt>
                <c:pt idx="26">
                  <c:v>4.3046042526953321E-2</c:v>
                </c:pt>
                <c:pt idx="27">
                  <c:v>4.4798850883711605E-2</c:v>
                </c:pt>
                <c:pt idx="28">
                  <c:v>4.6548448702374956E-2</c:v>
                </c:pt>
                <c:pt idx="29">
                  <c:v>4.829484186353783E-2</c:v>
                </c:pt>
                <c:pt idx="30">
                  <c:v>5.0038036237023187E-2</c:v>
                </c:pt>
                <c:pt idx="31">
                  <c:v>5.17780376819027E-2</c:v>
                </c:pt>
                <c:pt idx="32">
                  <c:v>5.3514852046516181E-2</c:v>
                </c:pt>
                <c:pt idx="33">
                  <c:v>5.5248485168491346E-2</c:v>
                </c:pt>
                <c:pt idx="34">
                  <c:v>5.697894287476335E-2</c:v>
                </c:pt>
                <c:pt idx="35">
                  <c:v>5.8706230981594443E-2</c:v>
                </c:pt>
                <c:pt idx="36">
                  <c:v>6.0430355294593507E-2</c:v>
                </c:pt>
                <c:pt idx="37">
                  <c:v>6.2151321608735488E-2</c:v>
                </c:pt>
                <c:pt idx="38">
                  <c:v>6.3869135708381153E-2</c:v>
                </c:pt>
                <c:pt idx="39">
                  <c:v>6.558380336729619E-2</c:v>
                </c:pt>
                <c:pt idx="40">
                  <c:v>6.7295330348670523E-2</c:v>
                </c:pt>
                <c:pt idx="41">
                  <c:v>6.9003722405138301E-2</c:v>
                </c:pt>
                <c:pt idx="42">
                  <c:v>7.0708985278796432E-2</c:v>
                </c:pt>
                <c:pt idx="43">
                  <c:v>7.2411124701224905E-2</c:v>
                </c:pt>
                <c:pt idx="44">
                  <c:v>7.4110146393504661E-2</c:v>
                </c:pt>
                <c:pt idx="45">
                  <c:v>7.5806056066238137E-2</c:v>
                </c:pt>
                <c:pt idx="46">
                  <c:v>7.74988594195678E-2</c:v>
                </c:pt>
                <c:pt idx="47">
                  <c:v>7.9188562143195473E-2</c:v>
                </c:pt>
                <c:pt idx="48">
                  <c:v>8.0875169916401202E-2</c:v>
                </c:pt>
                <c:pt idx="49">
                  <c:v>8.2558688408062686E-2</c:v>
                </c:pt>
                <c:pt idx="50">
                  <c:v>8.4239123276674377E-2</c:v>
                </c:pt>
                <c:pt idx="51">
                  <c:v>8.5916480170366016E-2</c:v>
                </c:pt>
                <c:pt idx="52">
                  <c:v>8.7590764726922177E-2</c:v>
                </c:pt>
                <c:pt idx="53">
                  <c:v>8.9261982573800802E-2</c:v>
                </c:pt>
                <c:pt idx="54">
                  <c:v>9.0930139328152304E-2</c:v>
                </c:pt>
                <c:pt idx="55">
                  <c:v>9.2595240596838546E-2</c:v>
                </c:pt>
                <c:pt idx="56">
                  <c:v>9.4257291976451496E-2</c:v>
                </c:pt>
                <c:pt idx="57">
                  <c:v>9.5916299053331877E-2</c:v>
                </c:pt>
                <c:pt idx="58">
                  <c:v>9.7572267403588597E-2</c:v>
                </c:pt>
                <c:pt idx="59">
                  <c:v>9.9225202593116735E-2</c:v>
                </c:pt>
                <c:pt idx="60">
                  <c:v>0.10087511017761674</c:v>
                </c:pt>
                <c:pt idx="61">
                  <c:v>0.10252199570261278</c:v>
                </c:pt>
                <c:pt idx="62">
                  <c:v>0.10416586470347167</c:v>
                </c:pt>
                <c:pt idx="63">
                  <c:v>0.10580672270542135</c:v>
                </c:pt>
                <c:pt idx="64">
                  <c:v>0.10744457522356943</c:v>
                </c:pt>
                <c:pt idx="65">
                  <c:v>0.10907942776292179</c:v>
                </c:pt>
                <c:pt idx="66">
                  <c:v>0.11071128581840084</c:v>
                </c:pt>
                <c:pt idx="67">
                  <c:v>0.1123401548748646</c:v>
                </c:pt>
                <c:pt idx="68">
                  <c:v>0.11396604040712432</c:v>
                </c:pt>
                <c:pt idx="69">
                  <c:v>0.11558894787996343</c:v>
                </c:pt>
                <c:pt idx="70">
                  <c:v>0.11720888274815588</c:v>
                </c:pt>
                <c:pt idx="71">
                  <c:v>0.11882585045648442</c:v>
                </c:pt>
                <c:pt idx="72">
                  <c:v>0.12043985643975841</c:v>
                </c:pt>
                <c:pt idx="73">
                  <c:v>0.12205090612283287</c:v>
                </c:pt>
                <c:pt idx="74">
                  <c:v>0.12365900492062654</c:v>
                </c:pt>
                <c:pt idx="75">
                  <c:v>0.12526415823813941</c:v>
                </c:pt>
                <c:pt idx="76">
                  <c:v>0.12686637147047186</c:v>
                </c:pt>
                <c:pt idx="77">
                  <c:v>0.12846565000284194</c:v>
                </c:pt>
                <c:pt idx="78">
                  <c:v>0.13006199921060402</c:v>
                </c:pt>
                <c:pt idx="79">
                  <c:v>0.13165542445926681</c:v>
                </c:pt>
                <c:pt idx="80">
                  <c:v>0.13324593110451088</c:v>
                </c:pt>
                <c:pt idx="81">
                  <c:v>0.13483352449220742</c:v>
                </c:pt>
                <c:pt idx="82">
                  <c:v>0.13641820995843568</c:v>
                </c:pt>
                <c:pt idx="83">
                  <c:v>0.13799999282950104</c:v>
                </c:pt>
                <c:pt idx="84">
                  <c:v>0.13957887842195316</c:v>
                </c:pt>
                <c:pt idx="85">
                  <c:v>0.14115487204260313</c:v>
                </c:pt>
                <c:pt idx="86">
                  <c:v>0.14272797898854239</c:v>
                </c:pt>
                <c:pt idx="87">
                  <c:v>0.14429820454715947</c:v>
                </c:pt>
                <c:pt idx="88">
                  <c:v>0.14586555399615841</c:v>
                </c:pt>
                <c:pt idx="89">
                  <c:v>0.14743003260357646</c:v>
                </c:pt>
                <c:pt idx="90">
                  <c:v>0.14899164562780154</c:v>
                </c:pt>
                <c:pt idx="91">
                  <c:v>0.15055039831758987</c:v>
                </c:pt>
                <c:pt idx="92">
                  <c:v>0.15210629591208391</c:v>
                </c:pt>
                <c:pt idx="93">
                  <c:v>0.15365934364082989</c:v>
                </c:pt>
                <c:pt idx="94">
                  <c:v>0.15520954672379539</c:v>
                </c:pt>
                <c:pt idx="95">
                  <c:v>0.15675691037138639</c:v>
                </c:pt>
                <c:pt idx="96">
                  <c:v>0.15830143978446554</c:v>
                </c:pt>
                <c:pt idx="97">
                  <c:v>0.15984314015436951</c:v>
                </c:pt>
                <c:pt idx="98">
                  <c:v>0.16138201666292573</c:v>
                </c:pt>
                <c:pt idx="99">
                  <c:v>0.16291807448247075</c:v>
                </c:pt>
                <c:pt idx="100">
                  <c:v>0.16445131877586694</c:v>
                </c:pt>
                <c:pt idx="101">
                  <c:v>0.1659817546965201</c:v>
                </c:pt>
                <c:pt idx="102">
                  <c:v>0.16750938738839705</c:v>
                </c:pt>
                <c:pt idx="103">
                  <c:v>0.16903422198604223</c:v>
                </c:pt>
                <c:pt idx="104">
                  <c:v>0.17055626361459575</c:v>
                </c:pt>
                <c:pt idx="105">
                  <c:v>0.17207551738981008</c:v>
                </c:pt>
                <c:pt idx="106">
                  <c:v>0.17359198841806722</c:v>
                </c:pt>
                <c:pt idx="107">
                  <c:v>0.1751056817963963</c:v>
                </c:pt>
                <c:pt idx="108">
                  <c:v>0.17661660261249046</c:v>
                </c:pt>
                <c:pt idx="109">
                  <c:v>0.17812475594472377</c:v>
                </c:pt>
                <c:pt idx="110">
                  <c:v>0.1796301468621686</c:v>
                </c:pt>
                <c:pt idx="111">
                  <c:v>0.18113278042461256</c:v>
                </c:pt>
                <c:pt idx="112">
                  <c:v>0.18263266168257541</c:v>
                </c:pt>
                <c:pt idx="113">
                  <c:v>0.18412979567732601</c:v>
                </c:pt>
                <c:pt idx="114">
                  <c:v>0.18562418744089959</c:v>
                </c:pt>
                <c:pt idx="115">
                  <c:v>0.18711584199611431</c:v>
                </c:pt>
                <c:pt idx="116">
                  <c:v>0.18860476435658824</c:v>
                </c:pt>
                <c:pt idx="117">
                  <c:v>0.19009095952675625</c:v>
                </c:pt>
                <c:pt idx="118">
                  <c:v>0.19157443250188688</c:v>
                </c:pt>
                <c:pt idx="119">
                  <c:v>0.19305518826809909</c:v>
                </c:pt>
                <c:pt idx="120">
                  <c:v>0.19453323180237869</c:v>
                </c:pt>
                <c:pt idx="121">
                  <c:v>0.19600856807259592</c:v>
                </c:pt>
                <c:pt idx="122">
                  <c:v>0.19748120203752106</c:v>
                </c:pt>
                <c:pt idx="123">
                  <c:v>0.19895113864684211</c:v>
                </c:pt>
                <c:pt idx="124">
                  <c:v>0.20041838284118063</c:v>
                </c:pt>
                <c:pt idx="125">
                  <c:v>0.20188293955210856</c:v>
                </c:pt>
                <c:pt idx="126">
                  <c:v>0.20334481370216539</c:v>
                </c:pt>
                <c:pt idx="127">
                  <c:v>0.20480401020487382</c:v>
                </c:pt>
                <c:pt idx="128">
                  <c:v>0.20626053396475685</c:v>
                </c:pt>
                <c:pt idx="129">
                  <c:v>0.20771438987735402</c:v>
                </c:pt>
                <c:pt idx="130">
                  <c:v>0.20916558282923792</c:v>
                </c:pt>
                <c:pt idx="131">
                  <c:v>0.21061411769803073</c:v>
                </c:pt>
                <c:pt idx="132">
                  <c:v>0.21205999935242037</c:v>
                </c:pt>
                <c:pt idx="133">
                  <c:v>0.21350323265217719</c:v>
                </c:pt>
                <c:pt idx="134">
                  <c:v>0.21494382244817012</c:v>
                </c:pt>
                <c:pt idx="135">
                  <c:v>0.21638177358238264</c:v>
                </c:pt>
                <c:pt idx="136">
                  <c:v>0.21781709088792978</c:v>
                </c:pt>
                <c:pt idx="137">
                  <c:v>0.21924977918907385</c:v>
                </c:pt>
                <c:pt idx="138">
                  <c:v>0.22067984330124069</c:v>
                </c:pt>
                <c:pt idx="139">
                  <c:v>0.22210728803103608</c:v>
                </c:pt>
                <c:pt idx="140">
                  <c:v>0.22353211817626173</c:v>
                </c:pt>
                <c:pt idx="141">
                  <c:v>0.22495433852593139</c:v>
                </c:pt>
                <c:pt idx="142">
                  <c:v>0.22637395386028691</c:v>
                </c:pt>
                <c:pt idx="143">
                  <c:v>0.22779096895081463</c:v>
                </c:pt>
                <c:pt idx="144">
                  <c:v>0.22920538856026107</c:v>
                </c:pt>
                <c:pt idx="145">
                  <c:v>0.23061721744264885</c:v>
                </c:pt>
                <c:pt idx="146">
                  <c:v>0.23202646034329333</c:v>
                </c:pt>
                <c:pt idx="147">
                  <c:v>0.23343312199881761</c:v>
                </c:pt>
                <c:pt idx="148">
                  <c:v>0.23483720713716905</c:v>
                </c:pt>
                <c:pt idx="149">
                  <c:v>0.23623872047763528</c:v>
                </c:pt>
                <c:pt idx="150">
                  <c:v>0.23763766673085973</c:v>
                </c:pt>
                <c:pt idx="151">
                  <c:v>0.23903405059885741</c:v>
                </c:pt>
                <c:pt idx="152">
                  <c:v>0.24042787677503097</c:v>
                </c:pt>
                <c:pt idx="153">
                  <c:v>0.24181914994418641</c:v>
                </c:pt>
                <c:pt idx="154">
                  <c:v>0.24320787478254879</c:v>
                </c:pt>
                <c:pt idx="155">
                  <c:v>0.24459405595777772</c:v>
                </c:pt>
                <c:pt idx="156">
                  <c:v>0.24597769812898362</c:v>
                </c:pt>
                <c:pt idx="157">
                  <c:v>0.24735880594674275</c:v>
                </c:pt>
                <c:pt idx="158">
                  <c:v>0.24873738405311341</c:v>
                </c:pt>
                <c:pt idx="159">
                  <c:v>0.25011343708165101</c:v>
                </c:pt>
                <c:pt idx="160">
                  <c:v>0.2514869696574239</c:v>
                </c:pt>
                <c:pt idx="161">
                  <c:v>0.25285798639702906</c:v>
                </c:pt>
                <c:pt idx="162">
                  <c:v>0.25422649190860724</c:v>
                </c:pt>
                <c:pt idx="163">
                  <c:v>0.25559249079185908</c:v>
                </c:pt>
                <c:pt idx="164">
                  <c:v>0.2569559876380596</c:v>
                </c:pt>
                <c:pt idx="165">
                  <c:v>0.25831698703007466</c:v>
                </c:pt>
                <c:pt idx="166">
                  <c:v>0.25967549354237573</c:v>
                </c:pt>
                <c:pt idx="167">
                  <c:v>0.26103151174105532</c:v>
                </c:pt>
                <c:pt idx="168">
                  <c:v>0.26238504618384251</c:v>
                </c:pt>
                <c:pt idx="169">
                  <c:v>0.26373610142011839</c:v>
                </c:pt>
                <c:pt idx="170">
                  <c:v>0.26508468199093083</c:v>
                </c:pt>
                <c:pt idx="171">
                  <c:v>0.26643079242901035</c:v>
                </c:pt>
                <c:pt idx="172">
                  <c:v>0.26777443725878503</c:v>
                </c:pt>
                <c:pt idx="173">
                  <c:v>0.26911562099639552</c:v>
                </c:pt>
                <c:pt idx="174">
                  <c:v>0.2704543481497107</c:v>
                </c:pt>
                <c:pt idx="175">
                  <c:v>0.27179062321834269</c:v>
                </c:pt>
                <c:pt idx="176">
                  <c:v>0.27312445069366142</c:v>
                </c:pt>
                <c:pt idx="177">
                  <c:v>0.27445583505881088</c:v>
                </c:pt>
                <c:pt idx="178">
                  <c:v>0.27578478078872271</c:v>
                </c:pt>
                <c:pt idx="179">
                  <c:v>0.27711129235013277</c:v>
                </c:pt>
                <c:pt idx="180">
                  <c:v>0.27843537420159492</c:v>
                </c:pt>
                <c:pt idx="181">
                  <c:v>0.27975703079349656</c:v>
                </c:pt>
                <c:pt idx="182">
                  <c:v>0.28107626656807361</c:v>
                </c:pt>
                <c:pt idx="183">
                  <c:v>0.28239308595942547</c:v>
                </c:pt>
                <c:pt idx="184">
                  <c:v>0.28370749339352952</c:v>
                </c:pt>
                <c:pt idx="185">
                  <c:v>0.28501949328825649</c:v>
                </c:pt>
                <c:pt idx="186">
                  <c:v>0.28632909005338503</c:v>
                </c:pt>
                <c:pt idx="187">
                  <c:v>0.28763628809061648</c:v>
                </c:pt>
                <c:pt idx="188">
                  <c:v>0.28894109179359018</c:v>
                </c:pt>
                <c:pt idx="189">
                  <c:v>0.29024350554789746</c:v>
                </c:pt>
                <c:pt idx="190">
                  <c:v>0.29154353373109676</c:v>
                </c:pt>
                <c:pt idx="191">
                  <c:v>0.29284118071272869</c:v>
                </c:pt>
                <c:pt idx="192">
                  <c:v>0.29413645085432993</c:v>
                </c:pt>
                <c:pt idx="193">
                  <c:v>0.2954293485094488</c:v>
                </c:pt>
                <c:pt idx="194">
                  <c:v>0.29671987802365918</c:v>
                </c:pt>
                <c:pt idx="195">
                  <c:v>0.29800804373457512</c:v>
                </c:pt>
                <c:pt idx="196">
                  <c:v>0.29929384997186603</c:v>
                </c:pt>
                <c:pt idx="197">
                  <c:v>0.30057730105727098</c:v>
                </c:pt>
                <c:pt idx="198">
                  <c:v>0.30185840130461261</c:v>
                </c:pt>
                <c:pt idx="199">
                  <c:v>0.30313715501981242</c:v>
                </c:pt>
                <c:pt idx="200">
                  <c:v>0.30441356650090512</c:v>
                </c:pt>
                <c:pt idx="201">
                  <c:v>0.30568764003805249</c:v>
                </c:pt>
                <c:pt idx="202">
                  <c:v>0.30695937991355871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191664"/>
        <c:axId val="347192840"/>
      </c:scatterChart>
      <c:valAx>
        <c:axId val="34719166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>
            <c:manualLayout>
              <c:xMode val="edge"/>
              <c:yMode val="edge"/>
              <c:x val="0.46782125719133599"/>
              <c:y val="0.876265298330364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347192840"/>
        <c:crosses val="autoZero"/>
        <c:crossBetween val="midCat"/>
      </c:valAx>
      <c:valAx>
        <c:axId val="3471928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>
            <c:manualLayout>
              <c:xMode val="edge"/>
              <c:yMode val="edge"/>
              <c:x val="2.6936019789979084E-2"/>
              <c:y val="0.1256947178477690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34719166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7097406331873"/>
          <c:y val="0.1814880381609979"/>
          <c:w val="0.79601755145800646"/>
          <c:h val="0.601113366043897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Spreadsheet12.2!$F$10</c:f>
              <c:strCache>
                <c:ptCount val="1"/>
                <c:pt idx="0">
                  <c:v>Credit spread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Spreadsheet12.2!$E$11:$E$213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Spreadsheet12.2!$F$11:$F$213</c:f>
              <c:numCache>
                <c:formatCode>0</c:formatCode>
                <c:ptCount val="203"/>
                <c:pt idx="0">
                  <c:v>140.09683084487915</c:v>
                </c:pt>
                <c:pt idx="1">
                  <c:v>140.67216645497084</c:v>
                </c:pt>
                <c:pt idx="2">
                  <c:v>141.23516711854936</c:v>
                </c:pt>
                <c:pt idx="3">
                  <c:v>141.78648204332589</c:v>
                </c:pt>
                <c:pt idx="4">
                  <c:v>142.32676043701173</c:v>
                </c:pt>
                <c:pt idx="5">
                  <c:v>142.32676043701173</c:v>
                </c:pt>
                <c:pt idx="6">
                  <c:v>142.85665150731802</c:v>
                </c:pt>
                <c:pt idx="7">
                  <c:v>142.85665150731802</c:v>
                </c:pt>
                <c:pt idx="8">
                  <c:v>143.37680446195603</c:v>
                </c:pt>
                <c:pt idx="9">
                  <c:v>143.88786850863696</c:v>
                </c:pt>
                <c:pt idx="10">
                  <c:v>144.39049285507201</c:v>
                </c:pt>
                <c:pt idx="11">
                  <c:v>144.88532670897246</c:v>
                </c:pt>
                <c:pt idx="12">
                  <c:v>145.37301927804947</c:v>
                </c:pt>
                <c:pt idx="13">
                  <c:v>145.85421977001428</c:v>
                </c:pt>
                <c:pt idx="14">
                  <c:v>146.32957739257813</c:v>
                </c:pt>
                <c:pt idx="15">
                  <c:v>146.79974135345222</c:v>
                </c:pt>
                <c:pt idx="16">
                  <c:v>147.26536086034776</c:v>
                </c:pt>
                <c:pt idx="17">
                  <c:v>147.72708512097597</c:v>
                </c:pt>
                <c:pt idx="18">
                  <c:v>148.1855633430481</c:v>
                </c:pt>
                <c:pt idx="19">
                  <c:v>148.64144473427538</c:v>
                </c:pt>
                <c:pt idx="20">
                  <c:v>149.09537850236896</c:v>
                </c:pt>
                <c:pt idx="21">
                  <c:v>149.5480138550401</c:v>
                </c:pt>
                <c:pt idx="22">
                  <c:v>150.00000000000003</c:v>
                </c:pt>
                <c:pt idx="23">
                  <c:v>150.45198614495996</c:v>
                </c:pt>
                <c:pt idx="24">
                  <c:v>150.9046214976311</c:v>
                </c:pt>
                <c:pt idx="25">
                  <c:v>151.35855526572468</c:v>
                </c:pt>
                <c:pt idx="26">
                  <c:v>151.81443665695193</c:v>
                </c:pt>
                <c:pt idx="27">
                  <c:v>152.27291487902406</c:v>
                </c:pt>
                <c:pt idx="28">
                  <c:v>152.7346391396523</c:v>
                </c:pt>
                <c:pt idx="29">
                  <c:v>153.20025864654784</c:v>
                </c:pt>
                <c:pt idx="30">
                  <c:v>153.67042260742193</c:v>
                </c:pt>
                <c:pt idx="31">
                  <c:v>154.14578022998577</c:v>
                </c:pt>
                <c:pt idx="32">
                  <c:v>154.62698072195059</c:v>
                </c:pt>
                <c:pt idx="33">
                  <c:v>155.1146732910276</c:v>
                </c:pt>
                <c:pt idx="34">
                  <c:v>155.60950714492805</c:v>
                </c:pt>
                <c:pt idx="35">
                  <c:v>156.1121314913631</c:v>
                </c:pt>
                <c:pt idx="36">
                  <c:v>156.62319553804403</c:v>
                </c:pt>
                <c:pt idx="37">
                  <c:v>157.14334849268204</c:v>
                </c:pt>
                <c:pt idx="38">
                  <c:v>157.67323956298836</c:v>
                </c:pt>
                <c:pt idx="39">
                  <c:v>158.2135179566742</c:v>
                </c:pt>
                <c:pt idx="40">
                  <c:v>158.76483288145073</c:v>
                </c:pt>
                <c:pt idx="41">
                  <c:v>159.32783354502928</c:v>
                </c:pt>
                <c:pt idx="42">
                  <c:v>159.90316915512091</c:v>
                </c:pt>
                <c:pt idx="43">
                  <c:v>160.49148891943699</c:v>
                </c:pt>
                <c:pt idx="44">
                  <c:v>161.09344204568868</c:v>
                </c:pt>
                <c:pt idx="45">
                  <c:v>161.7096777415872</c:v>
                </c:pt>
                <c:pt idx="46">
                  <c:v>162.34084521484374</c:v>
                </c:pt>
                <c:pt idx="47">
                  <c:v>162.98759367316961</c:v>
                </c:pt>
                <c:pt idx="48">
                  <c:v>163.65057232427597</c:v>
                </c:pt>
                <c:pt idx="49">
                  <c:v>164.33043037587402</c:v>
                </c:pt>
                <c:pt idx="50">
                  <c:v>165.02781703567499</c:v>
                </c:pt>
                <c:pt idx="51">
                  <c:v>165.74338151139014</c:v>
                </c:pt>
                <c:pt idx="52">
                  <c:v>166.47777301073066</c:v>
                </c:pt>
                <c:pt idx="53">
                  <c:v>167.23164074140777</c:v>
                </c:pt>
                <c:pt idx="54">
                  <c:v>168.00563391113269</c:v>
                </c:pt>
                <c:pt idx="55">
                  <c:v>168.80040172761667</c:v>
                </c:pt>
                <c:pt idx="56">
                  <c:v>169.61659339857087</c:v>
                </c:pt>
                <c:pt idx="57">
                  <c:v>170.45485813170657</c:v>
                </c:pt>
                <c:pt idx="58">
                  <c:v>171.31584513473493</c:v>
                </c:pt>
                <c:pt idx="59">
                  <c:v>172.2002036153672</c:v>
                </c:pt>
                <c:pt idx="60">
                  <c:v>173.10858278131462</c:v>
                </c:pt>
                <c:pt idx="61">
                  <c:v>174.0416318402884</c:v>
                </c:pt>
                <c:pt idx="62">
                  <c:v>174.99999999999972</c:v>
                </c:pt>
                <c:pt idx="63">
                  <c:v>175.98400009796626</c:v>
                </c:pt>
                <c:pt idx="64">
                  <c:v>176.99259671325368</c:v>
                </c:pt>
                <c:pt idx="65">
                  <c:v>178.02442027664657</c:v>
                </c:pt>
                <c:pt idx="66">
                  <c:v>179.07809839671617</c:v>
                </c:pt>
                <c:pt idx="67">
                  <c:v>180.15226127207239</c:v>
                </c:pt>
                <c:pt idx="68">
                  <c:v>181.24553721916158</c:v>
                </c:pt>
                <c:pt idx="69">
                  <c:v>182.35655477112653</c:v>
                </c:pt>
                <c:pt idx="70">
                  <c:v>183.4839438015324</c:v>
                </c:pt>
                <c:pt idx="71">
                  <c:v>184.62633246069171</c:v>
                </c:pt>
                <c:pt idx="72">
                  <c:v>185.78235042095136</c:v>
                </c:pt>
                <c:pt idx="73">
                  <c:v>186.95063389515329</c:v>
                </c:pt>
                <c:pt idx="74">
                  <c:v>188.12978876430108</c:v>
                </c:pt>
                <c:pt idx="75">
                  <c:v>189.31846731031561</c:v>
                </c:pt>
                <c:pt idx="76">
                  <c:v>190.51528288906979</c:v>
                </c:pt>
                <c:pt idx="77">
                  <c:v>191.71888761222306</c:v>
                </c:pt>
                <c:pt idx="78">
                  <c:v>192.92789503273877</c:v>
                </c:pt>
                <c:pt idx="79">
                  <c:v>194.14091885836376</c:v>
                </c:pt>
                <c:pt idx="80">
                  <c:v>195.35661096858257</c:v>
                </c:pt>
                <c:pt idx="81">
                  <c:v>196.57358510622601</c:v>
                </c:pt>
                <c:pt idx="82">
                  <c:v>197.79049301147393</c:v>
                </c:pt>
                <c:pt idx="83">
                  <c:v>199.00594086419036</c:v>
                </c:pt>
                <c:pt idx="84">
                  <c:v>200.21856521890109</c:v>
                </c:pt>
                <c:pt idx="85">
                  <c:v>201.42699494191976</c:v>
                </c:pt>
                <c:pt idx="86">
                  <c:v>202.62985917043051</c:v>
                </c:pt>
                <c:pt idx="87">
                  <c:v>203.82578678429047</c:v>
                </c:pt>
                <c:pt idx="88">
                  <c:v>205.01340674436005</c:v>
                </c:pt>
                <c:pt idx="89">
                  <c:v>206.19134419680228</c:v>
                </c:pt>
                <c:pt idx="90">
                  <c:v>207.35824321061094</c:v>
                </c:pt>
                <c:pt idx="91">
                  <c:v>208.51271015087403</c:v>
                </c:pt>
                <c:pt idx="92">
                  <c:v>209.65338909625922</c:v>
                </c:pt>
                <c:pt idx="93">
                  <c:v>210.77890519292961</c:v>
                </c:pt>
                <c:pt idx="94">
                  <c:v>211.88788731093945</c:v>
                </c:pt>
                <c:pt idx="95">
                  <c:v>212.97896458985912</c:v>
                </c:pt>
                <c:pt idx="96">
                  <c:v>214.05076771415705</c:v>
                </c:pt>
                <c:pt idx="97">
                  <c:v>215.10192011296658</c:v>
                </c:pt>
                <c:pt idx="98">
                  <c:v>216.13105632543895</c:v>
                </c:pt>
                <c:pt idx="99">
                  <c:v>217.1368044074525</c:v>
                </c:pt>
                <c:pt idx="100">
                  <c:v>218.11779048502873</c:v>
                </c:pt>
                <c:pt idx="101">
                  <c:v>219.07264634244348</c:v>
                </c:pt>
                <c:pt idx="102">
                  <c:v>219.99999999999883</c:v>
                </c:pt>
                <c:pt idx="103">
                  <c:v>220.89881126654461</c:v>
                </c:pt>
                <c:pt idx="104">
                  <c:v>221.76936632832104</c:v>
                </c:pt>
                <c:pt idx="105">
                  <c:v>222.61227974865668</c:v>
                </c:pt>
                <c:pt idx="106">
                  <c:v>223.42816922879874</c:v>
                </c:pt>
                <c:pt idx="107">
                  <c:v>224.21764959022275</c:v>
                </c:pt>
                <c:pt idx="108">
                  <c:v>224.98133774711474</c:v>
                </c:pt>
                <c:pt idx="109">
                  <c:v>225.71985037272378</c:v>
                </c:pt>
                <c:pt idx="110">
                  <c:v>226.43380264993095</c:v>
                </c:pt>
                <c:pt idx="111">
                  <c:v>227.12381167764076</c:v>
                </c:pt>
                <c:pt idx="112">
                  <c:v>227.7904928624616</c:v>
                </c:pt>
                <c:pt idx="113">
                  <c:v>228.43446282171067</c:v>
                </c:pt>
                <c:pt idx="114">
                  <c:v>229.0563379661877</c:v>
                </c:pt>
                <c:pt idx="115">
                  <c:v>229.65673401227727</c:v>
                </c:pt>
                <c:pt idx="116">
                  <c:v>230.23626754259018</c:v>
                </c:pt>
                <c:pt idx="117">
                  <c:v>230.79555446281881</c:v>
                </c:pt>
                <c:pt idx="118">
                  <c:v>231.33521113643584</c:v>
                </c:pt>
                <c:pt idx="119">
                  <c:v>231.8558537548162</c:v>
                </c:pt>
                <c:pt idx="120">
                  <c:v>232.35809848179906</c:v>
                </c:pt>
                <c:pt idx="121">
                  <c:v>232.84255384035592</c:v>
                </c:pt>
                <c:pt idx="122">
                  <c:v>233.3098590373977</c:v>
                </c:pt>
                <c:pt idx="123">
                  <c:v>233.76060726324806</c:v>
                </c:pt>
                <c:pt idx="124">
                  <c:v>234.19542238471266</c:v>
                </c:pt>
                <c:pt idx="125">
                  <c:v>234.61492070459971</c:v>
                </c:pt>
                <c:pt idx="126">
                  <c:v>235.01971822454615</c:v>
                </c:pt>
                <c:pt idx="127">
                  <c:v>235.41043123230168</c:v>
                </c:pt>
                <c:pt idx="128">
                  <c:v>235.78767592555138</c:v>
                </c:pt>
                <c:pt idx="129">
                  <c:v>236.15206850198044</c:v>
                </c:pt>
                <c:pt idx="130">
                  <c:v>236.50422532678257</c:v>
                </c:pt>
                <c:pt idx="131">
                  <c:v>236.84476227252125</c:v>
                </c:pt>
                <c:pt idx="132">
                  <c:v>237.17429569363412</c:v>
                </c:pt>
                <c:pt idx="133">
                  <c:v>237.49344178780635</c:v>
                </c:pt>
                <c:pt idx="134">
                  <c:v>237.80281685368706</c:v>
                </c:pt>
                <c:pt idx="135">
                  <c:v>238.10303689026009</c:v>
                </c:pt>
                <c:pt idx="136">
                  <c:v>238.39471829950509</c:v>
                </c:pt>
                <c:pt idx="137">
                  <c:v>238.67847706749842</c:v>
                </c:pt>
                <c:pt idx="138">
                  <c:v>238.95492955176124</c:v>
                </c:pt>
                <c:pt idx="139">
                  <c:v>239.22469189583941</c:v>
                </c:pt>
                <c:pt idx="140">
                  <c:v>239.48838026830489</c:v>
                </c:pt>
                <c:pt idx="141">
                  <c:v>239.74661090865723</c:v>
                </c:pt>
                <c:pt idx="142">
                  <c:v>239.99999999999861</c:v>
                </c:pt>
                <c:pt idx="143">
                  <c:v>240.24907268746131</c:v>
                </c:pt>
                <c:pt idx="144">
                  <c:v>240.49399072600386</c:v>
                </c:pt>
                <c:pt idx="145">
                  <c:v>240.7348239784688</c:v>
                </c:pt>
                <c:pt idx="146">
                  <c:v>240.97164315442043</c:v>
                </c:pt>
                <c:pt idx="147">
                  <c:v>241.20451867618743</c:v>
                </c:pt>
                <c:pt idx="148">
                  <c:v>241.43352118218633</c:v>
                </c:pt>
                <c:pt idx="149">
                  <c:v>241.65872064909621</c:v>
                </c:pt>
                <c:pt idx="150">
                  <c:v>241.8801877290594</c:v>
                </c:pt>
                <c:pt idx="151">
                  <c:v>242.09799284440462</c:v>
                </c:pt>
                <c:pt idx="152">
                  <c:v>242.31220658116339</c:v>
                </c:pt>
                <c:pt idx="153">
                  <c:v>242.52289902179214</c:v>
                </c:pt>
                <c:pt idx="154">
                  <c:v>242.73014076504077</c:v>
                </c:pt>
                <c:pt idx="155">
                  <c:v>242.93400223323809</c:v>
                </c:pt>
                <c:pt idx="156">
                  <c:v>243.1345539640603</c:v>
                </c:pt>
                <c:pt idx="157">
                  <c:v>243.33186613768177</c:v>
                </c:pt>
                <c:pt idx="158">
                  <c:v>243.52600930348981</c:v>
                </c:pt>
                <c:pt idx="159">
                  <c:v>243.71705396553861</c:v>
                </c:pt>
                <c:pt idx="160">
                  <c:v>243.90507037200226</c:v>
                </c:pt>
                <c:pt idx="161">
                  <c:v>244.09012903789034</c:v>
                </c:pt>
                <c:pt idx="162">
                  <c:v>244.27230038553168</c:v>
                </c:pt>
                <c:pt idx="163">
                  <c:v>244.4516548776769</c:v>
                </c:pt>
                <c:pt idx="164">
                  <c:v>244.62826284611452</c:v>
                </c:pt>
                <c:pt idx="165">
                  <c:v>244.80219476354324</c:v>
                </c:pt>
                <c:pt idx="166">
                  <c:v>244.97352105229183</c:v>
                </c:pt>
                <c:pt idx="167">
                  <c:v>245.14231213783705</c:v>
                </c:pt>
                <c:pt idx="168">
                  <c:v>245.30863842752251</c:v>
                </c:pt>
                <c:pt idx="169">
                  <c:v>245.47257035576573</c:v>
                </c:pt>
                <c:pt idx="170">
                  <c:v>245.63417834489542</c:v>
                </c:pt>
                <c:pt idx="171">
                  <c:v>245.79353278714407</c:v>
                </c:pt>
                <c:pt idx="172">
                  <c:v>245.95070415735125</c:v>
                </c:pt>
                <c:pt idx="173">
                  <c:v>246.10576283307927</c:v>
                </c:pt>
                <c:pt idx="174">
                  <c:v>246.25877927827503</c:v>
                </c:pt>
                <c:pt idx="175">
                  <c:v>246.40982386672312</c:v>
                </c:pt>
                <c:pt idx="176">
                  <c:v>246.55896707672596</c:v>
                </c:pt>
                <c:pt idx="177">
                  <c:v>246.70627926821632</c:v>
                </c:pt>
                <c:pt idx="178">
                  <c:v>246.85183093284471</c:v>
                </c:pt>
                <c:pt idx="179">
                  <c:v>246.99569241769947</c:v>
                </c:pt>
                <c:pt idx="180">
                  <c:v>247.1379342267719</c:v>
                </c:pt>
                <c:pt idx="181">
                  <c:v>247.27862669531328</c:v>
                </c:pt>
                <c:pt idx="182">
                  <c:v>247.41784033864815</c:v>
                </c:pt>
                <c:pt idx="183">
                  <c:v>247.55564548119835</c:v>
                </c:pt>
                <c:pt idx="184">
                  <c:v>247.6921126486142</c:v>
                </c:pt>
                <c:pt idx="185">
                  <c:v>247.82731215549538</c:v>
                </c:pt>
                <c:pt idx="186">
                  <c:v>247.96131453681068</c:v>
                </c:pt>
                <c:pt idx="187">
                  <c:v>248.09419009834497</c:v>
                </c:pt>
                <c:pt idx="188">
                  <c:v>248.22600935177095</c:v>
                </c:pt>
                <c:pt idx="189">
                  <c:v>248.35684268988786</c:v>
                </c:pt>
                <c:pt idx="190">
                  <c:v>248.48676053521319</c:v>
                </c:pt>
                <c:pt idx="191">
                  <c:v>248.61583331026458</c:v>
                </c:pt>
                <c:pt idx="192">
                  <c:v>248.74413143755964</c:v>
                </c:pt>
                <c:pt idx="193">
                  <c:v>248.87172533961589</c:v>
                </c:pt>
                <c:pt idx="194">
                  <c:v>248.99868543895099</c:v>
                </c:pt>
                <c:pt idx="195">
                  <c:v>249.12508213996492</c:v>
                </c:pt>
                <c:pt idx="196">
                  <c:v>249.25098590120569</c:v>
                </c:pt>
                <c:pt idx="197">
                  <c:v>249.37646712730952</c:v>
                </c:pt>
                <c:pt idx="198">
                  <c:v>249.50159624079396</c:v>
                </c:pt>
                <c:pt idx="199">
                  <c:v>249.62644365480298</c:v>
                </c:pt>
                <c:pt idx="200">
                  <c:v>249.75107981056203</c:v>
                </c:pt>
                <c:pt idx="201">
                  <c:v>249.87557511655194</c:v>
                </c:pt>
                <c:pt idx="202">
                  <c:v>250.00000000000003</c:v>
                </c:pt>
              </c:numCache>
            </c:numRef>
          </c:yVal>
          <c:smooth val="1"/>
        </c:ser>
        <c:ser>
          <c:idx val="1"/>
          <c:order val="1"/>
          <c:tx>
            <c:v>points</c:v>
          </c:tx>
          <c:spPr>
            <a:ln>
              <a:noFill/>
            </a:ln>
          </c:spPr>
          <c:xVal>
            <c:numRef>
              <c:f>Spreadsheet12.2!$B$34:$B$38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</c:numCache>
            </c:numRef>
          </c:xVal>
          <c:yVal>
            <c:numRef>
              <c:f>Spreadsheet12.2!$C$11:$C$15</c:f>
              <c:numCache>
                <c:formatCode>0</c:formatCode>
                <c:ptCount val="5"/>
                <c:pt idx="0">
                  <c:v>150</c:v>
                </c:pt>
                <c:pt idx="1">
                  <c:v>175</c:v>
                </c:pt>
                <c:pt idx="2">
                  <c:v>220</c:v>
                </c:pt>
                <c:pt idx="3">
                  <c:v>240</c:v>
                </c:pt>
                <c:pt idx="4">
                  <c:v>250</c:v>
                </c:pt>
              </c:numCache>
            </c:numRef>
          </c:yVal>
          <c:smooth val="1"/>
        </c:ser>
        <c:ser>
          <c:idx val="2"/>
          <c:order val="2"/>
          <c:tx>
            <c:v>Flat Curve</c:v>
          </c:tx>
          <c:spPr>
            <a:ln w="19050"/>
          </c:spPr>
          <c:marker>
            <c:symbol val="none"/>
          </c:marker>
          <c:xVal>
            <c:numRef>
              <c:f>Spreadsheet12.2!$B$33:$B$38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</c:numCache>
            </c:numRef>
          </c:xVal>
          <c:yVal>
            <c:numRef>
              <c:f>Spreadsheet12.2!$C$33:$C$38</c:f>
              <c:numCache>
                <c:formatCode>_-* #,##0_-;\-* #,##0_-;_-* "-"??_-;_-@_-</c:formatCode>
                <c:ptCount val="6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194408"/>
        <c:axId val="347194800"/>
      </c:scatterChart>
      <c:valAx>
        <c:axId val="34719440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>
            <c:manualLayout>
              <c:xMode val="edge"/>
              <c:yMode val="edge"/>
              <c:x val="0.47273708210716087"/>
              <c:y val="0.88210045380969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347194800"/>
        <c:crosses val="autoZero"/>
        <c:crossBetween val="midCat"/>
      </c:valAx>
      <c:valAx>
        <c:axId val="3471948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Credit spread (bps)</a:t>
                </a:r>
              </a:p>
            </c:rich>
          </c:tx>
          <c:layout>
            <c:manualLayout>
              <c:xMode val="edge"/>
              <c:yMode val="edge"/>
              <c:x val="2.0924717593348623E-2"/>
              <c:y val="0.2541592847769028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34719440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361950</xdr:colOff>
      <xdr:row>7</xdr:row>
      <xdr:rowOff>0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0" y="9525"/>
          <a:ext cx="5448300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Implied Default Probabilities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alculation of implied default probability and calculation via piecewise constant hazard rates. The accurate calculation and approximation (equation 12.1) are shown.</a:t>
          </a:r>
        </a:p>
      </xdr:txBody>
    </xdr:sp>
    <xdr:clientData/>
  </xdr:twoCellAnchor>
  <xdr:twoCellAnchor>
    <xdr:from>
      <xdr:col>8</xdr:col>
      <xdr:colOff>533400</xdr:colOff>
      <xdr:row>2</xdr:row>
      <xdr:rowOff>114300</xdr:rowOff>
    </xdr:from>
    <xdr:to>
      <xdr:col>10</xdr:col>
      <xdr:colOff>314325</xdr:colOff>
      <xdr:row>5</xdr:row>
      <xdr:rowOff>66675</xdr:rowOff>
    </xdr:to>
    <xdr:sp macro="" textlink="">
      <xdr:nvSpPr>
        <xdr:cNvPr id="5122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5619750" y="438150"/>
          <a:ext cx="13906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8</xdr:row>
          <xdr:rowOff>38100</xdr:rowOff>
        </xdr:from>
        <xdr:to>
          <xdr:col>8</xdr:col>
          <xdr:colOff>274320</xdr:colOff>
          <xdr:row>9</xdr:row>
          <xdr:rowOff>76200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140970</xdr:colOff>
      <xdr:row>16</xdr:row>
      <xdr:rowOff>45720</xdr:rowOff>
    </xdr:from>
    <xdr:to>
      <xdr:col>8</xdr:col>
      <xdr:colOff>99060</xdr:colOff>
      <xdr:row>30</xdr:row>
      <xdr:rowOff>130740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99060</xdr:colOff>
      <xdr:row>16</xdr:row>
      <xdr:rowOff>45720</xdr:rowOff>
    </xdr:from>
    <xdr:to>
      <xdr:col>14</xdr:col>
      <xdr:colOff>426720</xdr:colOff>
      <xdr:row>30</xdr:row>
      <xdr:rowOff>130740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10</xdr:col>
      <xdr:colOff>219074</xdr:colOff>
      <xdr:row>7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0" y="9525"/>
          <a:ext cx="7019924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Credit Curve Shape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Example of default probability calculation for different credit curve shapes. Uses approximate default probability formula. Compares to a flat credit curve based on the 5-year point.</a:t>
          </a:r>
        </a:p>
      </xdr:txBody>
    </xdr:sp>
    <xdr:clientData/>
  </xdr:twoCellAnchor>
  <xdr:twoCellAnchor>
    <xdr:from>
      <xdr:col>10</xdr:col>
      <xdr:colOff>314325</xdr:colOff>
      <xdr:row>2</xdr:row>
      <xdr:rowOff>114300</xdr:rowOff>
    </xdr:from>
    <xdr:to>
      <xdr:col>14</xdr:col>
      <xdr:colOff>9525</xdr:colOff>
      <xdr:row>5</xdr:row>
      <xdr:rowOff>66675</xdr:rowOff>
    </xdr:to>
    <xdr:sp macro="" textlink="">
      <xdr:nvSpPr>
        <xdr:cNvPr id="3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7115175" y="438150"/>
          <a:ext cx="25622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6</xdr:col>
      <xdr:colOff>78104</xdr:colOff>
      <xdr:row>15</xdr:row>
      <xdr:rowOff>53341</xdr:rowOff>
    </xdr:from>
    <xdr:to>
      <xdr:col>12</xdr:col>
      <xdr:colOff>196214</xdr:colOff>
      <xdr:row>29</xdr:row>
      <xdr:rowOff>144781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127634</xdr:colOff>
      <xdr:row>15</xdr:row>
      <xdr:rowOff>56199</xdr:rowOff>
    </xdr:from>
    <xdr:to>
      <xdr:col>6</xdr:col>
      <xdr:colOff>78104</xdr:colOff>
      <xdr:row>29</xdr:row>
      <xdr:rowOff>147639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LFSModernCreditDerivs/LFS_CD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LFSRiskManagement/LFS_RM_Examples_Day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QTinRM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QTinRM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StructuringandPricingCreditDerivs/CreditDerivsExamplesNew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con422PresentValueProblem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BlackModel"/>
      <sheetName val="BasketAnalytical"/>
      <sheetName val="IndexBasis"/>
      <sheetName val="HistoricalDefProbs"/>
      <sheetName val="Sheet1"/>
      <sheetName val="ImpliedDefProb"/>
      <sheetName val="CDSCntrptyRisk"/>
    </sheetNames>
    <sheetDataSet>
      <sheetData sheetId="0"/>
      <sheetData sheetId="1">
        <row r="13">
          <cell r="D13">
            <v>100</v>
          </cell>
        </row>
        <row r="14">
          <cell r="D14">
            <v>100</v>
          </cell>
        </row>
        <row r="20">
          <cell r="D20">
            <v>1.666666666666667E-2</v>
          </cell>
        </row>
        <row r="21">
          <cell r="D21">
            <v>0.96739522452573312</v>
          </cell>
        </row>
        <row r="24">
          <cell r="D24">
            <v>15.851941887820601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C8">
            <v>0</v>
          </cell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/>
      <sheetData sheetId="7" refreshError="1">
        <row r="7">
          <cell r="C7">
            <v>125</v>
          </cell>
        </row>
        <row r="8">
          <cell r="C8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</row>
        <row r="8">
          <cell r="G8">
            <v>0.25</v>
          </cell>
        </row>
        <row r="9"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calDefProbs"/>
      <sheetName val="BondReturnAnalysis"/>
      <sheetName val="Merton"/>
      <sheetName val="CreditGrades"/>
      <sheetName val="ImpliedDefProb"/>
      <sheetName val="Portfolio"/>
      <sheetName val="MonteCarlo"/>
      <sheetName val="HomogeneousApproximation"/>
      <sheetName val="ConDefProbs"/>
      <sheetName val="ConditionalNormalApproximation"/>
      <sheetName val="Recursion"/>
      <sheetName val="Compare"/>
      <sheetName val="PortfolioAnalysis"/>
    </sheetNames>
    <sheetDataSet>
      <sheetData sheetId="0" refreshError="1"/>
      <sheetData sheetId="1">
        <row r="13">
          <cell r="C13">
            <v>0.4</v>
          </cell>
        </row>
      </sheetData>
      <sheetData sheetId="2">
        <row r="21">
          <cell r="C21">
            <v>93.195042291177842</v>
          </cell>
        </row>
      </sheetData>
      <sheetData sheetId="3">
        <row r="11">
          <cell r="C11">
            <v>100</v>
          </cell>
        </row>
        <row r="12">
          <cell r="C12">
            <v>0.5</v>
          </cell>
        </row>
        <row r="13">
          <cell r="C13">
            <v>0.3</v>
          </cell>
        </row>
        <row r="14">
          <cell r="C14">
            <v>0.5</v>
          </cell>
        </row>
        <row r="15">
          <cell r="C15">
            <v>100</v>
          </cell>
        </row>
        <row r="16">
          <cell r="C16">
            <v>5</v>
          </cell>
        </row>
        <row r="19">
          <cell r="C19">
            <v>0.33333333333333331</v>
          </cell>
        </row>
        <row r="20">
          <cell r="C20">
            <v>0.80346471954626331</v>
          </cell>
        </row>
        <row r="21">
          <cell r="C21">
            <v>3.2825228511156315</v>
          </cell>
        </row>
      </sheetData>
      <sheetData sheetId="4" refreshError="1"/>
      <sheetData sheetId="5">
        <row r="10">
          <cell r="C10" t="str">
            <v>Notional</v>
          </cell>
          <cell r="E10" t="str">
            <v>Def Prob</v>
          </cell>
          <cell r="F10" t="str">
            <v>Recovery Rate</v>
          </cell>
        </row>
        <row r="12">
          <cell r="J12">
            <v>100</v>
          </cell>
        </row>
        <row r="13">
          <cell r="J13">
            <v>0.25</v>
          </cell>
        </row>
        <row r="14">
          <cell r="J14">
            <v>0</v>
          </cell>
        </row>
        <row r="15">
          <cell r="J15">
            <v>100</v>
          </cell>
        </row>
        <row r="16">
          <cell r="J16">
            <v>3.1738167886524525E-2</v>
          </cell>
        </row>
        <row r="20">
          <cell r="J20">
            <v>0</v>
          </cell>
        </row>
        <row r="21">
          <cell r="J21">
            <v>100</v>
          </cell>
        </row>
      </sheetData>
      <sheetData sheetId="6">
        <row r="11">
          <cell r="C11">
            <v>10000</v>
          </cell>
        </row>
        <row r="12">
          <cell r="C12">
            <v>10121971</v>
          </cell>
        </row>
        <row r="13">
          <cell r="C13">
            <v>10000</v>
          </cell>
        </row>
        <row r="15">
          <cell r="B15" t="str">
            <v>Simulation Output</v>
          </cell>
        </row>
      </sheetData>
      <sheetData sheetId="7" refreshError="1"/>
      <sheetData sheetId="8" refreshError="1"/>
      <sheetData sheetId="9">
        <row r="11">
          <cell r="C11">
            <v>0.23524240416376285</v>
          </cell>
        </row>
        <row r="13">
          <cell r="G13" t="str">
            <v>Marginal ES</v>
          </cell>
        </row>
      </sheetData>
      <sheetData sheetId="10">
        <row r="14">
          <cell r="F14">
            <v>-4.9985686338672064</v>
          </cell>
        </row>
        <row r="17">
          <cell r="E17">
            <v>0.99996345271982934</v>
          </cell>
        </row>
        <row r="121">
          <cell r="B121">
            <v>4.9985686338672064</v>
          </cell>
        </row>
        <row r="124">
          <cell r="CW124">
            <v>0.99996345271982934</v>
          </cell>
        </row>
      </sheetData>
      <sheetData sheetId="11" refreshError="1"/>
      <sheetData sheetId="12">
        <row r="10">
          <cell r="C10" t="str">
            <v>Current</v>
          </cell>
          <cell r="D10" t="str">
            <v>Old</v>
          </cell>
        </row>
        <row r="11">
          <cell r="C11">
            <v>23584.716618927952</v>
          </cell>
        </row>
        <row r="12">
          <cell r="C12">
            <v>0.23524240416376285</v>
          </cell>
        </row>
        <row r="15">
          <cell r="C15" t="str">
            <v>Marginal ES</v>
          </cell>
          <cell r="G15" t="str">
            <v>Old Portfolio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 refreshError="1">
        <row r="8">
          <cell r="D8">
            <v>0.6</v>
          </cell>
        </row>
      </sheetData>
      <sheetData sheetId="6" refreshError="1">
        <row r="8">
          <cell r="D8">
            <v>110</v>
          </cell>
        </row>
        <row r="10">
          <cell r="D10">
            <v>4.3</v>
          </cell>
        </row>
      </sheetData>
      <sheetData sheetId="7" refreshError="1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">
          <cell r="C6">
            <v>0.97</v>
          </cell>
        </row>
      </sheetData>
      <sheetData sheetId="6">
        <row r="7">
          <cell r="C7">
            <v>0.05</v>
          </cell>
        </row>
        <row r="8">
          <cell r="C8">
            <v>0.1</v>
          </cell>
        </row>
      </sheetData>
      <sheetData sheetId="7"/>
      <sheetData sheetId="8">
        <row r="7">
          <cell r="G7">
            <v>0.1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ComputingVolatility"/>
      <sheetName val="Data"/>
      <sheetName val="VarCovarExample"/>
      <sheetName val="HistoricalSimulation"/>
      <sheetName val="MonteCarloSimulation"/>
      <sheetName val="Compare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ImpliedDefProb"/>
      <sheetName val="BaseCorrelation"/>
      <sheetName val="Bespoke"/>
    </sheetNames>
    <sheetDataSet>
      <sheetData sheetId="0" refreshError="1"/>
      <sheetData sheetId="1" refreshError="1"/>
      <sheetData sheetId="2" refreshError="1"/>
      <sheetData sheetId="3">
        <row r="13">
          <cell r="C13">
            <v>1</v>
          </cell>
        </row>
      </sheetData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>
        <row r="16">
          <cell r="C16" t="str">
            <v>Linear</v>
          </cell>
        </row>
      </sheetData>
      <sheetData sheetId="1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8">
          <cell r="G8">
            <v>100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G732"/>
  <sheetViews>
    <sheetView showGridLines="0" tabSelected="1" workbookViewId="0">
      <pane ySplit="7" topLeftCell="A8" activePane="bottomLeft" state="frozen"/>
      <selection pane="bottomLeft" activeCell="P11" sqref="P11"/>
    </sheetView>
  </sheetViews>
  <sheetFormatPr defaultRowHeight="13.2" x14ac:dyDescent="0.25"/>
  <cols>
    <col min="1" max="1" width="5.44140625" customWidth="1"/>
    <col min="2" max="2" width="13" style="2" customWidth="1"/>
    <col min="3" max="3" width="9.44140625" style="2" customWidth="1"/>
    <col min="4" max="4" width="7.5546875" style="2" customWidth="1"/>
    <col min="5" max="5" width="9.5546875" style="2" customWidth="1"/>
    <col min="6" max="6" width="9.33203125" style="2" customWidth="1"/>
    <col min="7" max="7" width="9" style="2" bestFit="1" customWidth="1"/>
    <col min="8" max="8" width="11.5546875" style="2" customWidth="1"/>
    <col min="9" max="9" width="11.6640625" style="2" bestFit="1" customWidth="1"/>
    <col min="10" max="10" width="10.21875" style="2" bestFit="1" customWidth="1"/>
    <col min="11" max="11" width="6" style="2" bestFit="1" customWidth="1"/>
    <col min="12" max="20" width="11.33203125" style="2" bestFit="1" customWidth="1"/>
    <col min="21" max="42" width="12.33203125" style="2" bestFit="1" customWidth="1"/>
    <col min="43" max="110" width="12.33203125" bestFit="1" customWidth="1"/>
    <col min="111" max="111" width="13.44140625" bestFit="1" customWidth="1"/>
  </cols>
  <sheetData>
    <row r="1" spans="1:11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11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</row>
    <row r="3" spans="1:111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11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111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111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11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11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7"/>
      <c r="L8" s="7"/>
      <c r="M8" s="7"/>
      <c r="N8" s="7"/>
      <c r="O8" s="7"/>
      <c r="P8" s="7"/>
      <c r="Q8" s="7"/>
      <c r="R8" s="7"/>
      <c r="S8" s="7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/>
      <c r="AF8"/>
      <c r="AG8"/>
      <c r="AH8"/>
      <c r="AI8"/>
      <c r="AJ8"/>
      <c r="AK8"/>
      <c r="AL8"/>
      <c r="AM8"/>
      <c r="AN8"/>
      <c r="AO8"/>
      <c r="AP8"/>
    </row>
    <row r="9" spans="1:111" s="2" customFormat="1" ht="15" thickBot="1" x14ac:dyDescent="0.35">
      <c r="A9" s="8"/>
      <c r="B9" s="25"/>
      <c r="C9" s="25"/>
      <c r="E9" s="25"/>
      <c r="F9" s="117"/>
      <c r="G9" s="117"/>
      <c r="H9" s="25"/>
      <c r="I9" s="25"/>
      <c r="J9" s="25"/>
      <c r="K9" s="25"/>
      <c r="L9" s="25"/>
      <c r="M9" s="9"/>
      <c r="N9" s="10"/>
      <c r="O9" s="9"/>
      <c r="P9" s="10"/>
      <c r="Q9" s="10"/>
      <c r="R9" s="10"/>
      <c r="S9" s="10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111" s="2" customFormat="1" ht="15" thickBot="1" x14ac:dyDescent="0.35">
      <c r="A10" s="8"/>
      <c r="B10" s="25"/>
      <c r="C10" s="25"/>
      <c r="D10" s="25"/>
      <c r="E10" s="25"/>
      <c r="F10" s="118" t="s">
        <v>0</v>
      </c>
      <c r="G10" s="119"/>
      <c r="H10" s="25"/>
      <c r="I10" s="25"/>
      <c r="J10" s="25"/>
      <c r="K10" s="25"/>
      <c r="L10" s="25"/>
      <c r="M10" s="120" t="s">
        <v>1</v>
      </c>
      <c r="N10" s="121"/>
      <c r="O10" s="23"/>
      <c r="P10" s="23"/>
      <c r="Q10" s="23"/>
      <c r="R10" s="23"/>
      <c r="S10" s="23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</row>
    <row r="11" spans="1:111" s="2" customFormat="1" ht="15" thickBot="1" x14ac:dyDescent="0.35">
      <c r="A11" s="8"/>
      <c r="B11" s="115" t="s">
        <v>2</v>
      </c>
      <c r="C11" s="116"/>
      <c r="D11" s="25"/>
      <c r="E11" s="26"/>
      <c r="F11" s="27" t="s">
        <v>3</v>
      </c>
      <c r="G11" s="28" t="s">
        <v>4</v>
      </c>
      <c r="H11" s="29" t="s">
        <v>5</v>
      </c>
      <c r="I11" s="30" t="s">
        <v>6</v>
      </c>
      <c r="J11" s="31" t="s">
        <v>7</v>
      </c>
      <c r="K11" s="32" t="s">
        <v>8</v>
      </c>
      <c r="L11" s="25"/>
      <c r="M11" s="33" t="s">
        <v>9</v>
      </c>
      <c r="N11" s="28" t="s">
        <v>8</v>
      </c>
      <c r="O11" s="13"/>
      <c r="P11" s="13"/>
      <c r="Q11" s="13"/>
      <c r="R11" s="13"/>
      <c r="S11" s="13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</row>
    <row r="12" spans="1:111" s="2" customFormat="1" ht="14.4" x14ac:dyDescent="0.3">
      <c r="A12" s="8"/>
      <c r="B12" s="34" t="s">
        <v>10</v>
      </c>
      <c r="C12" s="80">
        <v>0.05</v>
      </c>
      <c r="D12" s="25"/>
      <c r="E12" s="35" t="s">
        <v>11</v>
      </c>
      <c r="F12" s="82">
        <v>300</v>
      </c>
      <c r="G12" s="83">
        <v>0</v>
      </c>
      <c r="H12" s="90">
        <v>4.9442860581613443E-2</v>
      </c>
      <c r="I12" s="91">
        <f>SUM($G$32:$G$51)</f>
        <v>0.94010328019388978</v>
      </c>
      <c r="J12" s="92">
        <f>SUM($H$32:$H$51)</f>
        <v>2.8203098405816692E-2</v>
      </c>
      <c r="K12" s="93">
        <f>J12-I12*F12/10000-G12</f>
        <v>-3.4694469519536142E-18</v>
      </c>
      <c r="L12" s="25"/>
      <c r="M12" s="36">
        <v>500</v>
      </c>
      <c r="N12" s="37">
        <f>J12-M12*I12/10000</f>
        <v>-1.8802065603877798E-2</v>
      </c>
      <c r="O12" s="13"/>
      <c r="P12" s="13"/>
      <c r="Q12" s="13"/>
      <c r="R12" s="13"/>
      <c r="S12" s="13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</row>
    <row r="13" spans="1:111" s="2" customFormat="1" ht="15" thickBot="1" x14ac:dyDescent="0.35">
      <c r="A13" s="8"/>
      <c r="B13" s="39" t="s">
        <v>12</v>
      </c>
      <c r="C13" s="81">
        <v>0.4</v>
      </c>
      <c r="D13" s="25"/>
      <c r="E13" s="35" t="s">
        <v>13</v>
      </c>
      <c r="F13" s="82">
        <v>350</v>
      </c>
      <c r="G13" s="83">
        <v>0</v>
      </c>
      <c r="H13" s="90">
        <v>6.6737903612969246E-2</v>
      </c>
      <c r="I13" s="91">
        <f>SUM($G$32:$G$71)</f>
        <v>1.7821904179800345</v>
      </c>
      <c r="J13" s="92">
        <f>SUM($H$32:$H$71)</f>
        <v>6.237666462930104E-2</v>
      </c>
      <c r="K13" s="93">
        <f>J13-I13*F13/10000-G13</f>
        <v>-1.6653345369377348E-16</v>
      </c>
      <c r="L13" s="25"/>
      <c r="M13" s="36">
        <v>500</v>
      </c>
      <c r="N13" s="37">
        <f>J13-M13*I13/10000</f>
        <v>-2.6732856269700678E-2</v>
      </c>
      <c r="O13" s="13"/>
      <c r="P13" s="13"/>
      <c r="Q13" s="13"/>
      <c r="R13" s="13"/>
      <c r="S13" s="13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</row>
    <row r="14" spans="1:111" s="2" customFormat="1" ht="14.4" x14ac:dyDescent="0.3">
      <c r="A14" s="8"/>
      <c r="B14" s="25"/>
      <c r="C14" s="25"/>
      <c r="D14" s="25"/>
      <c r="E14" s="35" t="s">
        <v>14</v>
      </c>
      <c r="F14" s="82">
        <v>400</v>
      </c>
      <c r="G14" s="83">
        <v>0</v>
      </c>
      <c r="H14" s="90">
        <v>8.5363306886951248E-2</v>
      </c>
      <c r="I14" s="91">
        <f>SUM($G$32:$G$91)</f>
        <v>2.5229588602275124</v>
      </c>
      <c r="J14" s="92">
        <f>SUM($H$32:$H$91)</f>
        <v>0.10091835440910034</v>
      </c>
      <c r="K14" s="93">
        <f>J14-I14*F14/10000-G14</f>
        <v>-1.5265566588595902E-16</v>
      </c>
      <c r="L14" s="25"/>
      <c r="M14" s="36">
        <v>500</v>
      </c>
      <c r="N14" s="37">
        <f>J14-M14*I14/10000</f>
        <v>-2.5229588602275296E-2</v>
      </c>
      <c r="O14" s="13"/>
      <c r="P14" s="13"/>
      <c r="Q14" s="13"/>
      <c r="R14" s="13"/>
      <c r="S14" s="13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</row>
    <row r="15" spans="1:111" s="2" customFormat="1" ht="14.4" x14ac:dyDescent="0.3">
      <c r="A15" s="8"/>
      <c r="B15" s="25"/>
      <c r="C15" s="25"/>
      <c r="D15" s="25"/>
      <c r="E15" s="35" t="s">
        <v>15</v>
      </c>
      <c r="F15" s="82">
        <v>450</v>
      </c>
      <c r="G15" s="83">
        <v>0</v>
      </c>
      <c r="H15" s="90">
        <v>0.10595204307066486</v>
      </c>
      <c r="I15" s="91">
        <f>SUM($G$32:$G$111)</f>
        <v>3.1618224883555319</v>
      </c>
      <c r="J15" s="92">
        <f>SUM($H$32:$H$111)</f>
        <v>0.14228201197599838</v>
      </c>
      <c r="K15" s="93">
        <f>J15-I15*F15/10000-G15</f>
        <v>-5.5511151231257827E-16</v>
      </c>
      <c r="L15" s="25"/>
      <c r="M15" s="36">
        <v>500</v>
      </c>
      <c r="N15" s="37">
        <f>J15-M15*I15/10000</f>
        <v>-1.5809112441778211E-2</v>
      </c>
      <c r="O15" s="13"/>
      <c r="P15" s="13"/>
      <c r="Q15" s="13"/>
      <c r="R15" s="13"/>
      <c r="S15" s="13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</row>
    <row r="16" spans="1:111" s="2" customFormat="1" ht="15" thickBot="1" x14ac:dyDescent="0.35">
      <c r="A16" s="8"/>
      <c r="D16" s="25"/>
      <c r="E16" s="39" t="s">
        <v>16</v>
      </c>
      <c r="F16" s="84">
        <v>500</v>
      </c>
      <c r="G16" s="85">
        <v>0</v>
      </c>
      <c r="H16" s="94">
        <v>0.12945272311711337</v>
      </c>
      <c r="I16" s="95">
        <f>SUM($G$32:$G$131)</f>
        <v>3.7006302204428034</v>
      </c>
      <c r="J16" s="96">
        <f>SUM($H$32:$H$131)</f>
        <v>0.18503151102214016</v>
      </c>
      <c r="K16" s="97">
        <f>J16-I16*F16/10000-G16</f>
        <v>0</v>
      </c>
      <c r="L16" s="25"/>
      <c r="M16" s="40">
        <v>500</v>
      </c>
      <c r="N16" s="41">
        <f>J16-M16*I16/10000</f>
        <v>0</v>
      </c>
      <c r="O16" s="13"/>
      <c r="P16" s="13"/>
      <c r="Q16" s="13"/>
      <c r="R16" s="13"/>
      <c r="S16" s="13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</row>
    <row r="17" spans="1:111" s="2" customFormat="1" ht="15" thickBot="1" x14ac:dyDescent="0.35">
      <c r="A17" s="8"/>
      <c r="B17" s="25"/>
      <c r="C17" s="25"/>
      <c r="D17" s="25"/>
      <c r="E17" s="25"/>
      <c r="F17" s="25"/>
      <c r="G17" s="25"/>
      <c r="H17" s="42"/>
      <c r="I17" s="25"/>
      <c r="J17" s="25"/>
      <c r="K17" s="25"/>
      <c r="L17" s="43"/>
      <c r="M17" s="25"/>
      <c r="N17" s="25"/>
      <c r="O17" s="13"/>
      <c r="P17" s="13"/>
      <c r="Q17" s="13"/>
      <c r="R17" s="13"/>
      <c r="S17" s="13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</row>
    <row r="18" spans="1:111" s="2" customFormat="1" ht="15" thickBot="1" x14ac:dyDescent="0.35">
      <c r="A18" s="8"/>
      <c r="B18" s="25"/>
      <c r="C18" s="25"/>
      <c r="D18" s="25"/>
      <c r="E18" s="34"/>
      <c r="F18" s="44" t="s">
        <v>17</v>
      </c>
      <c r="G18" s="44" t="s">
        <v>18</v>
      </c>
      <c r="H18" s="44" t="s">
        <v>38</v>
      </c>
      <c r="I18" s="45" t="s">
        <v>39</v>
      </c>
      <c r="K18" s="25"/>
      <c r="L18" s="46"/>
      <c r="M18" s="25"/>
      <c r="N18" s="25"/>
      <c r="O18" s="13"/>
      <c r="P18" s="13"/>
      <c r="Q18" s="13"/>
      <c r="R18" s="13"/>
      <c r="S18" s="13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</row>
    <row r="19" spans="1:111" s="2" customFormat="1" ht="14.4" x14ac:dyDescent="0.3">
      <c r="A19" s="8"/>
      <c r="B19" s="25"/>
      <c r="C19" s="25"/>
      <c r="D19" s="25"/>
      <c r="E19" s="47" t="s">
        <v>19</v>
      </c>
      <c r="F19" s="98">
        <f>J12/I12*10000</f>
        <v>300</v>
      </c>
      <c r="G19" s="99">
        <f>1-D51</f>
        <v>4.824046043068031E-2</v>
      </c>
      <c r="H19" s="99">
        <f>1-EXP(-F12/10000/(1-Recovery))</f>
        <v>4.8770575499285984E-2</v>
      </c>
      <c r="I19" s="100">
        <f>G19</f>
        <v>4.824046043068031E-2</v>
      </c>
      <c r="K19" s="25"/>
      <c r="L19" s="46"/>
      <c r="M19" s="25"/>
      <c r="N19" s="25"/>
      <c r="O19" s="13"/>
      <c r="P19" s="13"/>
      <c r="Q19" s="13"/>
      <c r="R19" s="13"/>
      <c r="S19" s="13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</row>
    <row r="20" spans="1:111" s="2" customFormat="1" ht="14.4" x14ac:dyDescent="0.3">
      <c r="A20" s="8"/>
      <c r="B20" s="25"/>
      <c r="C20" s="25"/>
      <c r="D20" s="25"/>
      <c r="E20" s="48" t="s">
        <v>20</v>
      </c>
      <c r="F20" s="101">
        <f>J13/I13*10000</f>
        <v>349.99999999999903</v>
      </c>
      <c r="G20" s="102">
        <f>1-D71</f>
        <v>0.10968572819149203</v>
      </c>
      <c r="H20" s="102">
        <f>EXP(-F12/10000/(1-Recovery))-EXP(-2*F13/10000/(1-Recovery))</f>
        <v>6.1347653512690226E-2</v>
      </c>
      <c r="I20" s="103">
        <f>G20-G19</f>
        <v>6.1445267760811717E-2</v>
      </c>
      <c r="K20" s="25"/>
      <c r="L20" s="46"/>
      <c r="M20" s="25"/>
      <c r="N20" s="25"/>
      <c r="O20" s="13"/>
      <c r="P20" s="13"/>
      <c r="Q20" s="13"/>
      <c r="R20" s="13"/>
      <c r="S20" s="13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</row>
    <row r="21" spans="1:111" s="2" customFormat="1" ht="14.4" x14ac:dyDescent="0.3">
      <c r="A21" s="8"/>
      <c r="B21" s="25"/>
      <c r="C21" s="25"/>
      <c r="D21" s="25"/>
      <c r="E21" s="48" t="s">
        <v>21</v>
      </c>
      <c r="F21" s="101">
        <f>J14/I14*10000</f>
        <v>399.99999999999937</v>
      </c>
      <c r="G21" s="102">
        <f>1-D91</f>
        <v>0.18253244991283168</v>
      </c>
      <c r="H21" s="102">
        <f>EXP(-2*F13/10000/(1-Recovery))-EXP(-3*F14/10000/(1-Recovery))</f>
        <v>7.1151017910041969E-2</v>
      </c>
      <c r="I21" s="103">
        <f>G21-G20</f>
        <v>7.2846721721339658E-2</v>
      </c>
      <c r="K21" s="25"/>
      <c r="L21" s="25"/>
      <c r="M21" s="25"/>
      <c r="N21" s="25"/>
      <c r="O21" s="16"/>
      <c r="P21" s="16"/>
      <c r="Q21" s="16"/>
      <c r="R21" s="16"/>
      <c r="S21" s="16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</row>
    <row r="22" spans="1:111" s="2" customFormat="1" ht="14.4" x14ac:dyDescent="0.3">
      <c r="A22" s="8"/>
      <c r="B22" s="25"/>
      <c r="C22" s="25"/>
      <c r="D22" s="25"/>
      <c r="E22" s="48" t="s">
        <v>22</v>
      </c>
      <c r="F22" s="101">
        <f>J15/I15*10000</f>
        <v>449.99999999999824</v>
      </c>
      <c r="G22" s="102">
        <f>1-D111</f>
        <v>0.26471427524933344</v>
      </c>
      <c r="H22" s="102">
        <f>EXP(-3*F14/10000/(1-Recovery))-EXP(-4*F15/10000/(1-Recovery))</f>
        <v>7.7912532396263945E-2</v>
      </c>
      <c r="I22" s="103">
        <f>G22-G21</f>
        <v>8.2181825336501757E-2</v>
      </c>
      <c r="K22" s="25"/>
      <c r="L22" s="25"/>
      <c r="M22" s="25"/>
      <c r="N22" s="25"/>
      <c r="O22" s="16"/>
      <c r="P22" s="16"/>
      <c r="Q22" s="16"/>
      <c r="R22" s="16"/>
      <c r="S22" s="16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</row>
    <row r="23" spans="1:111" s="2" customFormat="1" ht="15" thickBot="1" x14ac:dyDescent="0.35">
      <c r="A23" s="8"/>
      <c r="B23" s="25"/>
      <c r="C23" s="25"/>
      <c r="D23" s="25"/>
      <c r="E23" s="38" t="s">
        <v>23</v>
      </c>
      <c r="F23" s="104">
        <f>J16/I16*10000</f>
        <v>499.99999999999994</v>
      </c>
      <c r="G23" s="105">
        <f>1-D131</f>
        <v>0.35399551808152807</v>
      </c>
      <c r="H23" s="105">
        <f>EXP(-4*F15/10000/(1-Recovery))-EXP(-5*F16/10000/(1-Recovery))</f>
        <v>8.1577590481274109E-2</v>
      </c>
      <c r="I23" s="106">
        <f>G23-G22</f>
        <v>8.9281242832194629E-2</v>
      </c>
      <c r="K23" s="25"/>
      <c r="L23" s="25"/>
      <c r="M23" s="25"/>
      <c r="N23" s="25"/>
      <c r="O23" s="16"/>
      <c r="P23" s="16"/>
      <c r="Q23" s="16"/>
      <c r="R23" s="16"/>
      <c r="S23" s="16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</row>
    <row r="24" spans="1:111" s="2" customFormat="1" x14ac:dyDescent="0.25">
      <c r="A24" s="8"/>
      <c r="B24" s="22"/>
      <c r="C24" s="24"/>
      <c r="D24" s="24"/>
      <c r="E24" s="24"/>
      <c r="F24" s="24"/>
      <c r="G24" s="24"/>
      <c r="H24" s="24"/>
      <c r="I24" s="24"/>
      <c r="J24" s="24"/>
      <c r="K24" s="11"/>
      <c r="L24" s="16"/>
      <c r="M24" s="16"/>
      <c r="N24" s="16"/>
      <c r="O24" s="16"/>
      <c r="P24" s="16"/>
      <c r="Q24" s="16"/>
      <c r="R24" s="16"/>
      <c r="S24" s="16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</row>
    <row r="25" spans="1:111" s="2" customFormat="1" x14ac:dyDescent="0.25">
      <c r="A25" s="8"/>
      <c r="B25" s="22"/>
      <c r="C25" s="24"/>
      <c r="D25" s="24"/>
      <c r="E25" s="24"/>
      <c r="F25" s="24"/>
      <c r="G25" s="24"/>
      <c r="H25" s="24"/>
      <c r="I25" s="24"/>
      <c r="J25" s="24"/>
      <c r="K25" s="11"/>
      <c r="L25" s="16"/>
      <c r="M25" s="16"/>
      <c r="N25" s="16"/>
      <c r="O25" s="16"/>
      <c r="P25" s="16"/>
      <c r="Q25" s="16"/>
      <c r="R25" s="16"/>
      <c r="S25" s="16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</row>
    <row r="26" spans="1:111" s="2" customFormat="1" x14ac:dyDescent="0.25">
      <c r="A26" s="8"/>
      <c r="B26" s="22"/>
      <c r="C26" s="24"/>
      <c r="D26" s="24"/>
      <c r="E26" s="24"/>
      <c r="F26" s="24"/>
      <c r="G26" s="24"/>
      <c r="H26" s="24"/>
      <c r="I26" s="24"/>
      <c r="J26" s="24"/>
      <c r="K26" s="11"/>
      <c r="L26" s="16"/>
      <c r="M26" s="16"/>
      <c r="N26" s="16"/>
      <c r="O26" s="16"/>
      <c r="P26" s="16"/>
      <c r="Q26" s="16"/>
      <c r="R26" s="16"/>
      <c r="S26" s="16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</row>
    <row r="27" spans="1:111" s="2" customFormat="1" x14ac:dyDescent="0.25">
      <c r="A27" s="8"/>
      <c r="B27" s="17"/>
      <c r="C27" s="21"/>
      <c r="D27" s="21"/>
      <c r="E27" s="21"/>
      <c r="F27" s="21"/>
      <c r="G27" s="20"/>
      <c r="H27" s="20"/>
      <c r="I27" s="20"/>
      <c r="J27" s="8"/>
      <c r="K27" s="11"/>
      <c r="L27" s="16"/>
      <c r="M27" s="16"/>
      <c r="N27" s="16"/>
      <c r="O27" s="16"/>
      <c r="P27" s="16"/>
      <c r="Q27" s="16"/>
      <c r="R27" s="16"/>
      <c r="S27" s="16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</row>
    <row r="28" spans="1:111" s="2" customFormat="1" x14ac:dyDescent="0.25">
      <c r="A28" s="8"/>
      <c r="B28" s="22"/>
      <c r="C28" s="22"/>
      <c r="D28" s="22"/>
      <c r="E28" s="22"/>
      <c r="F28" s="22"/>
      <c r="G28" s="22"/>
      <c r="H28" s="22"/>
      <c r="I28" s="22"/>
      <c r="J28" s="22"/>
      <c r="K28" s="11"/>
      <c r="L28" s="16"/>
      <c r="M28" s="16"/>
      <c r="N28" s="16"/>
      <c r="O28" s="16"/>
      <c r="P28" s="16"/>
      <c r="Q28" s="16"/>
      <c r="R28" s="16"/>
      <c r="S28" s="16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</row>
    <row r="29" spans="1:111" s="2" customFormat="1" ht="13.8" thickBot="1" x14ac:dyDescent="0.3">
      <c r="A29" s="8"/>
      <c r="B29" s="22"/>
      <c r="C29" s="24"/>
      <c r="D29" s="24"/>
      <c r="E29" s="24"/>
      <c r="F29" s="24"/>
      <c r="G29" s="24"/>
      <c r="H29" s="24"/>
      <c r="I29" s="24"/>
      <c r="J29" s="24"/>
      <c r="K29" s="11"/>
      <c r="L29" s="16"/>
      <c r="M29" s="16"/>
      <c r="N29" s="16"/>
      <c r="O29" s="16"/>
      <c r="P29" s="16"/>
      <c r="Q29" s="16"/>
      <c r="R29" s="16"/>
      <c r="S29" s="16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</row>
    <row r="30" spans="1:111" s="2" customFormat="1" ht="15" thickBot="1" x14ac:dyDescent="0.35">
      <c r="A30" s="8"/>
      <c r="B30" s="26"/>
      <c r="C30" s="49" t="s">
        <v>24</v>
      </c>
      <c r="D30" s="50" t="s">
        <v>30</v>
      </c>
      <c r="E30" s="49" t="s">
        <v>28</v>
      </c>
      <c r="F30" s="51" t="s">
        <v>29</v>
      </c>
      <c r="G30" s="30" t="s">
        <v>25</v>
      </c>
      <c r="H30" s="51" t="s">
        <v>26</v>
      </c>
      <c r="I30" s="51" t="s">
        <v>27</v>
      </c>
      <c r="J30" s="52"/>
      <c r="K30" s="46"/>
      <c r="L30" s="71"/>
      <c r="N30" s="16"/>
      <c r="O30" s="16"/>
      <c r="P30" s="16"/>
      <c r="Q30" s="16"/>
      <c r="R30" s="16"/>
      <c r="S30" s="16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</row>
    <row r="31" spans="1:111" s="2" customFormat="1" ht="14.4" x14ac:dyDescent="0.3">
      <c r="A31" s="8"/>
      <c r="B31" s="53">
        <v>0</v>
      </c>
      <c r="C31" s="54">
        <f t="shared" ref="C31:C62" si="0">EXP(-IRate*B31)</f>
        <v>1</v>
      </c>
      <c r="D31" s="55">
        <v>1</v>
      </c>
      <c r="E31" s="54">
        <f t="shared" ref="E31:E94" si="1">1-D31</f>
        <v>0</v>
      </c>
      <c r="F31" s="56"/>
      <c r="G31" s="57"/>
      <c r="H31" s="56"/>
      <c r="I31" s="56"/>
      <c r="J31" s="58"/>
      <c r="K31" s="24"/>
      <c r="L31" s="24"/>
      <c r="N31" s="16"/>
      <c r="O31" s="16"/>
      <c r="P31" s="16"/>
      <c r="Q31" s="16"/>
      <c r="R31" s="16"/>
      <c r="S31" s="16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</row>
    <row r="32" spans="1:111" s="2" customFormat="1" ht="14.4" x14ac:dyDescent="0.3">
      <c r="A32" s="8"/>
      <c r="B32" s="59">
        <f t="shared" ref="B32:B95" si="2">B31+0.05</f>
        <v>0.05</v>
      </c>
      <c r="C32" s="60">
        <f t="shared" si="0"/>
        <v>0.99750312239746008</v>
      </c>
      <c r="D32" s="61">
        <f t="shared" ref="D32:D51" si="3">D31*EXP(-0.05*HazardRate1)</f>
        <v>0.99753091019997286</v>
      </c>
      <c r="E32" s="60">
        <f t="shared" si="1"/>
        <v>2.4690898000271355E-3</v>
      </c>
      <c r="F32" s="62">
        <f t="shared" ref="F32:F63" si="4">D31-D32</f>
        <v>2.4690898000271355E-3</v>
      </c>
      <c r="G32" s="61"/>
      <c r="H32" s="63">
        <f t="shared" ref="H32:H63" si="5">F32*C32*(1-Recovery)</f>
        <v>1.4777548710040726E-3</v>
      </c>
      <c r="I32" s="63">
        <v>0.05</v>
      </c>
      <c r="J32" s="64">
        <f>I32*F32</f>
        <v>1.2345449000135679E-4</v>
      </c>
      <c r="K32" s="24"/>
      <c r="L32" s="24"/>
      <c r="N32" s="16"/>
      <c r="O32" s="16"/>
      <c r="P32" s="16"/>
      <c r="Q32" s="16"/>
      <c r="R32" s="16"/>
      <c r="S32" s="16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</row>
    <row r="33" spans="1:111" s="2" customFormat="1" ht="14.4" x14ac:dyDescent="0.3">
      <c r="A33" s="8"/>
      <c r="B33" s="59">
        <f t="shared" si="2"/>
        <v>0.1</v>
      </c>
      <c r="C33" s="60">
        <f t="shared" si="0"/>
        <v>0.99501247919268232</v>
      </c>
      <c r="D33" s="61">
        <f t="shared" si="3"/>
        <v>0.99506791680438633</v>
      </c>
      <c r="E33" s="60">
        <f t="shared" si="1"/>
        <v>4.9320831956136679E-3</v>
      </c>
      <c r="F33" s="62">
        <f t="shared" si="4"/>
        <v>2.4629933955865324E-3</v>
      </c>
      <c r="G33" s="61"/>
      <c r="H33" s="63">
        <f t="shared" si="5"/>
        <v>1.470425498866655E-3</v>
      </c>
      <c r="I33" s="63">
        <f>I32+0.05</f>
        <v>0.1</v>
      </c>
      <c r="J33" s="64">
        <f>I33*F33</f>
        <v>2.4629933955865323E-4</v>
      </c>
      <c r="K33" s="24"/>
      <c r="L33" s="24"/>
      <c r="N33" s="16"/>
      <c r="O33" s="16"/>
      <c r="P33" s="16"/>
      <c r="Q33" s="16"/>
      <c r="R33" s="16"/>
      <c r="S33" s="16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</row>
    <row r="34" spans="1:111" s="2" customFormat="1" ht="14.4" x14ac:dyDescent="0.3">
      <c r="A34" s="8"/>
      <c r="B34" s="59">
        <f t="shared" si="2"/>
        <v>0.15000000000000002</v>
      </c>
      <c r="C34" s="60">
        <f t="shared" si="0"/>
        <v>0.99252805481913842</v>
      </c>
      <c r="D34" s="61">
        <f t="shared" si="3"/>
        <v>0.99261100476067032</v>
      </c>
      <c r="E34" s="60">
        <f t="shared" si="1"/>
        <v>7.3889952393296765E-3</v>
      </c>
      <c r="F34" s="62">
        <f t="shared" si="4"/>
        <v>2.4569120437160086E-3</v>
      </c>
      <c r="G34" s="61"/>
      <c r="H34" s="63">
        <f t="shared" si="5"/>
        <v>1.4631324789666984E-3</v>
      </c>
      <c r="I34" s="63">
        <f t="shared" ref="I34:I97" si="6">I33+0.05</f>
        <v>0.15000000000000002</v>
      </c>
      <c r="J34" s="64">
        <f>I34*F34</f>
        <v>3.6853680655740136E-4</v>
      </c>
      <c r="K34" s="24"/>
      <c r="L34" s="24"/>
      <c r="N34" s="16"/>
      <c r="O34" s="16"/>
      <c r="P34" s="16"/>
      <c r="Q34" s="16"/>
      <c r="R34" s="16"/>
      <c r="S34" s="16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</row>
    <row r="35" spans="1:111" s="2" customFormat="1" ht="14.4" x14ac:dyDescent="0.3">
      <c r="A35" s="8"/>
      <c r="B35" s="59">
        <f t="shared" si="2"/>
        <v>0.2</v>
      </c>
      <c r="C35" s="60">
        <f t="shared" si="0"/>
        <v>0.99004983374916811</v>
      </c>
      <c r="D35" s="61">
        <f t="shared" si="3"/>
        <v>0.99016015905342103</v>
      </c>
      <c r="E35" s="60">
        <f t="shared" si="1"/>
        <v>9.8398409465789705E-3</v>
      </c>
      <c r="F35" s="62">
        <f t="shared" si="4"/>
        <v>2.450845707249294E-3</v>
      </c>
      <c r="G35" s="61"/>
      <c r="H35" s="63">
        <f t="shared" si="5"/>
        <v>1.4558756310042156E-3</v>
      </c>
      <c r="I35" s="63">
        <f t="shared" si="6"/>
        <v>0.2</v>
      </c>
      <c r="J35" s="64">
        <f>I35*F35</f>
        <v>4.9016914144985881E-4</v>
      </c>
      <c r="K35" s="24"/>
      <c r="L35" s="24"/>
      <c r="N35" s="16"/>
      <c r="O35" s="16"/>
      <c r="P35" s="16"/>
      <c r="Q35" s="16"/>
      <c r="R35" s="16"/>
      <c r="S35" s="16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</row>
    <row r="36" spans="1:111" s="2" customFormat="1" ht="14.4" x14ac:dyDescent="0.3">
      <c r="A36" s="8"/>
      <c r="B36" s="59">
        <f t="shared" si="2"/>
        <v>0.25</v>
      </c>
      <c r="C36" s="60">
        <f t="shared" si="0"/>
        <v>0.98757780049388144</v>
      </c>
      <c r="D36" s="61">
        <f t="shared" si="3"/>
        <v>0.98771536470430898</v>
      </c>
      <c r="E36" s="60">
        <f t="shared" si="1"/>
        <v>1.2284635295691015E-2</v>
      </c>
      <c r="F36" s="62">
        <f t="shared" si="4"/>
        <v>2.444794349112045E-3</v>
      </c>
      <c r="G36" s="61">
        <f>C36*D36*0.25</f>
        <v>0.24386144184717334</v>
      </c>
      <c r="H36" s="63">
        <f t="shared" si="5"/>
        <v>1.4486547755735663E-3</v>
      </c>
      <c r="I36" s="63">
        <v>0</v>
      </c>
      <c r="J36" s="64">
        <f>I36*F36</f>
        <v>0</v>
      </c>
      <c r="K36" s="24"/>
      <c r="L36" s="24"/>
      <c r="N36" s="16"/>
      <c r="O36" s="16"/>
      <c r="P36" s="16"/>
      <c r="Q36" s="16"/>
      <c r="R36" s="16"/>
      <c r="S36" s="16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</row>
    <row r="37" spans="1:111" s="2" customFormat="1" ht="14.4" x14ac:dyDescent="0.3">
      <c r="A37" s="8"/>
      <c r="B37" s="59">
        <f t="shared" si="2"/>
        <v>0.3</v>
      </c>
      <c r="C37" s="60">
        <f t="shared" si="0"/>
        <v>0.98511193960306265</v>
      </c>
      <c r="D37" s="61">
        <f t="shared" si="3"/>
        <v>0.98527660677198747</v>
      </c>
      <c r="E37" s="60">
        <f t="shared" si="1"/>
        <v>1.4723393228012527E-2</v>
      </c>
      <c r="F37" s="62">
        <f t="shared" si="4"/>
        <v>2.4387579323215114E-3</v>
      </c>
      <c r="G37" s="61"/>
      <c r="H37" s="63">
        <f t="shared" si="5"/>
        <v>1.441469734158959E-3</v>
      </c>
      <c r="I37" s="63">
        <f t="shared" si="6"/>
        <v>0.05</v>
      </c>
      <c r="J37" s="64">
        <f t="shared" ref="J37:J100" si="7">I37*F37</f>
        <v>1.2193789661607557E-4</v>
      </c>
      <c r="K37" s="24"/>
      <c r="L37" s="24"/>
      <c r="N37" s="16"/>
      <c r="O37" s="16"/>
      <c r="P37" s="16"/>
      <c r="Q37" s="16"/>
      <c r="R37" s="16"/>
      <c r="S37" s="16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</row>
    <row r="38" spans="1:111" s="2" customFormat="1" ht="14.4" x14ac:dyDescent="0.3">
      <c r="A38" s="8"/>
      <c r="B38" s="59">
        <f t="shared" si="2"/>
        <v>0.35</v>
      </c>
      <c r="C38" s="60">
        <f t="shared" si="0"/>
        <v>0.9826522356650732</v>
      </c>
      <c r="D38" s="61">
        <f t="shared" si="3"/>
        <v>0.98284387035200138</v>
      </c>
      <c r="E38" s="60">
        <f t="shared" si="1"/>
        <v>1.7156129647998619E-2</v>
      </c>
      <c r="F38" s="62">
        <f t="shared" si="4"/>
        <v>2.4327364199860924E-3</v>
      </c>
      <c r="G38" s="61"/>
      <c r="H38" s="63">
        <f t="shared" si="5"/>
        <v>1.434320329129908E-3</v>
      </c>
      <c r="I38" s="63">
        <f t="shared" si="6"/>
        <v>0.1</v>
      </c>
      <c r="J38" s="64">
        <f t="shared" si="7"/>
        <v>2.4327364199860924E-4</v>
      </c>
      <c r="K38" s="24"/>
      <c r="L38" s="24"/>
      <c r="N38" s="16"/>
      <c r="O38" s="16"/>
      <c r="P38" s="16"/>
      <c r="Q38" s="16"/>
      <c r="R38" s="16"/>
      <c r="S38" s="16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</row>
    <row r="39" spans="1:111" s="2" customFormat="1" ht="14.4" x14ac:dyDescent="0.3">
      <c r="A39" s="8"/>
      <c r="B39" s="59">
        <f t="shared" si="2"/>
        <v>0.39999999999999997</v>
      </c>
      <c r="C39" s="60">
        <f t="shared" si="0"/>
        <v>0.98019867330675525</v>
      </c>
      <c r="D39" s="61">
        <f t="shared" si="3"/>
        <v>0.98041714057669604</v>
      </c>
      <c r="E39" s="60">
        <f t="shared" si="1"/>
        <v>1.9582859423303955E-2</v>
      </c>
      <c r="F39" s="62">
        <f t="shared" si="4"/>
        <v>2.4267297753053363E-3</v>
      </c>
      <c r="G39" s="61"/>
      <c r="H39" s="63">
        <f t="shared" si="5"/>
        <v>1.4272063837369746E-3</v>
      </c>
      <c r="I39" s="63">
        <f t="shared" si="6"/>
        <v>0.15000000000000002</v>
      </c>
      <c r="J39" s="64">
        <f t="shared" si="7"/>
        <v>3.6400946629580052E-4</v>
      </c>
      <c r="K39" s="24"/>
      <c r="L39" s="24"/>
      <c r="N39" s="16"/>
      <c r="O39" s="16"/>
      <c r="P39" s="16"/>
      <c r="Q39" s="16"/>
      <c r="R39" s="16"/>
      <c r="S39" s="16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</row>
    <row r="40" spans="1:111" s="2" customFormat="1" ht="14.4" x14ac:dyDescent="0.3">
      <c r="A40" s="8"/>
      <c r="B40" s="59">
        <f t="shared" si="2"/>
        <v>0.44999999999999996</v>
      </c>
      <c r="C40" s="60">
        <f t="shared" si="0"/>
        <v>0.97775123719333634</v>
      </c>
      <c r="D40" s="61">
        <f t="shared" si="3"/>
        <v>0.97799640261512633</v>
      </c>
      <c r="E40" s="60">
        <f t="shared" si="1"/>
        <v>2.2003597384873674E-2</v>
      </c>
      <c r="F40" s="62">
        <f t="shared" si="4"/>
        <v>2.4207379615697189E-3</v>
      </c>
      <c r="G40" s="61"/>
      <c r="H40" s="63">
        <f t="shared" si="5"/>
        <v>1.4201277221074008E-3</v>
      </c>
      <c r="I40" s="63">
        <f t="shared" si="6"/>
        <v>0.2</v>
      </c>
      <c r="J40" s="64">
        <f t="shared" si="7"/>
        <v>4.8414759231394381E-4</v>
      </c>
      <c r="K40" s="24"/>
      <c r="L40" s="24"/>
      <c r="N40" s="16"/>
      <c r="O40" s="16"/>
      <c r="P40" s="16"/>
      <c r="Q40" s="16"/>
      <c r="R40" s="16"/>
      <c r="S40" s="16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</row>
    <row r="41" spans="1:111" s="2" customFormat="1" ht="14.4" x14ac:dyDescent="0.3">
      <c r="A41" s="8"/>
      <c r="B41" s="59">
        <f t="shared" si="2"/>
        <v>0.49999999999999994</v>
      </c>
      <c r="C41" s="60">
        <f t="shared" si="0"/>
        <v>0.97530991202833273</v>
      </c>
      <c r="D41" s="61">
        <f t="shared" si="3"/>
        <v>0.97558164167296613</v>
      </c>
      <c r="E41" s="60">
        <f t="shared" si="1"/>
        <v>2.4418358327033873E-2</v>
      </c>
      <c r="F41" s="62">
        <f t="shared" si="4"/>
        <v>2.414760942160199E-3</v>
      </c>
      <c r="G41" s="61">
        <f>C41*D41*0.25</f>
        <v>0.23787361127912926</v>
      </c>
      <c r="H41" s="63">
        <f t="shared" si="5"/>
        <v>1.4130841692406306E-3</v>
      </c>
      <c r="I41" s="63">
        <v>0</v>
      </c>
      <c r="J41" s="64">
        <f t="shared" si="7"/>
        <v>0</v>
      </c>
      <c r="K41" s="24"/>
      <c r="L41" s="24"/>
      <c r="N41" s="16"/>
      <c r="O41" s="16"/>
      <c r="P41" s="16"/>
      <c r="Q41" s="16"/>
      <c r="R41" s="16"/>
      <c r="S41" s="16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</row>
    <row r="42" spans="1:111" s="2" customFormat="1" ht="14.4" x14ac:dyDescent="0.3">
      <c r="A42" s="8"/>
      <c r="B42" s="59">
        <f t="shared" si="2"/>
        <v>0.54999999999999993</v>
      </c>
      <c r="C42" s="60">
        <f t="shared" si="0"/>
        <v>0.972874682553454</v>
      </c>
      <c r="D42" s="61">
        <f t="shared" si="3"/>
        <v>0.97317284299241769</v>
      </c>
      <c r="E42" s="60">
        <f t="shared" si="1"/>
        <v>2.6827157007582314E-2</v>
      </c>
      <c r="F42" s="62">
        <f t="shared" si="4"/>
        <v>2.4087986805484407E-3</v>
      </c>
      <c r="G42" s="61"/>
      <c r="H42" s="63">
        <f t="shared" si="5"/>
        <v>1.4060755510042458E-3</v>
      </c>
      <c r="I42" s="63">
        <f t="shared" si="6"/>
        <v>0.05</v>
      </c>
      <c r="J42" s="64">
        <f t="shared" si="7"/>
        <v>1.2043993402742205E-4</v>
      </c>
      <c r="K42" s="24"/>
      <c r="L42" s="24"/>
      <c r="N42" s="16"/>
      <c r="O42" s="16"/>
      <c r="P42" s="16"/>
      <c r="Q42" s="16"/>
      <c r="R42" s="16"/>
      <c r="S42" s="16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</row>
    <row r="43" spans="1:111" s="2" customFormat="1" ht="14.4" x14ac:dyDescent="0.3">
      <c r="A43" s="8"/>
      <c r="B43" s="59">
        <f t="shared" si="2"/>
        <v>0.6</v>
      </c>
      <c r="C43" s="60">
        <f t="shared" si="0"/>
        <v>0.97044553354850815</v>
      </c>
      <c r="D43" s="61">
        <f t="shared" si="3"/>
        <v>0.97076999185212165</v>
      </c>
      <c r="E43" s="60">
        <f t="shared" si="1"/>
        <v>2.923000814787835E-2</v>
      </c>
      <c r="F43" s="62">
        <f t="shared" si="4"/>
        <v>2.4028511402960362E-3</v>
      </c>
      <c r="G43" s="61"/>
      <c r="H43" s="63">
        <f t="shared" si="5"/>
        <v>1.3991016941293367E-3</v>
      </c>
      <c r="I43" s="63">
        <f t="shared" si="6"/>
        <v>0.1</v>
      </c>
      <c r="J43" s="64">
        <f t="shared" si="7"/>
        <v>2.4028511402960362E-4</v>
      </c>
      <c r="K43" s="24"/>
      <c r="L43" s="24"/>
      <c r="N43" s="16"/>
      <c r="O43" s="16"/>
      <c r="P43" s="16"/>
      <c r="Q43" s="16"/>
      <c r="R43" s="16"/>
      <c r="S43" s="16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</row>
    <row r="44" spans="1:111" s="2" customFormat="1" ht="14.4" x14ac:dyDescent="0.3">
      <c r="A44" s="8"/>
      <c r="B44" s="59">
        <f t="shared" si="2"/>
        <v>0.65</v>
      </c>
      <c r="C44" s="60">
        <f t="shared" si="0"/>
        <v>0.96802244983130603</v>
      </c>
      <c r="D44" s="61">
        <f t="shared" si="3"/>
        <v>0.96837307356706714</v>
      </c>
      <c r="E44" s="60">
        <f t="shared" si="1"/>
        <v>3.1626926432932856E-2</v>
      </c>
      <c r="F44" s="62">
        <f t="shared" si="4"/>
        <v>2.3969182850545057E-3</v>
      </c>
      <c r="G44" s="61"/>
      <c r="H44" s="63">
        <f t="shared" si="5"/>
        <v>1.3921624262063492E-3</v>
      </c>
      <c r="I44" s="63">
        <f t="shared" si="6"/>
        <v>0.15000000000000002</v>
      </c>
      <c r="J44" s="64">
        <f t="shared" si="7"/>
        <v>3.5953774275817592E-4</v>
      </c>
      <c r="K44" s="24"/>
      <c r="L44" s="24"/>
      <c r="N44" s="16"/>
      <c r="O44" s="16"/>
      <c r="P44" s="16"/>
      <c r="Q44" s="16"/>
      <c r="R44" s="16"/>
      <c r="S44" s="16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</row>
    <row r="45" spans="1:111" s="2" customFormat="1" ht="14.4" x14ac:dyDescent="0.3">
      <c r="A45" s="8"/>
      <c r="B45" s="59">
        <f t="shared" si="2"/>
        <v>0.70000000000000007</v>
      </c>
      <c r="C45" s="60">
        <f t="shared" si="0"/>
        <v>0.96560541625756646</v>
      </c>
      <c r="D45" s="61">
        <f t="shared" si="3"/>
        <v>0.96598207348850174</v>
      </c>
      <c r="E45" s="60">
        <f t="shared" si="1"/>
        <v>3.4017926511498264E-2</v>
      </c>
      <c r="F45" s="62">
        <f t="shared" si="4"/>
        <v>2.3910000785654084E-3</v>
      </c>
      <c r="G45" s="61"/>
      <c r="H45" s="63">
        <f t="shared" si="5"/>
        <v>1.385257575681015E-3</v>
      </c>
      <c r="I45" s="63">
        <f t="shared" si="6"/>
        <v>0.2</v>
      </c>
      <c r="J45" s="64">
        <f t="shared" si="7"/>
        <v>4.7820001571308168E-4</v>
      </c>
      <c r="K45" s="24"/>
      <c r="L45" s="24"/>
      <c r="N45" s="16"/>
      <c r="O45" s="16"/>
      <c r="P45" s="16"/>
      <c r="Q45" s="16"/>
      <c r="R45" s="16"/>
      <c r="S45" s="16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</row>
    <row r="46" spans="1:111" s="2" customFormat="1" ht="14.4" x14ac:dyDescent="0.3">
      <c r="A46" s="8"/>
      <c r="B46" s="59">
        <f t="shared" si="2"/>
        <v>0.75000000000000011</v>
      </c>
      <c r="C46" s="60">
        <f t="shared" si="0"/>
        <v>0.96319441772082182</v>
      </c>
      <c r="D46" s="61">
        <f t="shared" si="3"/>
        <v>0.96359697700384217</v>
      </c>
      <c r="E46" s="60">
        <f t="shared" si="1"/>
        <v>3.640302299615783E-2</v>
      </c>
      <c r="F46" s="62">
        <f t="shared" si="4"/>
        <v>2.3850964846595657E-3</v>
      </c>
      <c r="G46" s="61">
        <f>C46*D46*0.25</f>
        <v>0.23203280729568998</v>
      </c>
      <c r="H46" s="63">
        <f t="shared" si="5"/>
        <v>1.3783869718497896E-3</v>
      </c>
      <c r="I46" s="63">
        <v>0</v>
      </c>
      <c r="J46" s="64">
        <f t="shared" si="7"/>
        <v>0</v>
      </c>
      <c r="K46" s="24"/>
      <c r="L46" s="24"/>
      <c r="N46" s="16"/>
      <c r="O46" s="16"/>
      <c r="P46" s="16"/>
      <c r="Q46" s="16"/>
      <c r="R46" s="16"/>
      <c r="S46" s="16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</row>
    <row r="47" spans="1:111" s="2" customFormat="1" ht="14.4" x14ac:dyDescent="0.3">
      <c r="A47" s="8"/>
      <c r="B47" s="59">
        <f t="shared" si="2"/>
        <v>0.80000000000000016</v>
      </c>
      <c r="C47" s="60">
        <f t="shared" si="0"/>
        <v>0.96078943915232318</v>
      </c>
      <c r="D47" s="61">
        <f t="shared" si="3"/>
        <v>0.961217769536585</v>
      </c>
      <c r="E47" s="60">
        <f t="shared" si="1"/>
        <v>3.8782230463415002E-2</v>
      </c>
      <c r="F47" s="62">
        <f t="shared" si="4"/>
        <v>2.3792074672571717E-3</v>
      </c>
      <c r="G47" s="61"/>
      <c r="H47" s="63">
        <f t="shared" si="5"/>
        <v>1.3715504448558223E-3</v>
      </c>
      <c r="I47" s="63">
        <f t="shared" si="6"/>
        <v>0.05</v>
      </c>
      <c r="J47" s="64">
        <f t="shared" si="7"/>
        <v>1.1896037336285859E-4</v>
      </c>
      <c r="K47" s="24"/>
      <c r="L47" s="24"/>
      <c r="N47" s="16"/>
      <c r="O47" s="16"/>
      <c r="P47" s="16"/>
      <c r="Q47" s="16"/>
      <c r="R47" s="16"/>
      <c r="S47" s="16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</row>
    <row r="48" spans="1:111" s="2" customFormat="1" ht="14.4" x14ac:dyDescent="0.3">
      <c r="A48" s="8"/>
      <c r="B48" s="59">
        <f t="shared" si="2"/>
        <v>0.8500000000000002</v>
      </c>
      <c r="C48" s="60">
        <f t="shared" si="0"/>
        <v>0.95839046552094687</v>
      </c>
      <c r="D48" s="61">
        <f t="shared" si="3"/>
        <v>0.95884443654621743</v>
      </c>
      <c r="E48" s="60">
        <f t="shared" si="1"/>
        <v>4.1155563453782573E-2</v>
      </c>
      <c r="F48" s="62">
        <f t="shared" si="4"/>
        <v>2.3733329903675715E-3</v>
      </c>
      <c r="G48" s="61"/>
      <c r="H48" s="63">
        <f t="shared" si="5"/>
        <v>1.3647478256847586E-3</v>
      </c>
      <c r="I48" s="63">
        <f t="shared" si="6"/>
        <v>0.1</v>
      </c>
      <c r="J48" s="64">
        <f t="shared" si="7"/>
        <v>2.3733329903675716E-4</v>
      </c>
      <c r="K48" s="24"/>
      <c r="L48" s="24"/>
      <c r="N48" s="16"/>
      <c r="O48" s="16"/>
      <c r="P48" s="16"/>
      <c r="Q48" s="16"/>
      <c r="R48" s="16"/>
      <c r="S48" s="16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</row>
    <row r="49" spans="1:111" s="2" customFormat="1" ht="14.4" x14ac:dyDescent="0.3">
      <c r="A49" s="8"/>
      <c r="B49" s="59">
        <f t="shared" si="2"/>
        <v>0.90000000000000024</v>
      </c>
      <c r="C49" s="60">
        <f t="shared" si="0"/>
        <v>0.95599748183309985</v>
      </c>
      <c r="D49" s="61">
        <f t="shared" si="3"/>
        <v>0.95647696352812839</v>
      </c>
      <c r="E49" s="60">
        <f t="shared" si="1"/>
        <v>4.3523036471871612E-2</v>
      </c>
      <c r="F49" s="62">
        <f t="shared" si="4"/>
        <v>2.3674730180890391E-3</v>
      </c>
      <c r="G49" s="61"/>
      <c r="H49" s="63">
        <f t="shared" si="5"/>
        <v>1.357978946160558E-3</v>
      </c>
      <c r="I49" s="63">
        <f t="shared" si="6"/>
        <v>0.15000000000000002</v>
      </c>
      <c r="J49" s="64">
        <f t="shared" si="7"/>
        <v>3.5512095271335591E-4</v>
      </c>
      <c r="K49" s="24"/>
      <c r="L49" s="24"/>
      <c r="N49" s="16"/>
      <c r="O49" s="16"/>
      <c r="P49" s="16"/>
      <c r="Q49" s="16"/>
      <c r="R49" s="16"/>
      <c r="S49" s="16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</row>
    <row r="50" spans="1:111" s="2" customFormat="1" ht="14.4" x14ac:dyDescent="0.3">
      <c r="A50" s="8"/>
      <c r="B50" s="59">
        <f t="shared" si="2"/>
        <v>0.95000000000000029</v>
      </c>
      <c r="C50" s="60">
        <f t="shared" si="0"/>
        <v>0.95361047313262626</v>
      </c>
      <c r="D50" s="61">
        <f t="shared" si="3"/>
        <v>0.95411533601352017</v>
      </c>
      <c r="E50" s="60">
        <f t="shared" si="1"/>
        <v>4.5884663986479834E-2</v>
      </c>
      <c r="F50" s="62">
        <f t="shared" si="4"/>
        <v>2.3616275146082222E-3</v>
      </c>
      <c r="G50" s="61"/>
      <c r="H50" s="63">
        <f t="shared" si="5"/>
        <v>1.351243638941145E-3</v>
      </c>
      <c r="I50" s="63">
        <f t="shared" si="6"/>
        <v>0.2</v>
      </c>
      <c r="J50" s="64">
        <f t="shared" si="7"/>
        <v>4.7232550292164444E-4</v>
      </c>
      <c r="K50" s="24"/>
      <c r="L50" s="24"/>
      <c r="N50" s="16"/>
      <c r="O50" s="16"/>
      <c r="P50" s="16"/>
      <c r="Q50" s="16"/>
      <c r="R50" s="16"/>
      <c r="S50" s="16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</row>
    <row r="51" spans="1:111" s="2" customFormat="1" ht="14.4" x14ac:dyDescent="0.3">
      <c r="A51" s="8"/>
      <c r="B51" s="59">
        <f t="shared" si="2"/>
        <v>1.0000000000000002</v>
      </c>
      <c r="C51" s="60">
        <f t="shared" si="0"/>
        <v>0.95122942450071402</v>
      </c>
      <c r="D51" s="61">
        <f t="shared" si="3"/>
        <v>0.95175953956931969</v>
      </c>
      <c r="E51" s="60">
        <f t="shared" si="1"/>
        <v>4.824046043068031E-2</v>
      </c>
      <c r="F51" s="62">
        <f t="shared" si="4"/>
        <v>2.3557964442004753E-3</v>
      </c>
      <c r="G51" s="61">
        <f>C51*D51*0.25</f>
        <v>0.22633541977189714</v>
      </c>
      <c r="H51" s="63">
        <f t="shared" si="5"/>
        <v>1.3445417375145879E-3</v>
      </c>
      <c r="I51" s="63">
        <v>0</v>
      </c>
      <c r="J51" s="64">
        <f t="shared" si="7"/>
        <v>0</v>
      </c>
      <c r="K51" s="24"/>
      <c r="L51" s="24"/>
      <c r="N51" s="16"/>
      <c r="O51" s="16"/>
      <c r="P51" s="16"/>
      <c r="Q51" s="16"/>
      <c r="R51" s="16"/>
      <c r="S51" s="16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</row>
    <row r="52" spans="1:111" s="2" customFormat="1" ht="14.4" x14ac:dyDescent="0.3">
      <c r="A52" s="8"/>
      <c r="B52" s="59">
        <f t="shared" si="2"/>
        <v>1.0500000000000003</v>
      </c>
      <c r="C52" s="60">
        <f t="shared" si="0"/>
        <v>0.94885432105580125</v>
      </c>
      <c r="D52" s="61">
        <f t="shared" ref="D52:D71" si="8">D51*EXP(-0.05*HazardRate2)</f>
        <v>0.94858891071870455</v>
      </c>
      <c r="E52" s="60">
        <f t="shared" si="1"/>
        <v>5.1411089281295452E-2</v>
      </c>
      <c r="F52" s="62">
        <f t="shared" si="4"/>
        <v>3.1706288506151425E-3</v>
      </c>
      <c r="G52" s="61"/>
      <c r="H52" s="63">
        <f t="shared" si="5"/>
        <v>1.8050789312222199E-3</v>
      </c>
      <c r="I52" s="63">
        <f t="shared" si="6"/>
        <v>0.05</v>
      </c>
      <c r="J52" s="64">
        <f t="shared" si="7"/>
        <v>1.5853144253075713E-4</v>
      </c>
      <c r="K52" s="24"/>
      <c r="L52" s="24"/>
      <c r="N52" s="16"/>
      <c r="O52" s="16"/>
      <c r="P52" s="16"/>
      <c r="Q52" s="16"/>
      <c r="R52" s="16"/>
      <c r="S52" s="16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</row>
    <row r="53" spans="1:111" s="2" customFormat="1" ht="14.4" x14ac:dyDescent="0.3">
      <c r="A53" s="8"/>
      <c r="B53" s="59">
        <f t="shared" si="2"/>
        <v>1.1000000000000003</v>
      </c>
      <c r="C53" s="60">
        <f t="shared" si="0"/>
        <v>0.94648514795348382</v>
      </c>
      <c r="D53" s="61">
        <f t="shared" si="8"/>
        <v>0.9454288442915697</v>
      </c>
      <c r="E53" s="60">
        <f t="shared" si="1"/>
        <v>5.4571155708430297E-2</v>
      </c>
      <c r="F53" s="62">
        <f t="shared" si="4"/>
        <v>3.1600664271348444E-3</v>
      </c>
      <c r="G53" s="61"/>
      <c r="H53" s="63">
        <f t="shared" si="5"/>
        <v>1.7945735638977361E-3</v>
      </c>
      <c r="I53" s="63">
        <f t="shared" si="6"/>
        <v>0.1</v>
      </c>
      <c r="J53" s="64">
        <f t="shared" si="7"/>
        <v>3.1600664271348445E-4</v>
      </c>
      <c r="K53" s="24"/>
      <c r="L53" s="24"/>
      <c r="N53" s="16"/>
      <c r="O53" s="16"/>
      <c r="P53" s="16"/>
      <c r="Q53" s="16"/>
      <c r="R53" s="16"/>
      <c r="S53" s="16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</row>
    <row r="54" spans="1:111" s="2" customFormat="1" ht="14.4" x14ac:dyDescent="0.3">
      <c r="A54" s="8"/>
      <c r="B54" s="59">
        <f t="shared" si="2"/>
        <v>1.1500000000000004</v>
      </c>
      <c r="C54" s="60">
        <f t="shared" si="0"/>
        <v>0.94412189038642214</v>
      </c>
      <c r="D54" s="61">
        <f t="shared" si="8"/>
        <v>0.94227930510095548</v>
      </c>
      <c r="E54" s="60">
        <f t="shared" si="1"/>
        <v>5.7720694899044522E-2</v>
      </c>
      <c r="F54" s="62">
        <f t="shared" si="4"/>
        <v>3.1495391906142256E-3</v>
      </c>
      <c r="G54" s="61"/>
      <c r="H54" s="63">
        <f t="shared" si="5"/>
        <v>1.7841293366932945E-3</v>
      </c>
      <c r="I54" s="63">
        <f t="shared" si="6"/>
        <v>0.15000000000000002</v>
      </c>
      <c r="J54" s="64">
        <f t="shared" si="7"/>
        <v>4.7243087859213392E-4</v>
      </c>
      <c r="K54" s="24"/>
      <c r="L54" s="24"/>
      <c r="N54" s="16"/>
      <c r="O54" s="16"/>
      <c r="P54" s="16"/>
      <c r="Q54" s="16"/>
      <c r="R54" s="16"/>
      <c r="S54" s="16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</row>
    <row r="55" spans="1:111" s="2" customFormat="1" ht="14.4" x14ac:dyDescent="0.3">
      <c r="A55" s="8"/>
      <c r="B55" s="59">
        <f t="shared" si="2"/>
        <v>1.2000000000000004</v>
      </c>
      <c r="C55" s="60">
        <f t="shared" si="0"/>
        <v>0.94176453358424872</v>
      </c>
      <c r="D55" s="61">
        <f t="shared" si="8"/>
        <v>0.93914025807712154</v>
      </c>
      <c r="E55" s="60">
        <f t="shared" si="1"/>
        <v>6.0859741922878463E-2</v>
      </c>
      <c r="F55" s="62">
        <f t="shared" si="4"/>
        <v>3.1390470238339407E-3</v>
      </c>
      <c r="G55" s="61"/>
      <c r="H55" s="63">
        <f t="shared" si="5"/>
        <v>1.7737458937799972E-3</v>
      </c>
      <c r="I55" s="63">
        <f t="shared" si="6"/>
        <v>0.2</v>
      </c>
      <c r="J55" s="64">
        <f t="shared" si="7"/>
        <v>6.2780940476678824E-4</v>
      </c>
      <c r="K55" s="24"/>
      <c r="L55" s="24"/>
      <c r="N55" s="16"/>
      <c r="O55" s="16"/>
      <c r="P55" s="16"/>
      <c r="Q55" s="16"/>
      <c r="R55" s="16"/>
      <c r="S55" s="16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</row>
    <row r="56" spans="1:111" s="2" customFormat="1" ht="14.4" x14ac:dyDescent="0.3">
      <c r="A56" s="8"/>
      <c r="B56" s="59">
        <f t="shared" si="2"/>
        <v>1.2500000000000004</v>
      </c>
      <c r="C56" s="60">
        <f t="shared" si="0"/>
        <v>0.93941306281347581</v>
      </c>
      <c r="D56" s="61">
        <f t="shared" si="8"/>
        <v>0.93601166826715665</v>
      </c>
      <c r="E56" s="60">
        <f t="shared" si="1"/>
        <v>6.3988331732843351E-2</v>
      </c>
      <c r="F56" s="62">
        <f t="shared" si="4"/>
        <v>3.1285898099648879E-3</v>
      </c>
      <c r="G56" s="61">
        <f>C56*D56*0.25</f>
        <v>0.21982539702900017</v>
      </c>
      <c r="H56" s="63">
        <f t="shared" si="5"/>
        <v>1.7634228813996873E-3</v>
      </c>
      <c r="I56" s="63">
        <v>0</v>
      </c>
      <c r="J56" s="64">
        <f t="shared" si="7"/>
        <v>0</v>
      </c>
      <c r="K56" s="24"/>
      <c r="L56" s="24"/>
      <c r="N56" s="16"/>
      <c r="O56" s="16"/>
      <c r="P56" s="16"/>
      <c r="Q56" s="16"/>
      <c r="R56" s="16"/>
      <c r="S56" s="16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</row>
    <row r="57" spans="1:111" s="2" customFormat="1" ht="14.4" x14ac:dyDescent="0.3">
      <c r="A57" s="8"/>
      <c r="B57" s="59">
        <f t="shared" si="2"/>
        <v>1.3000000000000005</v>
      </c>
      <c r="C57" s="60">
        <f t="shared" si="0"/>
        <v>0.93706746337740343</v>
      </c>
      <c r="D57" s="61">
        <f t="shared" si="8"/>
        <v>0.93289350083458944</v>
      </c>
      <c r="E57" s="60">
        <f t="shared" si="1"/>
        <v>6.710649916541056E-2</v>
      </c>
      <c r="F57" s="62">
        <f t="shared" si="4"/>
        <v>3.1181674325672093E-3</v>
      </c>
      <c r="G57" s="61"/>
      <c r="H57" s="63">
        <f t="shared" si="5"/>
        <v>1.7531599478530712E-3</v>
      </c>
      <c r="I57" s="63">
        <f t="shared" si="6"/>
        <v>0.05</v>
      </c>
      <c r="J57" s="64">
        <f t="shared" si="7"/>
        <v>1.5590837162836048E-4</v>
      </c>
      <c r="K57" s="24"/>
      <c r="L57" s="24"/>
      <c r="N57" s="16"/>
      <c r="O57" s="16"/>
      <c r="P57" s="16"/>
      <c r="Q57" s="16"/>
      <c r="R57" s="16"/>
      <c r="S57" s="16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</row>
    <row r="58" spans="1:111" s="2" customFormat="1" ht="14.4" x14ac:dyDescent="0.3">
      <c r="A58" s="8"/>
      <c r="B58" s="59">
        <f t="shared" si="2"/>
        <v>1.3500000000000005</v>
      </c>
      <c r="C58" s="60">
        <f t="shared" si="0"/>
        <v>0.93472772061602749</v>
      </c>
      <c r="D58" s="61">
        <f t="shared" si="8"/>
        <v>0.92978572105900037</v>
      </c>
      <c r="E58" s="60">
        <f t="shared" si="1"/>
        <v>7.021427894099963E-2</v>
      </c>
      <c r="F58" s="62">
        <f t="shared" si="4"/>
        <v>3.1077797755890701E-3</v>
      </c>
      <c r="G58" s="61"/>
      <c r="H58" s="63">
        <f t="shared" si="5"/>
        <v>1.7429567434877765E-3</v>
      </c>
      <c r="I58" s="63">
        <f t="shared" si="6"/>
        <v>0.1</v>
      </c>
      <c r="J58" s="64">
        <f t="shared" si="7"/>
        <v>3.1077797755890701E-4</v>
      </c>
      <c r="K58" s="24"/>
      <c r="L58" s="24"/>
      <c r="N58" s="16"/>
      <c r="O58" s="16"/>
      <c r="P58" s="16"/>
      <c r="Q58" s="16"/>
      <c r="R58" s="16"/>
      <c r="S58" s="16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</row>
    <row r="59" spans="1:111" s="2" customFormat="1" ht="14.4" x14ac:dyDescent="0.3">
      <c r="A59" s="8"/>
      <c r="B59" s="59">
        <f t="shared" si="2"/>
        <v>1.4000000000000006</v>
      </c>
      <c r="C59" s="60">
        <f t="shared" si="0"/>
        <v>0.93239381990594816</v>
      </c>
      <c r="D59" s="61">
        <f t="shared" si="8"/>
        <v>0.92668829433563527</v>
      </c>
      <c r="E59" s="60">
        <f t="shared" si="1"/>
        <v>7.3311705664364735E-2</v>
      </c>
      <c r="F59" s="62">
        <f t="shared" si="4"/>
        <v>3.0974267233651043E-3</v>
      </c>
      <c r="G59" s="61"/>
      <c r="H59" s="63">
        <f t="shared" si="5"/>
        <v>1.7328129206862924E-3</v>
      </c>
      <c r="I59" s="63">
        <f t="shared" si="6"/>
        <v>0.15000000000000002</v>
      </c>
      <c r="J59" s="64">
        <f t="shared" si="7"/>
        <v>4.6461400850476571E-4</v>
      </c>
      <c r="K59" s="24"/>
      <c r="L59" s="24"/>
      <c r="N59" s="16"/>
      <c r="O59" s="16"/>
      <c r="P59" s="16"/>
      <c r="Q59" s="16"/>
      <c r="R59" s="16"/>
      <c r="S59" s="16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</row>
    <row r="60" spans="1:111" s="2" customFormat="1" ht="14.4" x14ac:dyDescent="0.3">
      <c r="A60" s="8"/>
      <c r="B60" s="59">
        <f t="shared" si="2"/>
        <v>1.4500000000000006</v>
      </c>
      <c r="C60" s="60">
        <f t="shared" si="0"/>
        <v>0.93006574666027841</v>
      </c>
      <c r="D60" s="61">
        <f t="shared" si="8"/>
        <v>0.92360118617501996</v>
      </c>
      <c r="E60" s="60">
        <f t="shared" si="1"/>
        <v>7.6398813824980039E-2</v>
      </c>
      <c r="F60" s="62">
        <f t="shared" si="4"/>
        <v>3.0871081606153039E-3</v>
      </c>
      <c r="G60" s="61"/>
      <c r="H60" s="63">
        <f t="shared" si="5"/>
        <v>1.7227281338542267E-3</v>
      </c>
      <c r="I60" s="63">
        <f t="shared" si="6"/>
        <v>0.2</v>
      </c>
      <c r="J60" s="64">
        <f t="shared" si="7"/>
        <v>6.1742163212306087E-4</v>
      </c>
      <c r="K60" s="24"/>
      <c r="L60" s="24"/>
      <c r="N60" s="16"/>
      <c r="O60" s="16"/>
      <c r="P60" s="16"/>
      <c r="Q60" s="16"/>
      <c r="R60" s="16"/>
      <c r="S60" s="16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</row>
    <row r="61" spans="1:111" s="2" customFormat="1" ht="14.4" x14ac:dyDescent="0.3">
      <c r="A61" s="8"/>
      <c r="B61" s="59">
        <f t="shared" si="2"/>
        <v>1.5000000000000007</v>
      </c>
      <c r="C61" s="60">
        <f t="shared" si="0"/>
        <v>0.92774348632855286</v>
      </c>
      <c r="D61" s="61">
        <f t="shared" si="8"/>
        <v>0.92052436220257627</v>
      </c>
      <c r="E61" s="60">
        <f t="shared" si="1"/>
        <v>7.9475637797423726E-2</v>
      </c>
      <c r="F61" s="62">
        <f t="shared" si="4"/>
        <v>3.0768239724436874E-3</v>
      </c>
      <c r="G61" s="61">
        <f>C61*D61*0.25</f>
        <v>0.21350262026004641</v>
      </c>
      <c r="H61" s="63">
        <f t="shared" si="5"/>
        <v>1.7127020394085042E-3</v>
      </c>
      <c r="I61" s="63">
        <v>0</v>
      </c>
      <c r="J61" s="64">
        <f t="shared" si="7"/>
        <v>0</v>
      </c>
      <c r="K61" s="24"/>
      <c r="L61" s="24"/>
      <c r="N61" s="16"/>
      <c r="O61" s="16"/>
      <c r="P61" s="16"/>
      <c r="Q61" s="16"/>
      <c r="R61" s="16"/>
      <c r="S61" s="16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</row>
    <row r="62" spans="1:111" s="2" customFormat="1" ht="14.4" x14ac:dyDescent="0.3">
      <c r="A62" s="8"/>
      <c r="B62" s="59">
        <f t="shared" si="2"/>
        <v>1.5500000000000007</v>
      </c>
      <c r="C62" s="60">
        <f t="shared" si="0"/>
        <v>0.92542702439663682</v>
      </c>
      <c r="D62" s="61">
        <f t="shared" si="8"/>
        <v>0.91745778815823908</v>
      </c>
      <c r="E62" s="60">
        <f t="shared" si="1"/>
        <v>8.2542211841760915E-2</v>
      </c>
      <c r="F62" s="62">
        <f t="shared" si="4"/>
        <v>3.0665740443371892E-3</v>
      </c>
      <c r="G62" s="61"/>
      <c r="H62" s="63">
        <f t="shared" si="5"/>
        <v>1.702734295765755E-3</v>
      </c>
      <c r="I62" s="63">
        <f t="shared" si="6"/>
        <v>0.05</v>
      </c>
      <c r="J62" s="64">
        <f t="shared" si="7"/>
        <v>1.5332870221685947E-4</v>
      </c>
      <c r="K62" s="24"/>
      <c r="L62" s="24"/>
      <c r="N62" s="16"/>
      <c r="O62" s="16"/>
      <c r="P62" s="16"/>
      <c r="Q62" s="16"/>
      <c r="R62" s="16"/>
      <c r="S62" s="16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</row>
    <row r="63" spans="1:111" s="2" customFormat="1" ht="14.4" x14ac:dyDescent="0.3">
      <c r="A63" s="8"/>
      <c r="B63" s="59">
        <f t="shared" si="2"/>
        <v>1.6000000000000008</v>
      </c>
      <c r="C63" s="60">
        <f t="shared" ref="C63:C94" si="9">EXP(-IRate*B63)</f>
        <v>0.92311634638663576</v>
      </c>
      <c r="D63" s="61">
        <f t="shared" si="8"/>
        <v>0.91440142989607509</v>
      </c>
      <c r="E63" s="60">
        <f t="shared" si="1"/>
        <v>8.5598570103924909E-2</v>
      </c>
      <c r="F63" s="62">
        <f t="shared" si="4"/>
        <v>3.056358262163994E-3</v>
      </c>
      <c r="G63" s="61"/>
      <c r="H63" s="63">
        <f t="shared" si="5"/>
        <v>1.6928245633304601E-3</v>
      </c>
      <c r="I63" s="63">
        <f t="shared" si="6"/>
        <v>0.1</v>
      </c>
      <c r="J63" s="64">
        <f t="shared" si="7"/>
        <v>3.056358262163994E-4</v>
      </c>
      <c r="K63" s="24"/>
      <c r="L63" s="24"/>
      <c r="N63" s="16"/>
      <c r="O63" s="16"/>
      <c r="P63" s="16"/>
      <c r="Q63" s="16"/>
      <c r="R63" s="16"/>
      <c r="S63" s="16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</row>
    <row r="64" spans="1:111" s="2" customFormat="1" ht="14.4" x14ac:dyDescent="0.3">
      <c r="A64" s="8"/>
      <c r="B64" s="59">
        <f t="shared" si="2"/>
        <v>1.6500000000000008</v>
      </c>
      <c r="C64" s="60">
        <f t="shared" si="9"/>
        <v>0.92081143785680453</v>
      </c>
      <c r="D64" s="61">
        <f t="shared" si="8"/>
        <v>0.91135525338390255</v>
      </c>
      <c r="E64" s="60">
        <f t="shared" si="1"/>
        <v>8.8644746616097447E-2</v>
      </c>
      <c r="F64" s="62">
        <f t="shared" ref="F64:F95" si="10">D63-D64</f>
        <v>3.0461765121725382E-3</v>
      </c>
      <c r="G64" s="61"/>
      <c r="H64" s="63">
        <f t="shared" ref="H64:H95" si="11">F64*C64*(1-Recovery)</f>
        <v>1.6829725044835322E-3</v>
      </c>
      <c r="I64" s="63">
        <f t="shared" si="6"/>
        <v>0.15000000000000002</v>
      </c>
      <c r="J64" s="64">
        <f t="shared" si="7"/>
        <v>4.5692647682588078E-4</v>
      </c>
      <c r="K64" s="24"/>
      <c r="L64" s="24"/>
      <c r="N64" s="16"/>
      <c r="O64" s="16"/>
      <c r="P64" s="16"/>
      <c r="Q64" s="16"/>
      <c r="R64" s="16"/>
      <c r="S64" s="16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</row>
    <row r="65" spans="1:111" s="2" customFormat="1" ht="14.4" x14ac:dyDescent="0.3">
      <c r="A65" s="8"/>
      <c r="B65" s="59">
        <f t="shared" si="2"/>
        <v>1.7000000000000008</v>
      </c>
      <c r="C65" s="60">
        <f t="shared" si="9"/>
        <v>0.91851228440145727</v>
      </c>
      <c r="D65" s="61">
        <f t="shared" si="8"/>
        <v>0.90831922470291215</v>
      </c>
      <c r="E65" s="60">
        <f t="shared" si="1"/>
        <v>9.1680775297087846E-2</v>
      </c>
      <c r="F65" s="62">
        <f t="shared" si="10"/>
        <v>3.0360286809903991E-3</v>
      </c>
      <c r="G65" s="61"/>
      <c r="H65" s="63">
        <f t="shared" si="11"/>
        <v>1.6731777835709007E-3</v>
      </c>
      <c r="I65" s="63">
        <f t="shared" si="6"/>
        <v>0.2</v>
      </c>
      <c r="J65" s="64">
        <f t="shared" si="7"/>
        <v>6.0720573619807991E-4</v>
      </c>
      <c r="K65" s="24"/>
      <c r="L65" s="24"/>
      <c r="N65" s="16"/>
      <c r="O65" s="16"/>
      <c r="P65" s="16"/>
      <c r="Q65" s="16"/>
      <c r="R65" s="16"/>
      <c r="S65" s="16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</row>
    <row r="66" spans="1:111" s="2" customFormat="1" ht="14.4" x14ac:dyDescent="0.3">
      <c r="A66" s="8"/>
      <c r="B66" s="59">
        <f t="shared" si="2"/>
        <v>1.7500000000000009</v>
      </c>
      <c r="C66" s="60">
        <f t="shared" si="9"/>
        <v>0.91621887165087756</v>
      </c>
      <c r="D66" s="61">
        <f t="shared" si="8"/>
        <v>0.90529331004728952</v>
      </c>
      <c r="E66" s="60">
        <f t="shared" si="1"/>
        <v>9.4706689952710477E-2</v>
      </c>
      <c r="F66" s="62">
        <f t="shared" si="10"/>
        <v>3.0259146556226302E-3</v>
      </c>
      <c r="G66" s="61">
        <f>C66*D66*0.25</f>
        <v>0.20736170376115393</v>
      </c>
      <c r="H66" s="63">
        <f t="shared" si="11"/>
        <v>1.6634400668918518E-3</v>
      </c>
      <c r="I66" s="63">
        <v>0</v>
      </c>
      <c r="J66" s="64">
        <f t="shared" si="7"/>
        <v>0</v>
      </c>
      <c r="K66" s="24"/>
      <c r="L66" s="24"/>
      <c r="N66" s="16"/>
      <c r="O66" s="16"/>
      <c r="P66" s="16"/>
      <c r="Q66" s="16"/>
      <c r="R66" s="16"/>
      <c r="S66" s="16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</row>
    <row r="67" spans="1:111" s="2" customFormat="1" ht="14.4" x14ac:dyDescent="0.3">
      <c r="A67" s="8"/>
      <c r="B67" s="59">
        <f t="shared" si="2"/>
        <v>1.8000000000000009</v>
      </c>
      <c r="C67" s="60">
        <f t="shared" si="9"/>
        <v>0.91393118527122819</v>
      </c>
      <c r="D67" s="61">
        <f t="shared" si="8"/>
        <v>0.90227747572383876</v>
      </c>
      <c r="E67" s="60">
        <f t="shared" si="1"/>
        <v>9.7722524276161238E-2</v>
      </c>
      <c r="F67" s="62">
        <f t="shared" si="10"/>
        <v>3.0158343234507612E-3</v>
      </c>
      <c r="G67" s="61"/>
      <c r="H67" s="63">
        <f t="shared" si="11"/>
        <v>1.653759022687804E-3</v>
      </c>
      <c r="I67" s="63">
        <f t="shared" si="6"/>
        <v>0.05</v>
      </c>
      <c r="J67" s="64">
        <f t="shared" si="7"/>
        <v>1.5079171617253808E-4</v>
      </c>
      <c r="K67" s="24"/>
      <c r="L67" s="24"/>
      <c r="N67" s="16"/>
      <c r="O67" s="16"/>
      <c r="P67" s="16"/>
      <c r="Q67" s="16"/>
      <c r="R67" s="16"/>
      <c r="S67" s="16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</row>
    <row r="68" spans="1:111" s="2" customFormat="1" ht="14.4" x14ac:dyDescent="0.3">
      <c r="A68" s="8"/>
      <c r="B68" s="59">
        <f t="shared" si="2"/>
        <v>1.850000000000001</v>
      </c>
      <c r="C68" s="60">
        <f t="shared" si="9"/>
        <v>0.91164921096446172</v>
      </c>
      <c r="D68" s="61">
        <f t="shared" si="8"/>
        <v>0.8992716881516073</v>
      </c>
      <c r="E68" s="60">
        <f t="shared" si="1"/>
        <v>0.1007283118483927</v>
      </c>
      <c r="F68" s="62">
        <f t="shared" si="10"/>
        <v>3.0057875722314664E-3</v>
      </c>
      <c r="G68" s="61"/>
      <c r="H68" s="63">
        <f t="shared" si="11"/>
        <v>1.6441343211309608E-3</v>
      </c>
      <c r="I68" s="63">
        <f t="shared" si="6"/>
        <v>0.1</v>
      </c>
      <c r="J68" s="64">
        <f t="shared" si="7"/>
        <v>3.0057875722314667E-4</v>
      </c>
      <c r="K68" s="24"/>
      <c r="L68" s="24"/>
      <c r="N68" s="16"/>
      <c r="O68" s="16"/>
      <c r="P68" s="16"/>
      <c r="Q68" s="16"/>
      <c r="R68" s="16"/>
      <c r="S68" s="16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</row>
    <row r="69" spans="1:111" s="2" customFormat="1" ht="14.4" x14ac:dyDescent="0.3">
      <c r="A69" s="8"/>
      <c r="B69" s="59">
        <f t="shared" si="2"/>
        <v>1.900000000000001</v>
      </c>
      <c r="C69" s="60">
        <f t="shared" si="9"/>
        <v>0.90937293446823142</v>
      </c>
      <c r="D69" s="61">
        <f t="shared" si="8"/>
        <v>0.89627591386151184</v>
      </c>
      <c r="E69" s="60">
        <f t="shared" si="1"/>
        <v>0.10372408613848816</v>
      </c>
      <c r="F69" s="62">
        <f t="shared" si="10"/>
        <v>2.9957742900954543E-3</v>
      </c>
      <c r="G69" s="61"/>
      <c r="H69" s="63">
        <f t="shared" si="11"/>
        <v>1.6345656343131516E-3</v>
      </c>
      <c r="I69" s="63">
        <f t="shared" si="6"/>
        <v>0.15000000000000002</v>
      </c>
      <c r="J69" s="64">
        <f t="shared" si="7"/>
        <v>4.4936614351431819E-4</v>
      </c>
      <c r="K69" s="24"/>
      <c r="L69" s="24"/>
      <c r="N69" s="16"/>
      <c r="O69" s="16"/>
      <c r="P69" s="16"/>
      <c r="Q69" s="16"/>
      <c r="R69" s="16"/>
      <c r="S69" s="16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</row>
    <row r="70" spans="1:111" s="2" customFormat="1" ht="14.4" x14ac:dyDescent="0.3">
      <c r="A70" s="8"/>
      <c r="B70" s="59">
        <f t="shared" si="2"/>
        <v>1.9500000000000011</v>
      </c>
      <c r="C70" s="60">
        <f t="shared" si="9"/>
        <v>0.90710234155580172</v>
      </c>
      <c r="D70" s="61">
        <f t="shared" si="8"/>
        <v>0.89329011949596582</v>
      </c>
      <c r="E70" s="60">
        <f t="shared" si="1"/>
        <v>0.10670988050403418</v>
      </c>
      <c r="F70" s="62">
        <f t="shared" si="10"/>
        <v>2.985794365546024E-3</v>
      </c>
      <c r="G70" s="61"/>
      <c r="H70" s="63">
        <f t="shared" si="11"/>
        <v>1.6250526362345506E-3</v>
      </c>
      <c r="I70" s="63">
        <f t="shared" si="6"/>
        <v>0.2</v>
      </c>
      <c r="J70" s="64">
        <f t="shared" si="7"/>
        <v>5.9715887310920481E-4</v>
      </c>
      <c r="K70" s="24"/>
      <c r="L70" s="24"/>
      <c r="N70" s="16"/>
      <c r="O70" s="16"/>
      <c r="P70" s="16"/>
      <c r="Q70" s="16"/>
      <c r="R70" s="16"/>
      <c r="S70" s="16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</row>
    <row r="71" spans="1:111" s="2" customFormat="1" ht="14.4" x14ac:dyDescent="0.3">
      <c r="A71" s="8"/>
      <c r="B71" s="59">
        <f t="shared" si="2"/>
        <v>2.0000000000000009</v>
      </c>
      <c r="C71" s="60">
        <f t="shared" si="9"/>
        <v>0.90483741803595952</v>
      </c>
      <c r="D71" s="61">
        <f t="shared" si="8"/>
        <v>0.89031427180850797</v>
      </c>
      <c r="E71" s="60">
        <f t="shared" si="1"/>
        <v>0.10968572819149203</v>
      </c>
      <c r="F71" s="62">
        <f t="shared" si="10"/>
        <v>2.9758476874578443E-3</v>
      </c>
      <c r="G71" s="61">
        <f>C71*D71*0.25</f>
        <v>0.20139741673594394</v>
      </c>
      <c r="H71" s="63">
        <f t="shared" si="11"/>
        <v>1.615595002792582E-3</v>
      </c>
      <c r="I71" s="63">
        <v>0</v>
      </c>
      <c r="J71" s="64">
        <f t="shared" si="7"/>
        <v>0</v>
      </c>
      <c r="K71" s="24"/>
      <c r="L71" s="24"/>
      <c r="N71" s="16"/>
      <c r="O71" s="16"/>
      <c r="P71" s="16"/>
      <c r="Q71" s="16"/>
      <c r="R71" s="16"/>
      <c r="S71" s="16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</row>
    <row r="72" spans="1:111" s="2" customFormat="1" ht="14.4" x14ac:dyDescent="0.3">
      <c r="A72" s="8"/>
      <c r="B72" s="59">
        <f t="shared" si="2"/>
        <v>2.0500000000000007</v>
      </c>
      <c r="C72" s="60">
        <f t="shared" si="9"/>
        <v>0.9025781497529255</v>
      </c>
      <c r="D72" s="61">
        <f t="shared" ref="D72:D91" si="12">D71*EXP(-0.05*HazardRate3)</f>
        <v>0.88652236129502693</v>
      </c>
      <c r="E72" s="60">
        <f t="shared" si="1"/>
        <v>0.11347763870497307</v>
      </c>
      <c r="F72" s="62">
        <f t="shared" si="10"/>
        <v>3.7919105134810449E-3</v>
      </c>
      <c r="G72" s="61"/>
      <c r="H72" s="63">
        <f t="shared" si="11"/>
        <v>2.0534973451718321E-3</v>
      </c>
      <c r="I72" s="63">
        <f t="shared" si="6"/>
        <v>0.05</v>
      </c>
      <c r="J72" s="64">
        <f t="shared" si="7"/>
        <v>1.8959552567405225E-4</v>
      </c>
      <c r="K72" s="24"/>
      <c r="L72" s="24"/>
      <c r="N72" s="16"/>
      <c r="O72" s="16"/>
      <c r="P72" s="16"/>
      <c r="Q72" s="16"/>
      <c r="R72" s="16"/>
      <c r="S72" s="16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</row>
    <row r="73" spans="1:111" s="2" customFormat="1" ht="14.4" x14ac:dyDescent="0.3">
      <c r="A73" s="8"/>
      <c r="B73" s="59">
        <f t="shared" si="2"/>
        <v>2.1000000000000005</v>
      </c>
      <c r="C73" s="60">
        <f t="shared" si="9"/>
        <v>0.90032452258626561</v>
      </c>
      <c r="D73" s="61">
        <f t="shared" si="12"/>
        <v>0.88274660079261225</v>
      </c>
      <c r="E73" s="60">
        <f t="shared" si="1"/>
        <v>0.11725339920738775</v>
      </c>
      <c r="F73" s="62">
        <f t="shared" si="10"/>
        <v>3.7757605024146823E-3</v>
      </c>
      <c r="G73" s="61"/>
      <c r="H73" s="63">
        <f t="shared" si="11"/>
        <v>2.0396458630419462E-3</v>
      </c>
      <c r="I73" s="63">
        <f t="shared" si="6"/>
        <v>0.1</v>
      </c>
      <c r="J73" s="64">
        <f t="shared" si="7"/>
        <v>3.7757605024146823E-4</v>
      </c>
      <c r="K73" s="24"/>
      <c r="L73" s="24"/>
      <c r="N73" s="16"/>
      <c r="O73" s="16"/>
      <c r="P73" s="16"/>
      <c r="Q73" s="16"/>
      <c r="R73" s="16"/>
      <c r="S73" s="16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</row>
    <row r="74" spans="1:111" s="2" customFormat="1" ht="14.4" x14ac:dyDescent="0.3">
      <c r="A74" s="8"/>
      <c r="B74" s="59">
        <f t="shared" si="2"/>
        <v>2.1500000000000004</v>
      </c>
      <c r="C74" s="60">
        <f t="shared" si="9"/>
        <v>0.89807652245080249</v>
      </c>
      <c r="D74" s="61">
        <f t="shared" si="12"/>
        <v>0.87898692151724156</v>
      </c>
      <c r="E74" s="60">
        <f t="shared" si="1"/>
        <v>0.12101307848275844</v>
      </c>
      <c r="F74" s="62">
        <f t="shared" si="10"/>
        <v>3.7596792753706865E-3</v>
      </c>
      <c r="G74" s="61"/>
      <c r="H74" s="63">
        <f t="shared" si="11"/>
        <v>2.0258878134931553E-3</v>
      </c>
      <c r="I74" s="63">
        <f t="shared" si="6"/>
        <v>0.15000000000000002</v>
      </c>
      <c r="J74" s="64">
        <f t="shared" si="7"/>
        <v>5.6395189130560304E-4</v>
      </c>
      <c r="K74" s="24"/>
      <c r="L74" s="24"/>
      <c r="N74" s="16"/>
      <c r="O74" s="16"/>
      <c r="P74" s="16"/>
      <c r="Q74" s="16"/>
      <c r="R74" s="16"/>
      <c r="S74" s="16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</row>
    <row r="75" spans="1:111" s="2" customFormat="1" ht="14.4" x14ac:dyDescent="0.3">
      <c r="A75" s="8"/>
      <c r="B75" s="59">
        <f t="shared" si="2"/>
        <v>2.2000000000000002</v>
      </c>
      <c r="C75" s="60">
        <f t="shared" si="9"/>
        <v>0.89583413529652822</v>
      </c>
      <c r="D75" s="61">
        <f t="shared" si="12"/>
        <v>0.87524325497784861</v>
      </c>
      <c r="E75" s="60">
        <f t="shared" si="1"/>
        <v>0.12475674502215139</v>
      </c>
      <c r="F75" s="62">
        <f t="shared" si="10"/>
        <v>3.7436665393929536E-3</v>
      </c>
      <c r="G75" s="61"/>
      <c r="H75" s="63">
        <f t="shared" si="11"/>
        <v>2.0122225662933795E-3</v>
      </c>
      <c r="I75" s="63">
        <f t="shared" si="6"/>
        <v>0.2</v>
      </c>
      <c r="J75" s="64">
        <f t="shared" si="7"/>
        <v>7.487333078785908E-4</v>
      </c>
      <c r="K75" s="24"/>
      <c r="L75" s="24"/>
      <c r="N75" s="16"/>
      <c r="O75" s="16"/>
      <c r="P75" s="16"/>
      <c r="Q75" s="16"/>
      <c r="R75" s="16"/>
      <c r="S75" s="16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</row>
    <row r="76" spans="1:111" s="2" customFormat="1" ht="14.4" x14ac:dyDescent="0.3">
      <c r="A76" s="8"/>
      <c r="B76" s="59">
        <f t="shared" si="2"/>
        <v>2.25</v>
      </c>
      <c r="C76" s="60">
        <f t="shared" si="9"/>
        <v>0.89359734710851568</v>
      </c>
      <c r="D76" s="61">
        <f t="shared" si="12"/>
        <v>0.87151553297507511</v>
      </c>
      <c r="E76" s="60">
        <f t="shared" si="1"/>
        <v>0.12848446702492489</v>
      </c>
      <c r="F76" s="62">
        <f t="shared" si="10"/>
        <v>3.7277220027734925E-3</v>
      </c>
      <c r="G76" s="61">
        <f>C76*D76*0.25</f>
        <v>0.1946959920575978</v>
      </c>
      <c r="H76" s="63">
        <f t="shared" si="11"/>
        <v>1.9986494954618616E-3</v>
      </c>
      <c r="I76" s="63">
        <v>0</v>
      </c>
      <c r="J76" s="64">
        <f t="shared" si="7"/>
        <v>0</v>
      </c>
      <c r="K76" s="24"/>
      <c r="L76" s="24"/>
      <c r="N76" s="16"/>
      <c r="O76" s="16"/>
      <c r="P76" s="16"/>
      <c r="Q76" s="16"/>
      <c r="R76" s="16"/>
      <c r="S76" s="16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</row>
    <row r="77" spans="1:111" s="2" customFormat="1" ht="14.4" x14ac:dyDescent="0.3">
      <c r="A77" s="8"/>
      <c r="B77" s="59">
        <f t="shared" si="2"/>
        <v>2.2999999999999998</v>
      </c>
      <c r="C77" s="60">
        <f t="shared" si="9"/>
        <v>0.89136614390683133</v>
      </c>
      <c r="D77" s="61">
        <f t="shared" si="12"/>
        <v>0.86780368760002868</v>
      </c>
      <c r="E77" s="60">
        <f t="shared" si="1"/>
        <v>0.13219631239997132</v>
      </c>
      <c r="F77" s="62">
        <f t="shared" si="10"/>
        <v>3.7118453750464298E-3</v>
      </c>
      <c r="G77" s="61"/>
      <c r="H77" s="63">
        <f t="shared" si="11"/>
        <v>1.9851679792401255E-3</v>
      </c>
      <c r="I77" s="63">
        <f t="shared" si="6"/>
        <v>0.05</v>
      </c>
      <c r="J77" s="64">
        <f t="shared" si="7"/>
        <v>1.855922687523215E-4</v>
      </c>
      <c r="K77" s="24"/>
      <c r="L77" s="24"/>
      <c r="N77" s="16"/>
      <c r="O77" s="16"/>
      <c r="P77" s="16"/>
      <c r="Q77" s="16"/>
      <c r="R77" s="16"/>
      <c r="S77" s="16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</row>
    <row r="78" spans="1:111" s="2" customFormat="1" ht="14.4" x14ac:dyDescent="0.3">
      <c r="A78" s="8"/>
      <c r="B78" s="59">
        <f t="shared" si="2"/>
        <v>2.3499999999999996</v>
      </c>
      <c r="C78" s="60">
        <f t="shared" si="9"/>
        <v>0.88914051174644804</v>
      </c>
      <c r="D78" s="61">
        <f t="shared" si="12"/>
        <v>0.86410765123304578</v>
      </c>
      <c r="E78" s="60">
        <f t="shared" si="1"/>
        <v>0.13589234876695422</v>
      </c>
      <c r="F78" s="62">
        <f t="shared" si="10"/>
        <v>3.6960363669829022E-3</v>
      </c>
      <c r="G78" s="61"/>
      <c r="H78" s="63">
        <f t="shared" si="11"/>
        <v>1.971777400063596E-3</v>
      </c>
      <c r="I78" s="63">
        <f t="shared" si="6"/>
        <v>0.1</v>
      </c>
      <c r="J78" s="64">
        <f t="shared" si="7"/>
        <v>3.6960363669829026E-4</v>
      </c>
      <c r="K78" s="24"/>
      <c r="L78" s="24"/>
      <c r="N78" s="16"/>
      <c r="O78" s="16"/>
      <c r="P78" s="16"/>
      <c r="Q78" s="16"/>
      <c r="R78" s="16"/>
      <c r="S78" s="16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</row>
    <row r="79" spans="1:111" s="2" customFormat="1" ht="14.4" x14ac:dyDescent="0.3">
      <c r="A79" s="8"/>
      <c r="B79" s="59">
        <f t="shared" si="2"/>
        <v>2.3999999999999995</v>
      </c>
      <c r="C79" s="60">
        <f t="shared" si="9"/>
        <v>0.88692043671715748</v>
      </c>
      <c r="D79" s="61">
        <f t="shared" si="12"/>
        <v>0.86042735654245961</v>
      </c>
      <c r="E79" s="60">
        <f t="shared" si="1"/>
        <v>0.13957264345754039</v>
      </c>
      <c r="F79" s="62">
        <f t="shared" si="10"/>
        <v>3.6802946905861722E-3</v>
      </c>
      <c r="G79" s="61"/>
      <c r="H79" s="63">
        <f t="shared" si="11"/>
        <v>1.9584771445335142E-3</v>
      </c>
      <c r="I79" s="63">
        <f t="shared" si="6"/>
        <v>0.15000000000000002</v>
      </c>
      <c r="J79" s="64">
        <f t="shared" si="7"/>
        <v>5.5204420358792594E-4</v>
      </c>
      <c r="K79" s="24"/>
      <c r="L79" s="24"/>
      <c r="N79" s="16"/>
      <c r="O79" s="16"/>
      <c r="P79" s="16"/>
      <c r="Q79" s="16"/>
      <c r="R79" s="16"/>
      <c r="S79" s="16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</row>
    <row r="80" spans="1:111" s="2" customFormat="1" ht="14.4" x14ac:dyDescent="0.3">
      <c r="A80" s="8"/>
      <c r="B80" s="59">
        <f t="shared" si="2"/>
        <v>2.4499999999999993</v>
      </c>
      <c r="C80" s="60">
        <f t="shared" si="9"/>
        <v>0.88470590494348356</v>
      </c>
      <c r="D80" s="61">
        <f t="shared" si="12"/>
        <v>0.85676273648337353</v>
      </c>
      <c r="E80" s="60">
        <f t="shared" si="1"/>
        <v>0.14323726351662647</v>
      </c>
      <c r="F80" s="62">
        <f t="shared" si="10"/>
        <v>3.6646200590860767E-3</v>
      </c>
      <c r="G80" s="61"/>
      <c r="H80" s="63">
        <f t="shared" si="11"/>
        <v>1.9452666033886738E-3</v>
      </c>
      <c r="I80" s="63">
        <f t="shared" si="6"/>
        <v>0.2</v>
      </c>
      <c r="J80" s="64">
        <f t="shared" si="7"/>
        <v>7.3292401181721542E-4</v>
      </c>
      <c r="K80" s="24"/>
      <c r="L80" s="24"/>
      <c r="N80" s="16"/>
      <c r="O80" s="16"/>
      <c r="P80" s="16"/>
      <c r="Q80" s="16"/>
      <c r="R80" s="16"/>
      <c r="S80" s="16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</row>
    <row r="81" spans="1:111" s="2" customFormat="1" ht="14.4" x14ac:dyDescent="0.3">
      <c r="A81" s="8"/>
      <c r="B81" s="59">
        <f t="shared" si="2"/>
        <v>2.4999999999999991</v>
      </c>
      <c r="C81" s="60">
        <f t="shared" si="9"/>
        <v>0.88249690258459546</v>
      </c>
      <c r="D81" s="61">
        <f t="shared" si="12"/>
        <v>0.85311372429644006</v>
      </c>
      <c r="E81" s="60">
        <f t="shared" si="1"/>
        <v>0.14688627570355994</v>
      </c>
      <c r="F81" s="62">
        <f t="shared" si="10"/>
        <v>3.6490121869334757E-3</v>
      </c>
      <c r="G81" s="61">
        <f>C81*D81*0.25</f>
        <v>0.18821755481100422</v>
      </c>
      <c r="H81" s="63">
        <f t="shared" si="11"/>
        <v>1.9321451714773398E-3</v>
      </c>
      <c r="I81" s="63">
        <v>0</v>
      </c>
      <c r="J81" s="64">
        <f t="shared" si="7"/>
        <v>0</v>
      </c>
      <c r="K81" s="24"/>
      <c r="L81" s="24"/>
      <c r="N81" s="16"/>
      <c r="O81" s="16"/>
      <c r="P81" s="16"/>
      <c r="Q81" s="16"/>
      <c r="R81" s="16"/>
      <c r="S81" s="16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</row>
    <row r="82" spans="1:111" s="2" customFormat="1" ht="14.4" x14ac:dyDescent="0.3">
      <c r="A82" s="8"/>
      <c r="B82" s="59">
        <f t="shared" si="2"/>
        <v>2.5499999999999989</v>
      </c>
      <c r="C82" s="60">
        <f t="shared" si="9"/>
        <v>0.88029341583422116</v>
      </c>
      <c r="D82" s="61">
        <f t="shared" si="12"/>
        <v>0.84948025350664413</v>
      </c>
      <c r="E82" s="60">
        <f t="shared" si="1"/>
        <v>0.15051974649335587</v>
      </c>
      <c r="F82" s="62">
        <f t="shared" si="10"/>
        <v>3.6334707897959229E-3</v>
      </c>
      <c r="G82" s="61"/>
      <c r="H82" s="63">
        <f t="shared" si="11"/>
        <v>1.919112247729991E-3</v>
      </c>
      <c r="I82" s="63">
        <f t="shared" si="6"/>
        <v>0.05</v>
      </c>
      <c r="J82" s="64">
        <f t="shared" si="7"/>
        <v>1.8167353948979616E-4</v>
      </c>
      <c r="K82" s="24"/>
      <c r="L82" s="24"/>
      <c r="N82" s="16"/>
      <c r="O82" s="16"/>
      <c r="P82" s="16"/>
      <c r="Q82" s="16"/>
      <c r="R82" s="16"/>
      <c r="S82" s="16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</row>
    <row r="83" spans="1:111" s="2" customFormat="1" ht="14.4" x14ac:dyDescent="0.3">
      <c r="A83" s="8"/>
      <c r="B83" s="59">
        <f t="shared" si="2"/>
        <v>2.5999999999999988</v>
      </c>
      <c r="C83" s="60">
        <f t="shared" si="9"/>
        <v>0.87809543092056142</v>
      </c>
      <c r="D83" s="61">
        <f t="shared" si="12"/>
        <v>0.84586225792209258</v>
      </c>
      <c r="E83" s="60">
        <f t="shared" si="1"/>
        <v>0.15413774207790742</v>
      </c>
      <c r="F83" s="62">
        <f t="shared" si="10"/>
        <v>3.6179955845515588E-3</v>
      </c>
      <c r="G83" s="61"/>
      <c r="H83" s="63">
        <f t="shared" si="11"/>
        <v>1.9061672351312936E-3</v>
      </c>
      <c r="I83" s="63">
        <f t="shared" si="6"/>
        <v>0.1</v>
      </c>
      <c r="J83" s="64">
        <f t="shared" si="7"/>
        <v>3.6179955845515592E-4</v>
      </c>
      <c r="K83" s="24"/>
      <c r="L83" s="24"/>
      <c r="N83" s="16"/>
      <c r="O83" s="16"/>
      <c r="P83" s="16"/>
      <c r="Q83" s="16"/>
      <c r="R83" s="16"/>
      <c r="S83" s="16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</row>
    <row r="84" spans="1:111" s="2" customFormat="1" ht="14.4" x14ac:dyDescent="0.3">
      <c r="A84" s="8"/>
      <c r="B84" s="59">
        <f t="shared" si="2"/>
        <v>2.6499999999999986</v>
      </c>
      <c r="C84" s="60">
        <f t="shared" si="9"/>
        <v>0.87590293410620323</v>
      </c>
      <c r="D84" s="61">
        <f t="shared" si="12"/>
        <v>0.84225967163280813</v>
      </c>
      <c r="E84" s="60">
        <f t="shared" si="1"/>
        <v>0.15774032836719187</v>
      </c>
      <c r="F84" s="62">
        <f t="shared" si="10"/>
        <v>3.6025862892844485E-3</v>
      </c>
      <c r="G84" s="61"/>
      <c r="H84" s="63">
        <f t="shared" si="11"/>
        <v>1.8933095406930165E-3</v>
      </c>
      <c r="I84" s="63">
        <f t="shared" si="6"/>
        <v>0.15000000000000002</v>
      </c>
      <c r="J84" s="64">
        <f t="shared" si="7"/>
        <v>5.403879433926674E-4</v>
      </c>
      <c r="K84" s="24"/>
      <c r="L84" s="24"/>
      <c r="N84" s="16"/>
      <c r="O84" s="16"/>
      <c r="P84" s="16"/>
      <c r="Q84" s="16"/>
      <c r="R84" s="16"/>
      <c r="S84" s="16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</row>
    <row r="85" spans="1:111" s="2" customFormat="1" ht="14.4" x14ac:dyDescent="0.3">
      <c r="A85" s="8"/>
      <c r="B85" s="59">
        <f t="shared" si="2"/>
        <v>2.6999999999999984</v>
      </c>
      <c r="C85" s="60">
        <f t="shared" si="9"/>
        <v>0.87371591168803453</v>
      </c>
      <c r="D85" s="61">
        <f t="shared" si="12"/>
        <v>0.83867242900952865</v>
      </c>
      <c r="E85" s="60">
        <f t="shared" si="1"/>
        <v>0.16132757099047135</v>
      </c>
      <c r="F85" s="62">
        <f t="shared" si="10"/>
        <v>3.5872426232794741E-3</v>
      </c>
      <c r="G85" s="61"/>
      <c r="H85" s="63">
        <f t="shared" si="11"/>
        <v>1.8805385754268812E-3</v>
      </c>
      <c r="I85" s="63">
        <f t="shared" si="6"/>
        <v>0.2</v>
      </c>
      <c r="J85" s="64">
        <f t="shared" si="7"/>
        <v>7.1744852465589488E-4</v>
      </c>
      <c r="K85" s="24"/>
      <c r="L85" s="24"/>
      <c r="N85" s="16"/>
      <c r="O85" s="16"/>
      <c r="P85" s="16"/>
      <c r="Q85" s="16"/>
      <c r="R85" s="16"/>
      <c r="S85" s="16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</row>
    <row r="86" spans="1:111" s="2" customFormat="1" ht="14.4" x14ac:dyDescent="0.3">
      <c r="A86" s="8"/>
      <c r="B86" s="59">
        <f t="shared" si="2"/>
        <v>2.7499999999999982</v>
      </c>
      <c r="C86" s="60">
        <f t="shared" si="9"/>
        <v>0.87153434999715795</v>
      </c>
      <c r="D86" s="61">
        <f t="shared" si="12"/>
        <v>0.83510046470251154</v>
      </c>
      <c r="E86" s="60">
        <f t="shared" si="1"/>
        <v>0.16489953529748846</v>
      </c>
      <c r="F86" s="62">
        <f t="shared" si="10"/>
        <v>3.571964307017117E-3</v>
      </c>
      <c r="G86" s="61">
        <f>C86*D86*0.25</f>
        <v>0.18195468517170699</v>
      </c>
      <c r="H86" s="63">
        <f t="shared" si="11"/>
        <v>1.8678537543175269E-3</v>
      </c>
      <c r="I86" s="63">
        <v>0</v>
      </c>
      <c r="J86" s="64">
        <f t="shared" si="7"/>
        <v>0</v>
      </c>
      <c r="K86" s="24"/>
      <c r="L86" s="24"/>
      <c r="N86" s="16"/>
      <c r="O86" s="16"/>
      <c r="P86" s="16"/>
      <c r="Q86" s="16"/>
      <c r="R86" s="16"/>
      <c r="S86" s="16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</row>
    <row r="87" spans="1:111" s="2" customFormat="1" ht="14.4" x14ac:dyDescent="0.3">
      <c r="A87" s="8"/>
      <c r="B87" s="59">
        <f t="shared" si="2"/>
        <v>2.799999999999998</v>
      </c>
      <c r="C87" s="60">
        <f t="shared" si="9"/>
        <v>0.86935823539880586</v>
      </c>
      <c r="D87" s="61">
        <f t="shared" si="12"/>
        <v>0.83154371364034341</v>
      </c>
      <c r="E87" s="60">
        <f t="shared" si="1"/>
        <v>0.16845628635965659</v>
      </c>
      <c r="F87" s="62">
        <f t="shared" si="10"/>
        <v>3.5567510621681286E-3</v>
      </c>
      <c r="G87" s="61"/>
      <c r="H87" s="63">
        <f t="shared" si="11"/>
        <v>1.8552544962955877E-3</v>
      </c>
      <c r="I87" s="63">
        <f t="shared" si="6"/>
        <v>0.05</v>
      </c>
      <c r="J87" s="64">
        <f t="shared" si="7"/>
        <v>1.7783755310840643E-4</v>
      </c>
      <c r="K87" s="24"/>
      <c r="L87" s="24"/>
      <c r="N87" s="16"/>
      <c r="O87" s="16"/>
      <c r="P87" s="16"/>
      <c r="Q87" s="16"/>
      <c r="R87" s="16"/>
      <c r="S87" s="16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</row>
    <row r="88" spans="1:111" s="2" customFormat="1" ht="14.4" x14ac:dyDescent="0.3">
      <c r="A88" s="8"/>
      <c r="B88" s="59">
        <f t="shared" si="2"/>
        <v>2.8499999999999979</v>
      </c>
      <c r="C88" s="60">
        <f t="shared" si="9"/>
        <v>0.86718755429225503</v>
      </c>
      <c r="D88" s="61">
        <f t="shared" si="12"/>
        <v>0.82800211102875454</v>
      </c>
      <c r="E88" s="60">
        <f t="shared" si="1"/>
        <v>0.17199788897124546</v>
      </c>
      <c r="F88" s="62">
        <f t="shared" si="10"/>
        <v>3.5416026115888677E-3</v>
      </c>
      <c r="G88" s="61"/>
      <c r="H88" s="63">
        <f t="shared" si="11"/>
        <v>1.8427402242112878E-3</v>
      </c>
      <c r="I88" s="63">
        <f t="shared" si="6"/>
        <v>0.1</v>
      </c>
      <c r="J88" s="64">
        <f t="shared" si="7"/>
        <v>3.5416026115888679E-4</v>
      </c>
      <c r="K88" s="24"/>
      <c r="L88" s="24"/>
      <c r="N88" s="16"/>
      <c r="O88" s="16"/>
      <c r="P88" s="16"/>
      <c r="Q88" s="16"/>
      <c r="R88" s="16"/>
      <c r="S88" s="16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</row>
    <row r="89" spans="1:111" s="2" customFormat="1" ht="14.4" x14ac:dyDescent="0.3">
      <c r="A89" s="8"/>
      <c r="B89" s="59">
        <f t="shared" si="2"/>
        <v>2.8999999999999977</v>
      </c>
      <c r="C89" s="60">
        <f t="shared" si="9"/>
        <v>0.86502229311074141</v>
      </c>
      <c r="D89" s="61">
        <f t="shared" si="12"/>
        <v>0.82447559234943846</v>
      </c>
      <c r="E89" s="60">
        <f t="shared" si="1"/>
        <v>0.17552440765056154</v>
      </c>
      <c r="F89" s="62">
        <f t="shared" si="10"/>
        <v>3.5265186793160819E-3</v>
      </c>
      <c r="G89" s="61"/>
      <c r="H89" s="63">
        <f t="shared" si="11"/>
        <v>1.8303103648079162E-3</v>
      </c>
      <c r="I89" s="63">
        <f t="shared" si="6"/>
        <v>0.15000000000000002</v>
      </c>
      <c r="J89" s="64">
        <f t="shared" si="7"/>
        <v>5.2897780189741232E-4</v>
      </c>
      <c r="K89" s="24"/>
      <c r="L89" s="24"/>
      <c r="N89" s="16"/>
      <c r="O89" s="16"/>
      <c r="P89" s="16"/>
      <c r="Q89" s="16"/>
      <c r="R89" s="16"/>
      <c r="S89" s="16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</row>
    <row r="90" spans="1:111" s="2" customFormat="1" ht="14.4" x14ac:dyDescent="0.3">
      <c r="A90" s="8"/>
      <c r="B90" s="59">
        <f t="shared" si="2"/>
        <v>2.9499999999999975</v>
      </c>
      <c r="C90" s="60">
        <f t="shared" si="9"/>
        <v>0.86286243832137555</v>
      </c>
      <c r="D90" s="61">
        <f t="shared" si="12"/>
        <v>0.82096409335887666</v>
      </c>
      <c r="E90" s="60">
        <f t="shared" si="1"/>
        <v>0.17903590664112334</v>
      </c>
      <c r="F90" s="62">
        <f t="shared" si="10"/>
        <v>3.511498990561801E-3</v>
      </c>
      <c r="G90" s="61"/>
      <c r="H90" s="63">
        <f t="shared" si="11"/>
        <v>1.8179643486955226E-3</v>
      </c>
      <c r="I90" s="63">
        <f t="shared" si="6"/>
        <v>0.2</v>
      </c>
      <c r="J90" s="64">
        <f t="shared" si="7"/>
        <v>7.0229979811236025E-4</v>
      </c>
      <c r="K90" s="24"/>
      <c r="L90" s="24"/>
      <c r="N90" s="16"/>
      <c r="O90" s="16"/>
      <c r="P90" s="16"/>
      <c r="Q90" s="16"/>
      <c r="R90" s="16"/>
      <c r="S90" s="16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</row>
    <row r="91" spans="1:111" s="2" customFormat="1" ht="14.4" x14ac:dyDescent="0.3">
      <c r="A91" s="8"/>
      <c r="B91" s="59">
        <f t="shared" si="2"/>
        <v>2.9999999999999973</v>
      </c>
      <c r="C91" s="60">
        <f t="shared" si="9"/>
        <v>0.86070797642505792</v>
      </c>
      <c r="D91" s="61">
        <f t="shared" si="12"/>
        <v>0.81746755008716832</v>
      </c>
      <c r="E91" s="60">
        <f t="shared" si="1"/>
        <v>0.18253244991283168</v>
      </c>
      <c r="F91" s="62">
        <f t="shared" si="10"/>
        <v>3.4965432717083411E-3</v>
      </c>
      <c r="G91" s="61">
        <f>C91*D91*0.25</f>
        <v>0.17590021020716909</v>
      </c>
      <c r="H91" s="63">
        <f t="shared" si="11"/>
        <v>1.8057016103248426E-3</v>
      </c>
      <c r="I91" s="63">
        <v>0</v>
      </c>
      <c r="J91" s="64">
        <f t="shared" si="7"/>
        <v>0</v>
      </c>
      <c r="K91" s="24"/>
      <c r="L91" s="24"/>
      <c r="N91" s="16"/>
      <c r="O91" s="16"/>
      <c r="P91" s="16"/>
      <c r="Q91" s="16"/>
      <c r="R91" s="16"/>
      <c r="S91" s="16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</row>
    <row r="92" spans="1:111" s="2" customFormat="1" ht="14.4" x14ac:dyDescent="0.3">
      <c r="A92" s="8"/>
      <c r="B92" s="59">
        <f t="shared" si="2"/>
        <v>3.0499999999999972</v>
      </c>
      <c r="C92" s="60">
        <f t="shared" si="9"/>
        <v>0.85855889395639473</v>
      </c>
      <c r="D92" s="61">
        <f t="shared" ref="D92:D111" si="13">D91*EXP(-0.05*HazardRate4)</f>
        <v>0.81314838294924796</v>
      </c>
      <c r="E92" s="60">
        <f t="shared" si="1"/>
        <v>0.18685161705075204</v>
      </c>
      <c r="F92" s="62">
        <f t="shared" si="10"/>
        <v>4.3191671379203544E-3</v>
      </c>
      <c r="G92" s="61"/>
      <c r="H92" s="63">
        <f t="shared" si="11"/>
        <v>2.2249556164474237E-3</v>
      </c>
      <c r="I92" s="63">
        <f t="shared" si="6"/>
        <v>0.05</v>
      </c>
      <c r="J92" s="64">
        <f t="shared" si="7"/>
        <v>2.1595835689601774E-4</v>
      </c>
      <c r="K92" s="24"/>
      <c r="L92" s="24"/>
      <c r="N92" s="16"/>
      <c r="O92" s="16"/>
      <c r="P92" s="16"/>
      <c r="Q92" s="16"/>
      <c r="R92" s="16"/>
      <c r="S92" s="16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</row>
    <row r="93" spans="1:111" s="2" customFormat="1" ht="14.4" x14ac:dyDescent="0.3">
      <c r="A93" s="8"/>
      <c r="B93" s="59">
        <f t="shared" si="2"/>
        <v>3.099999999999997</v>
      </c>
      <c r="C93" s="60">
        <f t="shared" si="9"/>
        <v>0.85641517748361362</v>
      </c>
      <c r="D93" s="61">
        <f t="shared" si="13"/>
        <v>0.80885203653951843</v>
      </c>
      <c r="E93" s="60">
        <f t="shared" si="1"/>
        <v>0.19114796346048157</v>
      </c>
      <c r="F93" s="62">
        <f t="shared" si="10"/>
        <v>4.2963464097295345E-3</v>
      </c>
      <c r="G93" s="61"/>
      <c r="H93" s="63">
        <f t="shared" si="11"/>
        <v>2.2076737638117632E-3</v>
      </c>
      <c r="I93" s="63">
        <f t="shared" si="6"/>
        <v>0.1</v>
      </c>
      <c r="J93" s="64">
        <f t="shared" si="7"/>
        <v>4.2963464097295345E-4</v>
      </c>
      <c r="K93" s="24"/>
      <c r="L93" s="24"/>
      <c r="N93" s="16"/>
      <c r="O93" s="16"/>
      <c r="P93" s="16"/>
      <c r="Q93" s="16"/>
      <c r="R93" s="16"/>
      <c r="S93" s="16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</row>
    <row r="94" spans="1:111" s="2" customFormat="1" ht="14.4" x14ac:dyDescent="0.3">
      <c r="A94" s="8"/>
      <c r="B94" s="59">
        <f t="shared" si="2"/>
        <v>3.1499999999999968</v>
      </c>
      <c r="C94" s="60">
        <f t="shared" si="9"/>
        <v>0.85427681360847962</v>
      </c>
      <c r="D94" s="61">
        <f t="shared" si="13"/>
        <v>0.80457839028250322</v>
      </c>
      <c r="E94" s="60">
        <f t="shared" si="1"/>
        <v>0.19542160971749678</v>
      </c>
      <c r="F94" s="62">
        <f t="shared" si="10"/>
        <v>4.2736462570152067E-3</v>
      </c>
      <c r="G94" s="61"/>
      <c r="H94" s="63">
        <f t="shared" si="11"/>
        <v>2.1905261441596538E-3</v>
      </c>
      <c r="I94" s="63">
        <f t="shared" si="6"/>
        <v>0.15000000000000002</v>
      </c>
      <c r="J94" s="64">
        <f t="shared" si="7"/>
        <v>6.4104693855228107E-4</v>
      </c>
      <c r="K94" s="24"/>
      <c r="L94" s="24"/>
      <c r="N94" s="16"/>
      <c r="O94" s="16"/>
      <c r="P94" s="16"/>
      <c r="Q94" s="16"/>
      <c r="R94" s="16"/>
      <c r="S94" s="16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</row>
    <row r="95" spans="1:111" s="2" customFormat="1" ht="14.4" x14ac:dyDescent="0.3">
      <c r="A95" s="8"/>
      <c r="B95" s="59">
        <f t="shared" si="2"/>
        <v>3.1999999999999966</v>
      </c>
      <c r="C95" s="60">
        <f t="shared" ref="C95:C126" si="14">EXP(-IRate*B95)</f>
        <v>0.85214378896621146</v>
      </c>
      <c r="D95" s="61">
        <f t="shared" si="13"/>
        <v>0.80032732423979802</v>
      </c>
      <c r="E95" s="60">
        <f t="shared" ref="E95:E130" si="15">1-D95</f>
        <v>0.19967267576020198</v>
      </c>
      <c r="F95" s="62">
        <f t="shared" si="10"/>
        <v>4.2510660427051983E-3</v>
      </c>
      <c r="G95" s="61"/>
      <c r="H95" s="63">
        <f t="shared" si="11"/>
        <v>2.1735117148658435E-3</v>
      </c>
      <c r="I95" s="63">
        <f t="shared" si="6"/>
        <v>0.2</v>
      </c>
      <c r="J95" s="64">
        <f t="shared" si="7"/>
        <v>8.5021320854103974E-4</v>
      </c>
      <c r="K95" s="24"/>
      <c r="L95" s="24"/>
      <c r="N95" s="16"/>
      <c r="O95" s="16"/>
      <c r="P95" s="16"/>
      <c r="Q95" s="16"/>
      <c r="R95" s="16"/>
      <c r="S95" s="16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</row>
    <row r="96" spans="1:111" s="2" customFormat="1" ht="14.4" x14ac:dyDescent="0.3">
      <c r="A96" s="8"/>
      <c r="B96" s="59">
        <f t="shared" ref="B96:B131" si="16">B95+0.05</f>
        <v>3.2499999999999964</v>
      </c>
      <c r="C96" s="60">
        <f t="shared" si="14"/>
        <v>0.85001609022539826</v>
      </c>
      <c r="D96" s="61">
        <f t="shared" si="13"/>
        <v>0.79609871910670416</v>
      </c>
      <c r="E96" s="60">
        <f t="shared" si="15"/>
        <v>0.20390128089329584</v>
      </c>
      <c r="F96" s="62">
        <f t="shared" ref="F96:F131" si="17">D95-D96</f>
        <v>4.2286051330938657E-3</v>
      </c>
      <c r="G96" s="61">
        <f>C96*D96*0.25</f>
        <v>0.16917418016213207</v>
      </c>
      <c r="H96" s="63">
        <f t="shared" ref="H96:H131" si="18">F96*C96*(1-Recovery)</f>
        <v>2.1566294414036985E-3</v>
      </c>
      <c r="I96" s="63">
        <v>0</v>
      </c>
      <c r="J96" s="64">
        <f t="shared" si="7"/>
        <v>0</v>
      </c>
      <c r="K96" s="24"/>
      <c r="L96" s="24"/>
      <c r="N96" s="16"/>
      <c r="O96" s="16"/>
      <c r="P96" s="16"/>
      <c r="Q96" s="16"/>
      <c r="R96" s="16"/>
      <c r="S96" s="16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</row>
    <row r="97" spans="1:111" s="2" customFormat="1" ht="14.4" x14ac:dyDescent="0.3">
      <c r="A97" s="8"/>
      <c r="B97" s="59">
        <f t="shared" si="16"/>
        <v>3.2999999999999963</v>
      </c>
      <c r="C97" s="60">
        <f t="shared" si="14"/>
        <v>0.84789370408791598</v>
      </c>
      <c r="D97" s="61">
        <f t="shared" si="13"/>
        <v>0.79189245620888093</v>
      </c>
      <c r="E97" s="60">
        <f t="shared" si="15"/>
        <v>0.20810754379111907</v>
      </c>
      <c r="F97" s="62">
        <f t="shared" si="17"/>
        <v>4.2062628978232208E-3</v>
      </c>
      <c r="G97" s="61"/>
      <c r="H97" s="63">
        <f t="shared" si="18"/>
        <v>2.1398782972817409E-3</v>
      </c>
      <c r="I97" s="63">
        <f t="shared" si="6"/>
        <v>0.05</v>
      </c>
      <c r="J97" s="64">
        <f t="shared" si="7"/>
        <v>2.1031314489116106E-4</v>
      </c>
      <c r="K97" s="24"/>
      <c r="L97" s="24"/>
      <c r="N97" s="16"/>
      <c r="O97" s="16"/>
      <c r="P97" s="16"/>
      <c r="Q97" s="16"/>
      <c r="R97" s="16"/>
      <c r="S97" s="16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</row>
    <row r="98" spans="1:111" s="2" customFormat="1" ht="14.4" x14ac:dyDescent="0.3">
      <c r="A98" s="8"/>
      <c r="B98" s="59">
        <f t="shared" si="16"/>
        <v>3.3499999999999961</v>
      </c>
      <c r="C98" s="60">
        <f t="shared" si="14"/>
        <v>0.84577661728884435</v>
      </c>
      <c r="D98" s="61">
        <f t="shared" si="13"/>
        <v>0.78770841749901455</v>
      </c>
      <c r="E98" s="60">
        <f t="shared" si="15"/>
        <v>0.21229158250098545</v>
      </c>
      <c r="F98" s="62">
        <f t="shared" si="17"/>
        <v>4.1840387098663889E-3</v>
      </c>
      <c r="G98" s="61"/>
      <c r="H98" s="63">
        <f t="shared" si="18"/>
        <v>2.123257263981825E-3</v>
      </c>
      <c r="I98" s="63">
        <f t="shared" ref="I98:I131" si="19">I97+0.05</f>
        <v>0.1</v>
      </c>
      <c r="J98" s="64">
        <f t="shared" si="7"/>
        <v>4.184038709866389E-4</v>
      </c>
      <c r="K98" s="24"/>
      <c r="L98" s="24"/>
      <c r="N98" s="16"/>
      <c r="O98" s="16"/>
      <c r="P98" s="16"/>
      <c r="Q98" s="16"/>
      <c r="R98" s="16"/>
      <c r="S98" s="16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</row>
    <row r="99" spans="1:111" s="2" customFormat="1" ht="14.4" x14ac:dyDescent="0.3">
      <c r="A99" s="8"/>
      <c r="B99" s="59">
        <f t="shared" si="16"/>
        <v>3.3999999999999959</v>
      </c>
      <c r="C99" s="60">
        <f t="shared" si="14"/>
        <v>0.84366481659638382</v>
      </c>
      <c r="D99" s="61">
        <f t="shared" si="13"/>
        <v>0.78354648555350537</v>
      </c>
      <c r="E99" s="60">
        <f t="shared" si="15"/>
        <v>0.21645351444649463</v>
      </c>
      <c r="F99" s="62">
        <f t="shared" si="17"/>
        <v>4.1619319455091786E-3</v>
      </c>
      <c r="G99" s="61"/>
      <c r="H99" s="63">
        <f t="shared" si="18"/>
        <v>2.1067653308967792E-3</v>
      </c>
      <c r="I99" s="63">
        <f t="shared" si="19"/>
        <v>0.15000000000000002</v>
      </c>
      <c r="J99" s="64">
        <f t="shared" si="7"/>
        <v>6.2428979182637691E-4</v>
      </c>
      <c r="K99" s="24"/>
      <c r="L99" s="24"/>
      <c r="N99" s="16"/>
      <c r="O99" s="16"/>
      <c r="P99" s="16"/>
      <c r="Q99" s="16"/>
      <c r="R99" s="16"/>
      <c r="S99" s="16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</row>
    <row r="100" spans="1:111" s="2" customFormat="1" ht="14.4" x14ac:dyDescent="0.3">
      <c r="A100" s="8"/>
      <c r="B100" s="59">
        <f t="shared" si="16"/>
        <v>3.4499999999999957</v>
      </c>
      <c r="C100" s="60">
        <f t="shared" si="14"/>
        <v>0.84155828881177341</v>
      </c>
      <c r="D100" s="61">
        <f t="shared" si="13"/>
        <v>0.77940654356917249</v>
      </c>
      <c r="E100" s="60">
        <f t="shared" si="15"/>
        <v>0.22059345643082751</v>
      </c>
      <c r="F100" s="62">
        <f t="shared" si="17"/>
        <v>4.1399419843328733E-3</v>
      </c>
      <c r="G100" s="61"/>
      <c r="H100" s="63">
        <f t="shared" si="18"/>
        <v>2.0904014952691143E-3</v>
      </c>
      <c r="I100" s="63">
        <f t="shared" si="19"/>
        <v>0.2</v>
      </c>
      <c r="J100" s="64">
        <f t="shared" si="7"/>
        <v>8.2798839686657475E-4</v>
      </c>
      <c r="K100" s="24"/>
      <c r="L100" s="24"/>
      <c r="N100" s="16"/>
      <c r="O100" s="16"/>
      <c r="P100" s="16"/>
      <c r="Q100" s="16"/>
      <c r="R100" s="16"/>
      <c r="S100" s="16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</row>
    <row r="101" spans="1:111" s="2" customFormat="1" ht="14.4" x14ac:dyDescent="0.3">
      <c r="A101" s="8"/>
      <c r="B101" s="59">
        <f t="shared" si="16"/>
        <v>3.4999999999999956</v>
      </c>
      <c r="C101" s="60">
        <f t="shared" si="14"/>
        <v>0.83945702076920758</v>
      </c>
      <c r="D101" s="61">
        <f t="shared" si="13"/>
        <v>0.77528847535997558</v>
      </c>
      <c r="E101" s="60">
        <f t="shared" si="15"/>
        <v>0.22471152464002442</v>
      </c>
      <c r="F101" s="62">
        <f t="shared" si="17"/>
        <v>4.1180682091969123E-3</v>
      </c>
      <c r="G101" s="61">
        <f>C101*D101*0.25</f>
        <v>0.16270533844059656</v>
      </c>
      <c r="H101" s="63">
        <f t="shared" si="18"/>
        <v>2.0741647621300954E-3</v>
      </c>
      <c r="I101" s="63">
        <v>0</v>
      </c>
      <c r="J101" s="64">
        <f t="shared" ref="J101:J131" si="20">I101*F101</f>
        <v>0</v>
      </c>
      <c r="K101" s="24"/>
      <c r="L101" s="24"/>
      <c r="N101" s="16"/>
      <c r="O101" s="16"/>
      <c r="P101" s="16"/>
      <c r="Q101" s="16"/>
      <c r="R101" s="16"/>
      <c r="S101" s="16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</row>
    <row r="102" spans="1:111" s="2" customFormat="1" ht="14.4" x14ac:dyDescent="0.3">
      <c r="A102" s="8"/>
      <c r="B102" s="59">
        <f t="shared" si="16"/>
        <v>3.5499999999999954</v>
      </c>
      <c r="C102" s="60">
        <f t="shared" si="14"/>
        <v>0.83736099933575403</v>
      </c>
      <c r="D102" s="61">
        <f t="shared" si="13"/>
        <v>0.77119216535375446</v>
      </c>
      <c r="E102" s="60">
        <f t="shared" si="15"/>
        <v>0.22880783464624554</v>
      </c>
      <c r="F102" s="62">
        <f t="shared" si="17"/>
        <v>4.0963100062211266E-3</v>
      </c>
      <c r="G102" s="61"/>
      <c r="H102" s="63">
        <f t="shared" si="18"/>
        <v>2.0580541442390228E-3</v>
      </c>
      <c r="I102" s="63">
        <f t="shared" si="19"/>
        <v>0.05</v>
      </c>
      <c r="J102" s="64">
        <f t="shared" si="20"/>
        <v>2.0481550031105635E-4</v>
      </c>
      <c r="K102" s="24"/>
      <c r="L102" s="24"/>
      <c r="N102" s="16"/>
      <c r="O102" s="16"/>
      <c r="P102" s="16"/>
      <c r="Q102" s="16"/>
      <c r="R102" s="16"/>
      <c r="S102" s="16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</row>
    <row r="103" spans="1:111" s="2" customFormat="1" ht="14.4" x14ac:dyDescent="0.3">
      <c r="A103" s="8"/>
      <c r="B103" s="59">
        <f t="shared" si="16"/>
        <v>3.5999999999999952</v>
      </c>
      <c r="C103" s="60">
        <f t="shared" si="14"/>
        <v>0.83527021141127222</v>
      </c>
      <c r="D103" s="61">
        <f t="shared" si="13"/>
        <v>0.76711749858898515</v>
      </c>
      <c r="E103" s="60">
        <f t="shared" si="15"/>
        <v>0.23288250141101485</v>
      </c>
      <c r="F103" s="62">
        <f t="shared" si="17"/>
        <v>4.074666764769308E-3</v>
      </c>
      <c r="G103" s="61"/>
      <c r="H103" s="63">
        <f t="shared" si="18"/>
        <v>2.0420686620236067E-3</v>
      </c>
      <c r="I103" s="63">
        <f t="shared" si="19"/>
        <v>0.1</v>
      </c>
      <c r="J103" s="64">
        <f t="shared" si="20"/>
        <v>4.0746667647693083E-4</v>
      </c>
      <c r="K103" s="24"/>
      <c r="L103" s="24"/>
      <c r="N103" s="16"/>
      <c r="O103" s="16"/>
      <c r="P103" s="16"/>
      <c r="Q103" s="16"/>
      <c r="R103" s="16"/>
      <c r="S103" s="16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</row>
    <row r="104" spans="1:111" s="2" customFormat="1" ht="14.4" x14ac:dyDescent="0.3">
      <c r="A104" s="8"/>
      <c r="B104" s="59">
        <f t="shared" si="16"/>
        <v>3.649999999999995</v>
      </c>
      <c r="C104" s="60">
        <f t="shared" si="14"/>
        <v>0.83318464392833069</v>
      </c>
      <c r="D104" s="61">
        <f t="shared" si="13"/>
        <v>0.76306436071155392</v>
      </c>
      <c r="E104" s="60">
        <f t="shared" si="15"/>
        <v>0.23693563928844608</v>
      </c>
      <c r="F104" s="62">
        <f t="shared" si="17"/>
        <v>4.0531378774312232E-3</v>
      </c>
      <c r="G104" s="61"/>
      <c r="H104" s="63">
        <f t="shared" si="18"/>
        <v>2.026207343519978E-3</v>
      </c>
      <c r="I104" s="63">
        <f t="shared" si="19"/>
        <v>0.15000000000000002</v>
      </c>
      <c r="J104" s="64">
        <f t="shared" si="20"/>
        <v>6.0797068161468353E-4</v>
      </c>
      <c r="K104" s="24"/>
      <c r="L104" s="24"/>
      <c r="N104" s="16"/>
      <c r="O104" s="16"/>
      <c r="P104" s="16"/>
      <c r="Q104" s="16"/>
      <c r="R104" s="16"/>
      <c r="S104" s="16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</row>
    <row r="105" spans="1:111" s="2" customFormat="1" ht="14.4" x14ac:dyDescent="0.3">
      <c r="A105" s="8"/>
      <c r="B105" s="59">
        <f t="shared" si="16"/>
        <v>3.6999999999999948</v>
      </c>
      <c r="C105" s="60">
        <f t="shared" si="14"/>
        <v>0.83110428385212587</v>
      </c>
      <c r="D105" s="61">
        <f t="shared" si="13"/>
        <v>0.75903263797154785</v>
      </c>
      <c r="E105" s="60">
        <f t="shared" si="15"/>
        <v>0.24096736202845215</v>
      </c>
      <c r="F105" s="62">
        <f t="shared" si="17"/>
        <v>4.0317227400060718E-3</v>
      </c>
      <c r="G105" s="61"/>
      <c r="H105" s="63">
        <f t="shared" si="18"/>
        <v>2.0104692243138461E-3</v>
      </c>
      <c r="I105" s="63">
        <f t="shared" si="19"/>
        <v>0.2</v>
      </c>
      <c r="J105" s="64">
        <f t="shared" si="20"/>
        <v>8.0634454800121436E-4</v>
      </c>
      <c r="K105" s="24"/>
      <c r="L105" s="24"/>
      <c r="N105" s="16"/>
      <c r="O105" s="16"/>
      <c r="P105" s="16"/>
      <c r="Q105" s="16"/>
      <c r="R105" s="16"/>
      <c r="S105" s="16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</row>
    <row r="106" spans="1:111" s="2" customFormat="1" ht="14.4" x14ac:dyDescent="0.3">
      <c r="A106" s="8"/>
      <c r="B106" s="59">
        <f t="shared" si="16"/>
        <v>3.7499999999999947</v>
      </c>
      <c r="C106" s="60">
        <f t="shared" si="14"/>
        <v>0.82902911818040059</v>
      </c>
      <c r="D106" s="61">
        <f t="shared" si="13"/>
        <v>0.75502221722006224</v>
      </c>
      <c r="E106" s="60">
        <f t="shared" si="15"/>
        <v>0.24497778277993776</v>
      </c>
      <c r="F106" s="62">
        <f t="shared" si="17"/>
        <v>4.0104207514856105E-3</v>
      </c>
      <c r="G106" s="61">
        <f>C106*D106*0.25</f>
        <v>0.15648385073713977</v>
      </c>
      <c r="H106" s="63">
        <f t="shared" si="18"/>
        <v>1.994853347481897E-3</v>
      </c>
      <c r="I106" s="63">
        <v>0</v>
      </c>
      <c r="J106" s="64">
        <f t="shared" si="20"/>
        <v>0</v>
      </c>
      <c r="K106" s="24"/>
      <c r="L106" s="24"/>
      <c r="N106" s="16"/>
      <c r="O106" s="16"/>
      <c r="P106" s="16"/>
      <c r="Q106" s="16"/>
      <c r="R106" s="16"/>
      <c r="S106" s="16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</row>
    <row r="107" spans="1:111" s="2" customFormat="1" ht="14.4" x14ac:dyDescent="0.3">
      <c r="A107" s="8"/>
      <c r="B107" s="59">
        <f t="shared" si="16"/>
        <v>3.7999999999999945</v>
      </c>
      <c r="C107" s="60">
        <f t="shared" si="14"/>
        <v>0.82695913394336251</v>
      </c>
      <c r="D107" s="61">
        <f t="shared" si="13"/>
        <v>0.75103298590602552</v>
      </c>
      <c r="E107" s="60">
        <f t="shared" si="15"/>
        <v>0.24896701409397448</v>
      </c>
      <c r="F107" s="62">
        <f t="shared" si="17"/>
        <v>3.989231314036723E-3</v>
      </c>
      <c r="G107" s="61"/>
      <c r="H107" s="63">
        <f t="shared" si="18"/>
        <v>1.9793587635333299E-3</v>
      </c>
      <c r="I107" s="63">
        <f t="shared" si="19"/>
        <v>0.05</v>
      </c>
      <c r="J107" s="64">
        <f t="shared" si="20"/>
        <v>1.9946156570183616E-4</v>
      </c>
      <c r="K107" s="24"/>
      <c r="L107" s="24"/>
      <c r="N107" s="16"/>
      <c r="O107" s="16"/>
      <c r="P107" s="16"/>
      <c r="Q107" s="16"/>
      <c r="R107" s="16"/>
      <c r="S107" s="16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</row>
    <row r="108" spans="1:111" s="2" customFormat="1" ht="14.4" x14ac:dyDescent="0.3">
      <c r="A108" s="8"/>
      <c r="B108" s="59">
        <f t="shared" si="16"/>
        <v>3.8499999999999943</v>
      </c>
      <c r="C108" s="60">
        <f t="shared" si="14"/>
        <v>0.82489431820360359</v>
      </c>
      <c r="D108" s="61">
        <f t="shared" si="13"/>
        <v>0.74706483207304031</v>
      </c>
      <c r="E108" s="60">
        <f t="shared" si="15"/>
        <v>0.25293516792695969</v>
      </c>
      <c r="F108" s="62">
        <f t="shared" si="17"/>
        <v>3.9681538329852106E-3</v>
      </c>
      <c r="G108" s="61"/>
      <c r="H108" s="63">
        <f t="shared" si="18"/>
        <v>1.9639845303524111E-3</v>
      </c>
      <c r="I108" s="63">
        <f t="shared" si="19"/>
        <v>0.1</v>
      </c>
      <c r="J108" s="64">
        <f t="shared" si="20"/>
        <v>3.9681538329852108E-4</v>
      </c>
      <c r="K108" s="24"/>
      <c r="L108" s="24"/>
      <c r="N108" s="16"/>
      <c r="O108" s="16"/>
      <c r="P108" s="16"/>
      <c r="Q108" s="16"/>
      <c r="R108" s="16"/>
      <c r="S108" s="16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</row>
    <row r="109" spans="1:111" s="2" customFormat="1" ht="14.4" x14ac:dyDescent="0.3">
      <c r="A109" s="8"/>
      <c r="B109" s="59">
        <f t="shared" si="16"/>
        <v>3.8999999999999941</v>
      </c>
      <c r="C109" s="60">
        <f t="shared" si="14"/>
        <v>0.82283465805601863</v>
      </c>
      <c r="D109" s="61">
        <f t="shared" si="13"/>
        <v>0.74311764435624128</v>
      </c>
      <c r="E109" s="60">
        <f t="shared" si="15"/>
        <v>0.25688235564375872</v>
      </c>
      <c r="F109" s="62">
        <f t="shared" si="17"/>
        <v>3.9471877167990277E-3</v>
      </c>
      <c r="G109" s="61"/>
      <c r="H109" s="63">
        <f t="shared" si="18"/>
        <v>1.9487297131411468E-3</v>
      </c>
      <c r="I109" s="63">
        <f t="shared" si="19"/>
        <v>0.15000000000000002</v>
      </c>
      <c r="J109" s="64">
        <f t="shared" si="20"/>
        <v>5.9207815751985426E-4</v>
      </c>
      <c r="K109" s="24"/>
      <c r="L109" s="24"/>
      <c r="N109" s="16"/>
      <c r="O109" s="16"/>
      <c r="P109" s="16"/>
      <c r="Q109" s="16"/>
      <c r="R109" s="16"/>
      <c r="S109" s="16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</row>
    <row r="110" spans="1:111" s="2" customFormat="1" ht="14.4" x14ac:dyDescent="0.3">
      <c r="A110" s="8"/>
      <c r="B110" s="59">
        <f t="shared" si="16"/>
        <v>3.949999999999994</v>
      </c>
      <c r="C110" s="60">
        <f t="shared" si="14"/>
        <v>0.82078014062772497</v>
      </c>
      <c r="D110" s="61">
        <f t="shared" si="13"/>
        <v>0.73919131197917021</v>
      </c>
      <c r="E110" s="60">
        <f t="shared" si="15"/>
        <v>0.26080868802082979</v>
      </c>
      <c r="F110" s="62">
        <f t="shared" si="17"/>
        <v>3.9263323770710734E-3</v>
      </c>
      <c r="G110" s="61"/>
      <c r="H110" s="63">
        <f t="shared" si="18"/>
        <v>1.9335933843621512E-3</v>
      </c>
      <c r="I110" s="63">
        <f t="shared" si="19"/>
        <v>0.2</v>
      </c>
      <c r="J110" s="64">
        <f t="shared" si="20"/>
        <v>7.8526647541421468E-4</v>
      </c>
      <c r="K110" s="24"/>
      <c r="L110" s="24"/>
      <c r="N110" s="16"/>
      <c r="O110" s="16"/>
      <c r="P110" s="16"/>
      <c r="Q110" s="16"/>
      <c r="R110" s="16"/>
      <c r="S110" s="16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</row>
    <row r="111" spans="1:111" s="2" customFormat="1" ht="14.4" x14ac:dyDescent="0.3">
      <c r="A111" s="8"/>
      <c r="B111" s="59">
        <f t="shared" si="16"/>
        <v>3.9999999999999938</v>
      </c>
      <c r="C111" s="60">
        <f t="shared" si="14"/>
        <v>0.81873075307798215</v>
      </c>
      <c r="D111" s="61">
        <f t="shared" si="13"/>
        <v>0.73528572475066656</v>
      </c>
      <c r="E111" s="60">
        <f t="shared" si="15"/>
        <v>0.26471427524933344</v>
      </c>
      <c r="F111" s="62">
        <f t="shared" si="17"/>
        <v>3.9055872285036486E-3</v>
      </c>
      <c r="G111" s="61">
        <f>C111*D111*0.25</f>
        <v>0.15050025878815079</v>
      </c>
      <c r="H111" s="63">
        <f t="shared" si="18"/>
        <v>1.9185746236827245E-3</v>
      </c>
      <c r="I111" s="63">
        <v>0</v>
      </c>
      <c r="J111" s="64">
        <f t="shared" si="20"/>
        <v>0</v>
      </c>
      <c r="K111" s="24"/>
      <c r="L111" s="24"/>
      <c r="N111" s="16"/>
      <c r="O111" s="16"/>
      <c r="P111" s="16"/>
      <c r="Q111" s="16"/>
      <c r="R111" s="16"/>
      <c r="S111" s="16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</row>
    <row r="112" spans="1:111" s="2" customFormat="1" ht="14.4" x14ac:dyDescent="0.3">
      <c r="A112" s="8"/>
      <c r="B112" s="59">
        <f t="shared" si="16"/>
        <v>4.0499999999999936</v>
      </c>
      <c r="C112" s="60">
        <f t="shared" si="14"/>
        <v>0.81668648259811105</v>
      </c>
      <c r="D112" s="61">
        <f t="shared" ref="D112:D131" si="21">D111*EXP(-0.05*HazardRate5)</f>
        <v>0.73054185701071106</v>
      </c>
      <c r="E112" s="60">
        <f t="shared" si="15"/>
        <v>0.26945814298928894</v>
      </c>
      <c r="F112" s="62">
        <f t="shared" si="17"/>
        <v>4.7438677399554985E-3</v>
      </c>
      <c r="G112" s="61"/>
      <c r="H112" s="63">
        <f t="shared" si="18"/>
        <v>2.3245515950729438E-3</v>
      </c>
      <c r="I112" s="63">
        <f t="shared" si="19"/>
        <v>0.05</v>
      </c>
      <c r="J112" s="64">
        <f t="shared" si="20"/>
        <v>2.3719338699777494E-4</v>
      </c>
      <c r="K112" s="24"/>
      <c r="L112" s="24"/>
      <c r="N112" s="16"/>
      <c r="O112" s="16"/>
      <c r="P112" s="16"/>
      <c r="Q112" s="16"/>
      <c r="R112" s="16"/>
      <c r="S112" s="16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</row>
    <row r="113" spans="1:111" s="2" customFormat="1" ht="14.4" x14ac:dyDescent="0.3">
      <c r="A113" s="8"/>
      <c r="B113" s="59">
        <f t="shared" si="16"/>
        <v>4.0999999999999934</v>
      </c>
      <c r="C113" s="60">
        <f t="shared" si="14"/>
        <v>0.81464731641141486</v>
      </c>
      <c r="D113" s="61">
        <f t="shared" si="21"/>
        <v>0.72582859544244727</v>
      </c>
      <c r="E113" s="60">
        <f t="shared" si="15"/>
        <v>0.27417140455755273</v>
      </c>
      <c r="F113" s="62">
        <f t="shared" si="17"/>
        <v>4.7132615682637935E-3</v>
      </c>
      <c r="G113" s="61"/>
      <c r="H113" s="63">
        <f t="shared" si="18"/>
        <v>2.3037875328786933E-3</v>
      </c>
      <c r="I113" s="63">
        <f t="shared" si="19"/>
        <v>0.1</v>
      </c>
      <c r="J113" s="64">
        <f t="shared" si="20"/>
        <v>4.7132615682637935E-4</v>
      </c>
      <c r="K113" s="24"/>
      <c r="L113" s="24"/>
      <c r="N113" s="16"/>
      <c r="O113" s="16"/>
      <c r="P113" s="16"/>
      <c r="Q113" s="16"/>
      <c r="R113" s="16"/>
      <c r="S113" s="16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</row>
    <row r="114" spans="1:111" s="2" customFormat="1" ht="14.4" x14ac:dyDescent="0.3">
      <c r="A114" s="8"/>
      <c r="B114" s="59">
        <f t="shared" si="16"/>
        <v>4.1499999999999932</v>
      </c>
      <c r="C114" s="60">
        <f t="shared" si="14"/>
        <v>0.81261324177309791</v>
      </c>
      <c r="D114" s="61">
        <f t="shared" si="21"/>
        <v>0.72114574258300379</v>
      </c>
      <c r="E114" s="60">
        <f t="shared" si="15"/>
        <v>0.27885425741699621</v>
      </c>
      <c r="F114" s="62">
        <f t="shared" si="17"/>
        <v>4.682852859443476E-3</v>
      </c>
      <c r="G114" s="61"/>
      <c r="H114" s="63">
        <f t="shared" si="18"/>
        <v>2.2832089457152705E-3</v>
      </c>
      <c r="I114" s="63">
        <f t="shared" si="19"/>
        <v>0.15000000000000002</v>
      </c>
      <c r="J114" s="64">
        <f t="shared" si="20"/>
        <v>7.0242792891652155E-4</v>
      </c>
      <c r="K114" s="24"/>
      <c r="L114" s="24"/>
      <c r="N114" s="16"/>
      <c r="O114" s="16"/>
      <c r="P114" s="16"/>
      <c r="Q114" s="16"/>
      <c r="R114" s="16"/>
      <c r="S114" s="16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</row>
    <row r="115" spans="1:111" s="2" customFormat="1" ht="14.4" x14ac:dyDescent="0.3">
      <c r="A115" s="8"/>
      <c r="B115" s="59">
        <f t="shared" si="16"/>
        <v>4.1999999999999931</v>
      </c>
      <c r="C115" s="60">
        <f t="shared" si="14"/>
        <v>0.81058424597018741</v>
      </c>
      <c r="D115" s="61">
        <f t="shared" si="21"/>
        <v>0.71649310224348706</v>
      </c>
      <c r="E115" s="60">
        <f t="shared" si="15"/>
        <v>0.28350689775651294</v>
      </c>
      <c r="F115" s="62">
        <f t="shared" si="17"/>
        <v>4.6526403395167337E-3</v>
      </c>
      <c r="G115" s="61"/>
      <c r="H115" s="63">
        <f t="shared" si="18"/>
        <v>2.2628141768265891E-3</v>
      </c>
      <c r="I115" s="63">
        <f t="shared" si="19"/>
        <v>0.2</v>
      </c>
      <c r="J115" s="64">
        <f t="shared" si="20"/>
        <v>9.3052806790334681E-4</v>
      </c>
      <c r="K115" s="24"/>
      <c r="L115" s="24"/>
      <c r="N115" s="16"/>
      <c r="O115" s="16"/>
      <c r="P115" s="16"/>
      <c r="Q115" s="16"/>
      <c r="R115" s="16"/>
      <c r="S115" s="16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</row>
    <row r="116" spans="1:111" s="2" customFormat="1" ht="14.4" x14ac:dyDescent="0.3">
      <c r="A116" s="8"/>
      <c r="B116" s="59">
        <f t="shared" si="16"/>
        <v>4.2499999999999929</v>
      </c>
      <c r="C116" s="60">
        <f t="shared" si="14"/>
        <v>0.80856031632145275</v>
      </c>
      <c r="D116" s="61">
        <f t="shared" si="21"/>
        <v>0.71187047950076199</v>
      </c>
      <c r="E116" s="60">
        <f t="shared" si="15"/>
        <v>0.28812952049923801</v>
      </c>
      <c r="F116" s="62">
        <f t="shared" si="17"/>
        <v>4.6226227427250688E-3</v>
      </c>
      <c r="G116" s="61">
        <f>C116*D116*0.25</f>
        <v>0.14389755502126009</v>
      </c>
      <c r="H116" s="63">
        <f t="shared" si="18"/>
        <v>2.2426015842555136E-3</v>
      </c>
      <c r="I116" s="63">
        <v>0</v>
      </c>
      <c r="J116" s="64">
        <f t="shared" si="20"/>
        <v>0</v>
      </c>
      <c r="K116" s="24"/>
      <c r="L116" s="24"/>
      <c r="N116" s="16"/>
      <c r="O116" s="16"/>
      <c r="P116" s="16"/>
      <c r="Q116" s="16"/>
      <c r="R116" s="16"/>
      <c r="S116" s="16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</row>
    <row r="117" spans="1:111" s="2" customFormat="1" ht="14.4" x14ac:dyDescent="0.3">
      <c r="A117" s="8"/>
      <c r="B117" s="59">
        <f t="shared" si="16"/>
        <v>4.2999999999999927</v>
      </c>
      <c r="C117" s="60">
        <f t="shared" si="14"/>
        <v>0.80654144017732721</v>
      </c>
      <c r="D117" s="61">
        <f t="shared" si="21"/>
        <v>0.70727768068928576</v>
      </c>
      <c r="E117" s="60">
        <f t="shared" si="15"/>
        <v>0.29272231931071424</v>
      </c>
      <c r="F117" s="62">
        <f t="shared" si="17"/>
        <v>4.5927988114762286E-3</v>
      </c>
      <c r="G117" s="61"/>
      <c r="H117" s="63">
        <f t="shared" si="18"/>
        <v>2.2225695407116523E-3</v>
      </c>
      <c r="I117" s="63">
        <f t="shared" si="19"/>
        <v>0.05</v>
      </c>
      <c r="J117" s="64">
        <f t="shared" si="20"/>
        <v>2.2963994057381145E-4</v>
      </c>
      <c r="K117" s="24"/>
      <c r="L117" s="24"/>
      <c r="N117" s="16"/>
      <c r="O117" s="16"/>
      <c r="P117" s="16"/>
      <c r="Q117" s="16"/>
      <c r="R117" s="16"/>
      <c r="S117" s="16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</row>
    <row r="118" spans="1:111" s="2" customFormat="1" ht="14.4" x14ac:dyDescent="0.3">
      <c r="A118" s="8"/>
      <c r="B118" s="59">
        <f t="shared" si="16"/>
        <v>4.3499999999999925</v>
      </c>
      <c r="C118" s="60">
        <f t="shared" si="14"/>
        <v>0.80452760491982811</v>
      </c>
      <c r="D118" s="61">
        <f t="shared" si="21"/>
        <v>0.70271451339299396</v>
      </c>
      <c r="E118" s="60">
        <f t="shared" si="15"/>
        <v>0.29728548660700604</v>
      </c>
      <c r="F118" s="62">
        <f t="shared" si="17"/>
        <v>4.5631672962918035E-3</v>
      </c>
      <c r="G118" s="61"/>
      <c r="H118" s="63">
        <f t="shared" si="18"/>
        <v>2.2027164334404792E-3</v>
      </c>
      <c r="I118" s="63">
        <f t="shared" si="19"/>
        <v>0.1</v>
      </c>
      <c r="J118" s="64">
        <f t="shared" si="20"/>
        <v>4.5631672962918038E-4</v>
      </c>
      <c r="K118" s="24"/>
      <c r="L118" s="24"/>
      <c r="N118" s="16"/>
      <c r="O118" s="16"/>
      <c r="P118" s="16"/>
      <c r="Q118" s="16"/>
      <c r="R118" s="16"/>
      <c r="S118" s="16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</row>
    <row r="119" spans="1:111" s="2" customFormat="1" ht="14.4" x14ac:dyDescent="0.3">
      <c r="A119" s="8"/>
      <c r="B119" s="59">
        <f t="shared" si="16"/>
        <v>4.3999999999999924</v>
      </c>
      <c r="C119" s="60">
        <f t="shared" si="14"/>
        <v>0.80251879796247882</v>
      </c>
      <c r="D119" s="61">
        <f t="shared" si="21"/>
        <v>0.69818078643723958</v>
      </c>
      <c r="E119" s="60">
        <f t="shared" si="15"/>
        <v>0.30181921356276042</v>
      </c>
      <c r="F119" s="62">
        <f t="shared" si="17"/>
        <v>4.5337269557543802E-3</v>
      </c>
      <c r="G119" s="61"/>
      <c r="H119" s="63">
        <f t="shared" si="18"/>
        <v>2.1830406640932559E-3</v>
      </c>
      <c r="I119" s="63">
        <f t="shared" si="19"/>
        <v>0.15000000000000002</v>
      </c>
      <c r="J119" s="64">
        <f t="shared" si="20"/>
        <v>6.8005904336315714E-4</v>
      </c>
      <c r="K119" s="24"/>
      <c r="L119" s="24"/>
      <c r="N119" s="16"/>
      <c r="O119" s="16"/>
      <c r="P119" s="16"/>
      <c r="Q119" s="16"/>
      <c r="R119" s="16"/>
      <c r="S119" s="16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</row>
    <row r="120" spans="1:111" s="2" customFormat="1" ht="14.4" x14ac:dyDescent="0.3">
      <c r="A120" s="8"/>
      <c r="B120" s="59">
        <f t="shared" si="16"/>
        <v>4.4499999999999922</v>
      </c>
      <c r="C120" s="60">
        <f t="shared" si="14"/>
        <v>0.80051500675022902</v>
      </c>
      <c r="D120" s="61">
        <f t="shared" si="21"/>
        <v>0.69367630988078333</v>
      </c>
      <c r="E120" s="60">
        <f t="shared" si="15"/>
        <v>0.30632369011921667</v>
      </c>
      <c r="F120" s="62">
        <f t="shared" si="17"/>
        <v>4.5044765564562494E-3</v>
      </c>
      <c r="G120" s="61"/>
      <c r="H120" s="63">
        <f t="shared" si="18"/>
        <v>2.1635406485986937E-3</v>
      </c>
      <c r="I120" s="63">
        <f t="shared" si="19"/>
        <v>0.2</v>
      </c>
      <c r="J120" s="64">
        <f t="shared" si="20"/>
        <v>9.0089531129124991E-4</v>
      </c>
      <c r="K120" s="24"/>
      <c r="L120" s="24"/>
      <c r="N120" s="16"/>
      <c r="O120" s="16"/>
      <c r="P120" s="16"/>
      <c r="Q120" s="16"/>
      <c r="R120" s="16"/>
      <c r="S120" s="16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</row>
    <row r="121" spans="1:111" s="2" customFormat="1" ht="14.4" x14ac:dyDescent="0.3">
      <c r="A121" s="8"/>
      <c r="B121" s="59">
        <f t="shared" si="16"/>
        <v>4.499999999999992</v>
      </c>
      <c r="C121" s="60">
        <f t="shared" si="14"/>
        <v>0.79851621875937739</v>
      </c>
      <c r="D121" s="61">
        <f t="shared" si="21"/>
        <v>0.68920089500783621</v>
      </c>
      <c r="E121" s="60">
        <f t="shared" si="15"/>
        <v>0.31079910499216379</v>
      </c>
      <c r="F121" s="62">
        <f t="shared" si="17"/>
        <v>4.4754148729471144E-3</v>
      </c>
      <c r="G121" s="61">
        <f>C121*D121*0.25</f>
        <v>0.137584523161809</v>
      </c>
      <c r="H121" s="63">
        <f t="shared" si="18"/>
        <v>2.1442148170351255E-3</v>
      </c>
      <c r="I121" s="63">
        <v>0</v>
      </c>
      <c r="J121" s="64">
        <f t="shared" si="20"/>
        <v>0</v>
      </c>
      <c r="K121" s="24"/>
      <c r="L121" s="24"/>
      <c r="N121" s="16"/>
      <c r="O121" s="16"/>
      <c r="P121" s="16"/>
      <c r="Q121" s="16"/>
      <c r="R121" s="16"/>
      <c r="S121" s="16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</row>
    <row r="122" spans="1:111" s="2" customFormat="1" ht="14.4" x14ac:dyDescent="0.3">
      <c r="A122" s="8"/>
      <c r="B122" s="59">
        <f t="shared" si="16"/>
        <v>4.5499999999999918</v>
      </c>
      <c r="C122" s="60">
        <f t="shared" si="14"/>
        <v>0.79652242149749219</v>
      </c>
      <c r="D122" s="61">
        <f t="shared" si="21"/>
        <v>0.68475435432015352</v>
      </c>
      <c r="E122" s="60">
        <f t="shared" si="15"/>
        <v>0.31524564567984648</v>
      </c>
      <c r="F122" s="62">
        <f t="shared" si="17"/>
        <v>4.4465406876826874E-3</v>
      </c>
      <c r="G122" s="61"/>
      <c r="H122" s="63">
        <f t="shared" si="18"/>
        <v>2.1250616135040827E-3</v>
      </c>
      <c r="I122" s="63">
        <f t="shared" si="19"/>
        <v>0.05</v>
      </c>
      <c r="J122" s="64">
        <f t="shared" si="20"/>
        <v>2.2232703438413438E-4</v>
      </c>
      <c r="K122" s="24"/>
      <c r="L122" s="24"/>
      <c r="N122" s="16"/>
      <c r="O122" s="16"/>
      <c r="P122" s="16"/>
      <c r="Q122" s="16"/>
      <c r="R122" s="16"/>
      <c r="S122" s="16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</row>
    <row r="123" spans="1:111" s="2" customFormat="1" ht="14.4" x14ac:dyDescent="0.3">
      <c r="A123" s="8"/>
      <c r="B123" s="59">
        <f t="shared" si="16"/>
        <v>4.5999999999999917</v>
      </c>
      <c r="C123" s="60">
        <f t="shared" si="14"/>
        <v>0.79453360250333438</v>
      </c>
      <c r="D123" s="61">
        <f t="shared" si="21"/>
        <v>0.68033650152917902</v>
      </c>
      <c r="E123" s="60">
        <f t="shared" si="15"/>
        <v>0.31966349847082098</v>
      </c>
      <c r="F123" s="62">
        <f t="shared" si="17"/>
        <v>4.417852790974508E-3</v>
      </c>
      <c r="G123" s="61"/>
      <c r="H123" s="63">
        <f t="shared" si="18"/>
        <v>2.1060794960054315E-3</v>
      </c>
      <c r="I123" s="63">
        <f t="shared" si="19"/>
        <v>0.1</v>
      </c>
      <c r="J123" s="64">
        <f t="shared" si="20"/>
        <v>4.4178527909745081E-4</v>
      </c>
      <c r="K123" s="24"/>
      <c r="L123" s="24"/>
      <c r="N123" s="16"/>
      <c r="O123" s="16"/>
      <c r="P123" s="16"/>
      <c r="Q123" s="16"/>
      <c r="R123" s="16"/>
      <c r="S123" s="16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</row>
    <row r="124" spans="1:111" s="2" customFormat="1" ht="14.4" x14ac:dyDescent="0.3">
      <c r="A124" s="8"/>
      <c r="B124" s="59">
        <f t="shared" si="16"/>
        <v>4.6499999999999915</v>
      </c>
      <c r="C124" s="60">
        <f t="shared" si="14"/>
        <v>0.79254974934677846</v>
      </c>
      <c r="D124" s="61">
        <f t="shared" si="21"/>
        <v>0.67594715154824081</v>
      </c>
      <c r="E124" s="60">
        <f t="shared" si="15"/>
        <v>0.32405284845175919</v>
      </c>
      <c r="F124" s="62">
        <f t="shared" si="17"/>
        <v>4.3893499809382064E-3</v>
      </c>
      <c r="G124" s="61"/>
      <c r="H124" s="63">
        <f t="shared" si="18"/>
        <v>2.0872669363127174E-3</v>
      </c>
      <c r="I124" s="63">
        <f t="shared" si="19"/>
        <v>0.15000000000000002</v>
      </c>
      <c r="J124" s="64">
        <f t="shared" si="20"/>
        <v>6.5840249714073102E-4</v>
      </c>
      <c r="K124" s="24"/>
      <c r="L124" s="24"/>
      <c r="N124" s="16"/>
      <c r="O124" s="16"/>
      <c r="P124" s="16"/>
      <c r="Q124" s="16"/>
      <c r="R124" s="16"/>
      <c r="S124" s="16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</row>
    <row r="125" spans="1:111" s="2" customFormat="1" ht="14.4" x14ac:dyDescent="0.3">
      <c r="A125" s="8"/>
      <c r="B125" s="59">
        <f t="shared" si="16"/>
        <v>4.6999999999999913</v>
      </c>
      <c r="C125" s="60">
        <f t="shared" si="14"/>
        <v>0.79057084962873592</v>
      </c>
      <c r="D125" s="61">
        <f t="shared" si="21"/>
        <v>0.67158612048479693</v>
      </c>
      <c r="E125" s="60">
        <f t="shared" si="15"/>
        <v>0.32841387951520307</v>
      </c>
      <c r="F125" s="62">
        <f t="shared" si="17"/>
        <v>4.3610310634438765E-3</v>
      </c>
      <c r="G125" s="61"/>
      <c r="H125" s="63">
        <f t="shared" si="18"/>
        <v>2.0686224198504808E-3</v>
      </c>
      <c r="I125" s="63">
        <f t="shared" si="19"/>
        <v>0.2</v>
      </c>
      <c r="J125" s="64">
        <f t="shared" si="20"/>
        <v>8.7220621268877538E-4</v>
      </c>
      <c r="K125" s="24"/>
      <c r="L125" s="24"/>
      <c r="N125" s="16"/>
      <c r="O125" s="16"/>
      <c r="P125" s="16"/>
      <c r="Q125" s="16"/>
      <c r="R125" s="16"/>
      <c r="S125" s="16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</row>
    <row r="126" spans="1:111" s="2" customFormat="1" ht="14.4" x14ac:dyDescent="0.3">
      <c r="A126" s="8"/>
      <c r="B126" s="59">
        <f t="shared" si="16"/>
        <v>4.7499999999999911</v>
      </c>
      <c r="C126" s="60">
        <f t="shared" si="14"/>
        <v>0.78859689098107699</v>
      </c>
      <c r="D126" s="61">
        <f t="shared" si="21"/>
        <v>0.66725322563273104</v>
      </c>
      <c r="E126" s="60">
        <f t="shared" si="15"/>
        <v>0.33274677436726896</v>
      </c>
      <c r="F126" s="62">
        <f t="shared" si="17"/>
        <v>4.3328948520658939E-3</v>
      </c>
      <c r="G126" s="61">
        <f>C126*D126*0.25</f>
        <v>0.1315484548077667</v>
      </c>
      <c r="H126" s="63">
        <f t="shared" si="18"/>
        <v>2.0501444455722465E-3</v>
      </c>
      <c r="I126" s="63">
        <v>0</v>
      </c>
      <c r="J126" s="64">
        <f t="shared" si="20"/>
        <v>0</v>
      </c>
      <c r="K126" s="24"/>
      <c r="L126" s="24"/>
      <c r="N126" s="16"/>
      <c r="O126" s="16"/>
      <c r="P126" s="16"/>
      <c r="Q126" s="16"/>
      <c r="R126" s="16"/>
      <c r="S126" s="16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</row>
    <row r="127" spans="1:111" s="2" customFormat="1" ht="14.4" x14ac:dyDescent="0.3">
      <c r="A127" s="8"/>
      <c r="B127" s="59">
        <f t="shared" si="16"/>
        <v>4.7999999999999909</v>
      </c>
      <c r="C127" s="60">
        <f>EXP(-IRate*B127)</f>
        <v>0.7866278610665538</v>
      </c>
      <c r="D127" s="61">
        <f t="shared" si="21"/>
        <v>0.66294828546469808</v>
      </c>
      <c r="E127" s="60">
        <f t="shared" si="15"/>
        <v>0.33705171453530192</v>
      </c>
      <c r="F127" s="62">
        <f t="shared" si="17"/>
        <v>4.3049401680329558E-3</v>
      </c>
      <c r="G127" s="61"/>
      <c r="H127" s="63">
        <f t="shared" si="18"/>
        <v>2.0318315258395529E-3</v>
      </c>
      <c r="I127" s="63">
        <f t="shared" si="19"/>
        <v>0.05</v>
      </c>
      <c r="J127" s="64">
        <f t="shared" si="20"/>
        <v>2.1524700840164779E-4</v>
      </c>
      <c r="K127" s="24"/>
      <c r="L127" s="24"/>
      <c r="N127" s="16"/>
      <c r="O127" s="16"/>
      <c r="P127" s="16"/>
      <c r="Q127" s="16"/>
      <c r="R127" s="16"/>
      <c r="S127" s="16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</row>
    <row r="128" spans="1:111" s="2" customFormat="1" ht="14.4" x14ac:dyDescent="0.3">
      <c r="A128" s="8"/>
      <c r="B128" s="59">
        <f t="shared" si="16"/>
        <v>4.8499999999999908</v>
      </c>
      <c r="C128" s="60">
        <f>EXP(-IRate*B128)</f>
        <v>0.78466374757872281</v>
      </c>
      <c r="D128" s="61">
        <f t="shared" si="21"/>
        <v>0.65867111962451919</v>
      </c>
      <c r="E128" s="60">
        <f t="shared" si="15"/>
        <v>0.34132888037548081</v>
      </c>
      <c r="F128" s="62">
        <f t="shared" si="17"/>
        <v>4.2771658401788981E-3</v>
      </c>
      <c r="G128" s="61"/>
      <c r="H128" s="63">
        <f t="shared" si="18"/>
        <v>2.0136821863022823E-3</v>
      </c>
      <c r="I128" s="63">
        <f t="shared" si="19"/>
        <v>0.1</v>
      </c>
      <c r="J128" s="64">
        <f t="shared" si="20"/>
        <v>4.2771658401788984E-4</v>
      </c>
      <c r="K128" s="24"/>
      <c r="L128" s="24"/>
      <c r="N128" s="16"/>
      <c r="O128" s="16"/>
      <c r="P128" s="16"/>
      <c r="Q128" s="16"/>
      <c r="R128" s="16"/>
      <c r="S128" s="16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</row>
    <row r="129" spans="1:111" s="2" customFormat="1" ht="14.4" x14ac:dyDescent="0.3">
      <c r="A129" s="8"/>
      <c r="B129" s="59">
        <f t="shared" si="16"/>
        <v>4.8999999999999906</v>
      </c>
      <c r="C129" s="60">
        <f>EXP(-IRate*B129)</f>
        <v>0.78270453824186847</v>
      </c>
      <c r="D129" s="61">
        <f t="shared" si="21"/>
        <v>0.65442154891962534</v>
      </c>
      <c r="E129" s="60">
        <f t="shared" si="15"/>
        <v>0.34557845108037466</v>
      </c>
      <c r="F129" s="62">
        <f t="shared" si="17"/>
        <v>4.2495707048938458E-3</v>
      </c>
      <c r="G129" s="61"/>
      <c r="H129" s="63">
        <f t="shared" si="18"/>
        <v>1.9956949657800654E-3</v>
      </c>
      <c r="I129" s="63">
        <f t="shared" si="19"/>
        <v>0.15000000000000002</v>
      </c>
      <c r="J129" s="64">
        <f t="shared" si="20"/>
        <v>6.3743560573407694E-4</v>
      </c>
      <c r="K129" s="24"/>
      <c r="L129" s="24"/>
      <c r="N129" s="16"/>
      <c r="O129" s="16"/>
      <c r="P129" s="16"/>
      <c r="Q129" s="16"/>
      <c r="R129" s="16"/>
      <c r="S129" s="16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</row>
    <row r="130" spans="1:111" s="2" customFormat="1" ht="14.4" x14ac:dyDescent="0.3">
      <c r="A130" s="8"/>
      <c r="B130" s="59">
        <f t="shared" si="16"/>
        <v>4.9499999999999904</v>
      </c>
      <c r="C130" s="60">
        <f>EXP(-IRate*B130)</f>
        <v>0.78075022081092615</v>
      </c>
      <c r="D130" s="61">
        <f t="shared" si="21"/>
        <v>0.65019939531355031</v>
      </c>
      <c r="E130" s="60">
        <f t="shared" si="15"/>
        <v>0.34980060468644969</v>
      </c>
      <c r="F130" s="62">
        <f t="shared" si="17"/>
        <v>4.2221536060750298E-3</v>
      </c>
      <c r="G130" s="61"/>
      <c r="H130" s="63">
        <f t="shared" si="18"/>
        <v>1.9778684161444364E-3</v>
      </c>
      <c r="I130" s="63">
        <f t="shared" si="19"/>
        <v>0.2</v>
      </c>
      <c r="J130" s="64">
        <f t="shared" si="20"/>
        <v>8.4443072121500597E-4</v>
      </c>
      <c r="K130" s="24"/>
      <c r="L130" s="24"/>
      <c r="N130" s="16"/>
      <c r="O130" s="16"/>
      <c r="P130" s="16"/>
      <c r="Q130" s="16"/>
      <c r="R130" s="16"/>
      <c r="S130" s="16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</row>
    <row r="131" spans="1:111" s="2" customFormat="1" ht="15" thickBot="1" x14ac:dyDescent="0.35">
      <c r="A131" s="8"/>
      <c r="B131" s="65">
        <f t="shared" si="16"/>
        <v>4.9999999999999902</v>
      </c>
      <c r="C131" s="66">
        <f>EXP(-IRate*B131)</f>
        <v>0.77880078307140521</v>
      </c>
      <c r="D131" s="67">
        <f t="shared" si="21"/>
        <v>0.64600448191847193</v>
      </c>
      <c r="E131" s="66">
        <f>1-D131</f>
        <v>0.35399551808152807</v>
      </c>
      <c r="F131" s="68">
        <f t="shared" si="17"/>
        <v>4.1949133950783812E-3</v>
      </c>
      <c r="G131" s="67">
        <f>C131*D131*0.25</f>
        <v>0.12577719909643584</v>
      </c>
      <c r="H131" s="69">
        <f t="shared" si="18"/>
        <v>1.9602011022022622E-3</v>
      </c>
      <c r="I131" s="69">
        <f t="shared" si="19"/>
        <v>0.25</v>
      </c>
      <c r="J131" s="70">
        <f t="shared" si="20"/>
        <v>1.0487283487695953E-3</v>
      </c>
      <c r="K131" s="24"/>
      <c r="L131" s="24"/>
      <c r="N131" s="16"/>
      <c r="O131" s="16"/>
      <c r="P131" s="16"/>
      <c r="Q131" s="16"/>
      <c r="R131" s="16"/>
      <c r="S131" s="16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</row>
    <row r="132" spans="1:111" s="2" customFormat="1" ht="14.4" x14ac:dyDescent="0.3">
      <c r="A132" s="8"/>
      <c r="B132" s="25"/>
      <c r="C132" s="25"/>
      <c r="D132" s="25"/>
      <c r="E132" s="25"/>
      <c r="F132" s="25"/>
      <c r="G132" s="25"/>
      <c r="H132" s="25"/>
      <c r="I132" s="25"/>
      <c r="J132" s="8"/>
      <c r="K132" s="11"/>
      <c r="L132" s="16"/>
      <c r="M132" s="16"/>
      <c r="N132" s="16"/>
      <c r="O132" s="16"/>
      <c r="P132" s="16"/>
      <c r="Q132" s="16"/>
      <c r="R132" s="16"/>
      <c r="S132" s="16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</row>
    <row r="133" spans="1:111" s="2" customFormat="1" ht="14.4" x14ac:dyDescent="0.3">
      <c r="A133" s="8"/>
      <c r="B133" s="25"/>
      <c r="C133" s="25"/>
      <c r="D133" s="25"/>
      <c r="E133" s="25"/>
      <c r="F133" s="25"/>
      <c r="G133" s="25"/>
      <c r="H133" s="25"/>
      <c r="I133" s="25"/>
      <c r="J133" s="8"/>
      <c r="K133" s="11"/>
      <c r="L133" s="16"/>
      <c r="M133" s="16"/>
      <c r="N133" s="16"/>
      <c r="O133" s="16"/>
      <c r="P133" s="16"/>
      <c r="Q133" s="16"/>
      <c r="R133" s="16"/>
      <c r="S133" s="16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</row>
    <row r="134" spans="1:111" s="2" customFormat="1" ht="14.4" x14ac:dyDescent="0.3">
      <c r="A134" s="8"/>
      <c r="B134" s="25"/>
      <c r="C134" s="25"/>
      <c r="D134" s="25"/>
      <c r="E134" s="25"/>
      <c r="F134" s="25"/>
      <c r="G134" s="25"/>
      <c r="H134" s="25"/>
      <c r="I134" s="25"/>
      <c r="J134" s="8"/>
      <c r="K134" s="11"/>
      <c r="L134" s="16"/>
      <c r="M134" s="16"/>
      <c r="N134" s="16"/>
      <c r="O134" s="16"/>
      <c r="P134" s="16"/>
      <c r="Q134" s="16"/>
      <c r="R134" s="16"/>
      <c r="S134" s="16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</row>
    <row r="135" spans="1:111" s="2" customFormat="1" x14ac:dyDescent="0.25">
      <c r="A135" s="8"/>
      <c r="B135" s="17"/>
      <c r="C135" s="21"/>
      <c r="D135" s="21"/>
      <c r="E135" s="21"/>
      <c r="F135" s="21"/>
      <c r="G135" s="20"/>
      <c r="H135" s="20"/>
      <c r="I135" s="20"/>
      <c r="J135" s="8"/>
      <c r="K135" s="9"/>
      <c r="L135" s="9"/>
      <c r="M135" s="9"/>
      <c r="N135" s="9"/>
      <c r="O135" s="9"/>
      <c r="P135" s="9"/>
      <c r="Q135" s="9"/>
      <c r="R135" s="9"/>
      <c r="S135" s="9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</row>
    <row r="136" spans="1:111" s="2" customFormat="1" x14ac:dyDescent="0.25">
      <c r="A136" s="8"/>
      <c r="B136" s="17"/>
      <c r="C136" s="21"/>
      <c r="D136" s="21"/>
      <c r="E136" s="21"/>
      <c r="F136" s="21"/>
      <c r="G136" s="20"/>
      <c r="H136" s="20"/>
      <c r="I136" s="20"/>
      <c r="J136" s="8"/>
      <c r="K136" s="9"/>
      <c r="L136" s="9"/>
      <c r="M136" s="9"/>
      <c r="N136" s="9"/>
      <c r="O136" s="9"/>
      <c r="P136" s="9"/>
      <c r="Q136" s="9"/>
      <c r="R136" s="9"/>
      <c r="S136" s="9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</row>
    <row r="137" spans="1:111" s="2" customFormat="1" x14ac:dyDescent="0.25">
      <c r="A137" s="8"/>
      <c r="B137" s="17"/>
      <c r="C137" s="21"/>
      <c r="D137" s="21"/>
      <c r="E137" s="21"/>
      <c r="F137" s="21"/>
      <c r="G137" s="20"/>
      <c r="H137" s="20"/>
      <c r="I137" s="20"/>
      <c r="J137" s="8"/>
      <c r="K137" s="11"/>
      <c r="L137" s="16"/>
      <c r="M137" s="16"/>
      <c r="N137" s="16"/>
      <c r="O137" s="16"/>
      <c r="P137" s="16"/>
      <c r="Q137" s="16"/>
      <c r="R137" s="16"/>
      <c r="S137" s="16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</row>
    <row r="138" spans="1:111" s="2" customFormat="1" x14ac:dyDescent="0.25">
      <c r="A138" s="8"/>
      <c r="B138" s="17"/>
      <c r="C138" s="21"/>
      <c r="D138" s="21"/>
      <c r="E138" s="21"/>
      <c r="F138" s="21"/>
      <c r="G138" s="20"/>
      <c r="H138" s="20"/>
      <c r="I138" s="20"/>
      <c r="J138" s="8"/>
      <c r="K138" s="11"/>
      <c r="L138" s="16"/>
      <c r="M138" s="16"/>
      <c r="N138" s="16"/>
      <c r="O138" s="16"/>
      <c r="P138" s="16"/>
      <c r="Q138" s="16"/>
      <c r="R138" s="16"/>
      <c r="S138" s="16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</row>
    <row r="139" spans="1:111" s="2" customFormat="1" x14ac:dyDescent="0.25">
      <c r="A139" s="8"/>
      <c r="B139" s="17"/>
      <c r="C139" s="21"/>
      <c r="D139" s="21"/>
      <c r="E139" s="21"/>
      <c r="F139" s="21"/>
      <c r="G139" s="20"/>
      <c r="H139" s="20"/>
      <c r="I139" s="20"/>
      <c r="J139" s="8"/>
      <c r="K139" s="11"/>
      <c r="L139" s="16"/>
      <c r="M139" s="16"/>
      <c r="N139" s="16"/>
      <c r="O139" s="16"/>
      <c r="P139" s="16"/>
      <c r="Q139" s="16"/>
      <c r="R139" s="16"/>
      <c r="S139" s="16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</row>
    <row r="140" spans="1:111" s="2" customFormat="1" x14ac:dyDescent="0.25">
      <c r="A140" s="8"/>
      <c r="B140" s="17"/>
      <c r="C140" s="21"/>
      <c r="D140" s="21"/>
      <c r="E140" s="21"/>
      <c r="F140" s="21"/>
      <c r="G140" s="20"/>
      <c r="H140" s="20"/>
      <c r="I140" s="20"/>
      <c r="J140" s="8"/>
      <c r="K140" s="11"/>
      <c r="L140" s="16"/>
      <c r="M140" s="16"/>
      <c r="N140" s="16"/>
      <c r="O140" s="16"/>
      <c r="P140" s="16"/>
      <c r="Q140" s="16"/>
      <c r="R140" s="16"/>
      <c r="S140" s="16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</row>
    <row r="141" spans="1:111" s="2" customFormat="1" x14ac:dyDescent="0.25">
      <c r="A141" s="8"/>
      <c r="B141" s="17"/>
      <c r="C141" s="21"/>
      <c r="D141" s="21"/>
      <c r="E141" s="21"/>
      <c r="F141" s="21"/>
      <c r="G141" s="20"/>
      <c r="H141" s="20"/>
      <c r="I141" s="20"/>
      <c r="J141" s="8"/>
      <c r="K141" s="11"/>
      <c r="L141" s="16"/>
      <c r="M141" s="16"/>
      <c r="N141" s="16"/>
      <c r="O141" s="16"/>
      <c r="P141" s="16"/>
      <c r="Q141" s="16"/>
      <c r="R141" s="16"/>
      <c r="S141" s="16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</row>
    <row r="142" spans="1:111" s="2" customFormat="1" x14ac:dyDescent="0.25">
      <c r="A142" s="8"/>
      <c r="B142" s="17"/>
      <c r="C142" s="21"/>
      <c r="D142" s="21"/>
      <c r="E142" s="21"/>
      <c r="F142" s="21"/>
      <c r="G142" s="20"/>
      <c r="H142" s="20"/>
      <c r="I142" s="20"/>
      <c r="J142" s="8"/>
      <c r="K142" s="11"/>
      <c r="L142" s="16"/>
      <c r="M142" s="16"/>
      <c r="N142" s="16"/>
      <c r="O142" s="16"/>
      <c r="P142" s="16"/>
      <c r="Q142" s="16"/>
      <c r="R142" s="16"/>
      <c r="S142" s="16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</row>
    <row r="143" spans="1:111" s="2" customFormat="1" x14ac:dyDescent="0.25">
      <c r="A143" s="8"/>
      <c r="B143" s="17"/>
      <c r="C143" s="21"/>
      <c r="D143" s="21"/>
      <c r="E143" s="21"/>
      <c r="F143" s="21"/>
      <c r="G143" s="20"/>
      <c r="H143" s="20"/>
      <c r="I143" s="20"/>
      <c r="J143" s="8"/>
      <c r="K143" s="11"/>
      <c r="L143" s="16"/>
      <c r="M143" s="16"/>
      <c r="N143" s="16"/>
      <c r="O143" s="16"/>
      <c r="P143" s="16"/>
      <c r="Q143" s="16"/>
      <c r="R143" s="16"/>
      <c r="S143" s="16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</row>
    <row r="144" spans="1:111" s="2" customFormat="1" x14ac:dyDescent="0.25">
      <c r="A144" s="8"/>
      <c r="B144" s="17"/>
      <c r="C144" s="21"/>
      <c r="D144" s="21"/>
      <c r="E144" s="21"/>
      <c r="F144" s="21"/>
      <c r="G144" s="20"/>
      <c r="H144" s="20"/>
      <c r="I144" s="20"/>
      <c r="J144" s="8"/>
      <c r="K144" s="11"/>
      <c r="L144" s="16"/>
      <c r="M144" s="16"/>
      <c r="N144" s="16"/>
      <c r="O144" s="16"/>
      <c r="P144" s="16"/>
      <c r="Q144" s="16"/>
      <c r="R144" s="16"/>
      <c r="S144" s="16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</row>
    <row r="145" spans="1:111" s="2" customFormat="1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11"/>
      <c r="L145" s="16"/>
      <c r="M145" s="16"/>
      <c r="N145" s="16"/>
      <c r="O145" s="16"/>
      <c r="P145" s="16"/>
      <c r="Q145" s="16"/>
      <c r="R145" s="16"/>
      <c r="S145" s="16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</row>
    <row r="146" spans="1:111" s="2" customFormat="1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11"/>
      <c r="L146" s="16"/>
      <c r="M146" s="16"/>
      <c r="N146" s="16"/>
      <c r="O146" s="16"/>
      <c r="P146" s="16"/>
      <c r="Q146" s="16"/>
      <c r="R146" s="16"/>
      <c r="S146" s="16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</row>
    <row r="147" spans="1:111" s="2" customFormat="1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11"/>
      <c r="L147" s="16"/>
      <c r="M147" s="16"/>
      <c r="N147" s="16"/>
      <c r="O147" s="16"/>
      <c r="P147" s="16"/>
      <c r="Q147" s="16"/>
      <c r="R147" s="16"/>
      <c r="S147" s="16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</row>
    <row r="148" spans="1:111" s="2" customFormat="1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11"/>
      <c r="L148" s="16"/>
      <c r="M148" s="16"/>
      <c r="N148" s="16"/>
      <c r="O148" s="16"/>
      <c r="P148" s="16"/>
      <c r="Q148" s="16"/>
      <c r="R148" s="16"/>
      <c r="S148" s="16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</row>
    <row r="149" spans="1:111" s="2" customFormat="1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11"/>
      <c r="L149" s="16"/>
      <c r="M149" s="16"/>
      <c r="N149" s="16"/>
      <c r="O149" s="16"/>
      <c r="P149" s="16"/>
      <c r="Q149" s="16"/>
      <c r="R149" s="16"/>
      <c r="S149" s="16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</row>
    <row r="150" spans="1:111" s="2" customFormat="1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11"/>
      <c r="L150" s="16"/>
      <c r="M150" s="16"/>
      <c r="N150" s="16"/>
      <c r="O150" s="16"/>
      <c r="P150" s="16"/>
      <c r="Q150" s="16"/>
      <c r="R150" s="16"/>
      <c r="S150" s="16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</row>
    <row r="151" spans="1:111" s="2" customFormat="1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11"/>
      <c r="L151" s="16"/>
      <c r="M151" s="16"/>
      <c r="N151" s="16"/>
      <c r="O151" s="16"/>
      <c r="P151" s="16"/>
      <c r="Q151" s="16"/>
      <c r="R151" s="16"/>
      <c r="S151" s="16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</row>
    <row r="152" spans="1:111" s="2" customFormat="1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11"/>
      <c r="L152" s="16"/>
      <c r="M152" s="16"/>
      <c r="N152" s="16"/>
      <c r="O152" s="16"/>
      <c r="P152" s="16"/>
      <c r="Q152" s="16"/>
      <c r="R152" s="16"/>
      <c r="S152" s="16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</row>
    <row r="153" spans="1:111" s="2" customFormat="1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11"/>
      <c r="L153" s="16"/>
      <c r="M153" s="16"/>
      <c r="N153" s="16"/>
      <c r="O153" s="16"/>
      <c r="P153" s="16"/>
      <c r="Q153" s="16"/>
      <c r="R153" s="16"/>
      <c r="S153" s="16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</row>
    <row r="154" spans="1:111" s="2" customFormat="1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11"/>
      <c r="L154" s="16"/>
      <c r="M154" s="16"/>
      <c r="N154" s="16"/>
      <c r="O154" s="16"/>
      <c r="P154" s="16"/>
      <c r="Q154" s="16"/>
      <c r="R154" s="16"/>
      <c r="S154" s="16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</row>
    <row r="155" spans="1:111" s="2" customFormat="1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11"/>
      <c r="L155" s="16"/>
      <c r="M155" s="16"/>
      <c r="N155" s="16"/>
      <c r="O155" s="16"/>
      <c r="P155" s="16"/>
      <c r="Q155" s="16"/>
      <c r="R155" s="16"/>
      <c r="S155" s="16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</row>
    <row r="156" spans="1:111" s="2" customFormat="1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11"/>
      <c r="L156" s="16"/>
      <c r="M156" s="16"/>
      <c r="N156" s="16"/>
      <c r="O156" s="16"/>
      <c r="P156" s="16"/>
      <c r="Q156" s="16"/>
      <c r="R156" s="16"/>
      <c r="S156" s="16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</row>
    <row r="157" spans="1:111" s="2" customFormat="1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11"/>
      <c r="L157" s="16"/>
      <c r="M157" s="16"/>
      <c r="N157" s="16"/>
      <c r="O157" s="16"/>
      <c r="P157" s="16"/>
      <c r="Q157" s="16"/>
      <c r="R157" s="16"/>
      <c r="S157" s="16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</row>
    <row r="158" spans="1:111" s="2" customFormat="1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11"/>
      <c r="L158" s="16"/>
      <c r="M158" s="16"/>
      <c r="N158" s="16"/>
      <c r="O158" s="16"/>
      <c r="P158" s="16"/>
      <c r="Q158" s="16"/>
      <c r="R158" s="16"/>
      <c r="S158" s="16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</row>
    <row r="159" spans="1:111" s="2" customFormat="1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11"/>
      <c r="L159" s="16"/>
      <c r="M159" s="16"/>
      <c r="N159" s="16"/>
      <c r="O159" s="16"/>
      <c r="P159" s="16"/>
      <c r="Q159" s="16"/>
      <c r="R159" s="16"/>
      <c r="S159" s="16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</row>
    <row r="160" spans="1:111" s="2" customFormat="1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11"/>
      <c r="L160" s="16"/>
      <c r="M160" s="16"/>
      <c r="N160" s="16"/>
      <c r="O160" s="16"/>
      <c r="P160" s="16"/>
      <c r="Q160" s="16"/>
      <c r="R160" s="16"/>
      <c r="S160" s="16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</row>
    <row r="161" spans="1:111" s="2" customFormat="1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11"/>
      <c r="L161" s="16"/>
      <c r="M161" s="16"/>
      <c r="N161" s="16"/>
      <c r="O161" s="16"/>
      <c r="P161" s="16"/>
      <c r="Q161" s="16"/>
      <c r="R161" s="16"/>
      <c r="S161" s="16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</row>
    <row r="162" spans="1:111" s="2" customFormat="1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11"/>
      <c r="L162" s="16"/>
      <c r="M162" s="16"/>
      <c r="N162" s="16"/>
      <c r="O162" s="16"/>
      <c r="P162" s="16"/>
      <c r="Q162" s="16"/>
      <c r="R162" s="16"/>
      <c r="S162" s="16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</row>
    <row r="163" spans="1:111" s="2" customFormat="1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11"/>
      <c r="L163" s="16"/>
      <c r="M163" s="16"/>
      <c r="N163" s="16"/>
      <c r="O163" s="16"/>
      <c r="P163" s="16"/>
      <c r="Q163" s="16"/>
      <c r="R163" s="16"/>
      <c r="S163" s="16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</row>
    <row r="164" spans="1:111" s="2" customFormat="1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11"/>
      <c r="L164" s="16"/>
      <c r="M164" s="16"/>
      <c r="N164" s="16"/>
      <c r="O164" s="16"/>
      <c r="P164" s="16"/>
      <c r="Q164" s="16"/>
      <c r="R164" s="16"/>
      <c r="S164" s="16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</row>
    <row r="165" spans="1:111" s="2" customFormat="1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11"/>
      <c r="L165" s="16"/>
      <c r="M165" s="16"/>
      <c r="N165" s="16"/>
      <c r="O165" s="16"/>
      <c r="P165" s="16"/>
      <c r="Q165" s="16"/>
      <c r="R165" s="16"/>
      <c r="S165" s="16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</row>
    <row r="166" spans="1:111" s="2" customFormat="1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11"/>
      <c r="L166" s="16"/>
      <c r="M166" s="16"/>
      <c r="N166" s="16"/>
      <c r="O166" s="16"/>
      <c r="P166" s="16"/>
      <c r="Q166" s="16"/>
      <c r="R166" s="16"/>
      <c r="S166" s="16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</row>
    <row r="167" spans="1:111" s="2" customFormat="1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11"/>
      <c r="L167" s="16"/>
      <c r="M167" s="16"/>
      <c r="N167" s="16"/>
      <c r="O167" s="16"/>
      <c r="P167" s="16"/>
      <c r="Q167" s="16"/>
      <c r="R167" s="16"/>
      <c r="S167" s="16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</row>
    <row r="168" spans="1:111" s="2" customFormat="1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11"/>
      <c r="L168" s="16"/>
      <c r="M168" s="16"/>
      <c r="N168" s="16"/>
      <c r="O168" s="16"/>
      <c r="P168" s="16"/>
      <c r="Q168" s="16"/>
      <c r="R168" s="16"/>
      <c r="S168" s="16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</row>
    <row r="169" spans="1:111" s="2" customFormat="1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11"/>
      <c r="L169" s="16"/>
      <c r="M169" s="16"/>
      <c r="N169" s="16"/>
      <c r="O169" s="16"/>
      <c r="P169" s="16"/>
      <c r="Q169" s="16"/>
      <c r="R169" s="16"/>
      <c r="S169" s="16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</row>
    <row r="170" spans="1:111" s="2" customFormat="1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11"/>
      <c r="L170" s="16"/>
      <c r="M170" s="16"/>
      <c r="N170" s="16"/>
      <c r="O170" s="16"/>
      <c r="P170" s="16"/>
      <c r="Q170" s="16"/>
      <c r="R170" s="16"/>
      <c r="S170" s="16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</row>
    <row r="171" spans="1:111" s="2" customFormat="1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11"/>
      <c r="L171" s="16"/>
      <c r="M171" s="16"/>
      <c r="N171" s="16"/>
      <c r="O171" s="16"/>
      <c r="P171" s="16"/>
      <c r="Q171" s="16"/>
      <c r="R171" s="16"/>
      <c r="S171" s="16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</row>
    <row r="172" spans="1:111" s="2" customFormat="1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11"/>
      <c r="L172" s="16"/>
      <c r="M172" s="16"/>
      <c r="N172" s="16"/>
      <c r="O172" s="16"/>
      <c r="P172" s="16"/>
      <c r="Q172" s="16"/>
      <c r="R172" s="16"/>
      <c r="S172" s="16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</row>
    <row r="173" spans="1:111" s="2" customFormat="1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11"/>
      <c r="L173" s="16"/>
      <c r="M173" s="16"/>
      <c r="N173" s="16"/>
      <c r="O173" s="16"/>
      <c r="P173" s="16"/>
      <c r="Q173" s="16"/>
      <c r="R173" s="16"/>
      <c r="S173" s="16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</row>
    <row r="174" spans="1:111" s="2" customFormat="1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11"/>
      <c r="L174" s="16"/>
      <c r="M174" s="16"/>
      <c r="N174" s="16"/>
      <c r="O174" s="16"/>
      <c r="P174" s="16"/>
      <c r="Q174" s="16"/>
      <c r="R174" s="16"/>
      <c r="S174" s="16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</row>
    <row r="175" spans="1:111" s="2" customFormat="1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11"/>
      <c r="L175" s="16"/>
      <c r="M175" s="16"/>
      <c r="N175" s="16"/>
      <c r="O175" s="16"/>
      <c r="P175" s="16"/>
      <c r="Q175" s="16"/>
      <c r="R175" s="16"/>
      <c r="S175" s="16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</row>
    <row r="176" spans="1:111" s="2" customFormat="1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11"/>
      <c r="L176" s="16"/>
      <c r="M176" s="16"/>
      <c r="N176" s="16"/>
      <c r="O176" s="16"/>
      <c r="P176" s="16"/>
      <c r="Q176" s="16"/>
      <c r="R176" s="16"/>
      <c r="S176" s="16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</row>
    <row r="177" spans="1:111" s="2" customFormat="1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11"/>
      <c r="L177" s="16"/>
      <c r="M177" s="16"/>
      <c r="N177" s="16"/>
      <c r="O177" s="16"/>
      <c r="P177" s="16"/>
      <c r="Q177" s="16"/>
      <c r="R177" s="16"/>
      <c r="S177" s="16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</row>
    <row r="178" spans="1:111" s="2" customFormat="1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11"/>
      <c r="L178" s="16"/>
      <c r="M178" s="16"/>
      <c r="N178" s="16"/>
      <c r="O178" s="16"/>
      <c r="P178" s="16"/>
      <c r="Q178" s="16"/>
      <c r="R178" s="16"/>
      <c r="S178" s="16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</row>
    <row r="179" spans="1:111" s="2" customFormat="1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11"/>
      <c r="L179" s="16"/>
      <c r="M179" s="16"/>
      <c r="N179" s="16"/>
      <c r="O179" s="16"/>
      <c r="P179" s="16"/>
      <c r="Q179" s="16"/>
      <c r="R179" s="16"/>
      <c r="S179" s="16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</row>
    <row r="180" spans="1:111" s="2" customFormat="1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11"/>
      <c r="L180" s="16"/>
      <c r="M180" s="16"/>
      <c r="N180" s="16"/>
      <c r="O180" s="16"/>
      <c r="P180" s="16"/>
      <c r="Q180" s="16"/>
      <c r="R180" s="16"/>
      <c r="S180" s="16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</row>
    <row r="181" spans="1:111" s="2" customFormat="1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11"/>
      <c r="L181" s="16"/>
      <c r="M181" s="16"/>
      <c r="N181" s="16"/>
      <c r="O181" s="16"/>
      <c r="P181" s="16"/>
      <c r="Q181" s="16"/>
      <c r="R181" s="16"/>
      <c r="S181" s="16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</row>
    <row r="182" spans="1:111" s="2" customFormat="1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11"/>
      <c r="L182" s="16"/>
      <c r="M182" s="16"/>
      <c r="N182" s="16"/>
      <c r="O182" s="16"/>
      <c r="P182" s="16"/>
      <c r="Q182" s="16"/>
      <c r="R182" s="16"/>
      <c r="S182" s="16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</row>
    <row r="183" spans="1:111" s="2" customFormat="1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11"/>
      <c r="L183" s="16"/>
      <c r="M183" s="16"/>
      <c r="N183" s="16"/>
      <c r="O183" s="16"/>
      <c r="P183" s="16"/>
      <c r="Q183" s="16"/>
      <c r="R183" s="16"/>
      <c r="S183" s="16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</row>
    <row r="184" spans="1:111" s="2" customFormat="1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11"/>
      <c r="L184" s="16"/>
      <c r="M184" s="16"/>
      <c r="N184" s="16"/>
      <c r="O184" s="16"/>
      <c r="P184" s="16"/>
      <c r="Q184" s="16"/>
      <c r="R184" s="16"/>
      <c r="S184" s="16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</row>
    <row r="185" spans="1:111" s="2" customFormat="1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11"/>
      <c r="L185" s="16"/>
      <c r="M185" s="16"/>
      <c r="N185" s="16"/>
      <c r="O185" s="16"/>
      <c r="P185" s="16"/>
      <c r="Q185" s="16"/>
      <c r="R185" s="16"/>
      <c r="S185" s="16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</row>
    <row r="186" spans="1:111" s="2" customFormat="1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11"/>
      <c r="L186" s="16"/>
      <c r="M186" s="16"/>
      <c r="N186" s="16"/>
      <c r="O186" s="16"/>
      <c r="P186" s="16"/>
      <c r="Q186" s="16"/>
      <c r="R186" s="16"/>
      <c r="S186" s="16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</row>
    <row r="187" spans="1:111" s="2" customFormat="1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11"/>
      <c r="L187" s="16"/>
      <c r="M187" s="16"/>
      <c r="N187" s="16"/>
      <c r="O187" s="16"/>
      <c r="P187" s="16"/>
      <c r="Q187" s="16"/>
      <c r="R187" s="16"/>
      <c r="S187" s="16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</row>
    <row r="188" spans="1:111" s="2" customFormat="1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11"/>
      <c r="L188" s="16"/>
      <c r="M188" s="16"/>
      <c r="N188" s="16"/>
      <c r="O188" s="16"/>
      <c r="P188" s="16"/>
      <c r="Q188" s="16"/>
      <c r="R188" s="16"/>
      <c r="S188" s="16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</row>
    <row r="189" spans="1:111" s="2" customFormat="1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11"/>
      <c r="L189" s="16"/>
      <c r="M189" s="16"/>
      <c r="N189" s="16"/>
      <c r="O189" s="16"/>
      <c r="P189" s="16"/>
      <c r="Q189" s="16"/>
      <c r="R189" s="16"/>
      <c r="S189" s="16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</row>
    <row r="190" spans="1:111" s="2" customFormat="1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11"/>
      <c r="L190" s="16"/>
      <c r="M190" s="16"/>
      <c r="N190" s="16"/>
      <c r="O190" s="16"/>
      <c r="P190" s="16"/>
      <c r="Q190" s="16"/>
      <c r="R190" s="16"/>
      <c r="S190" s="16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</row>
    <row r="191" spans="1:111" s="2" customFormat="1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11"/>
      <c r="L191" s="16"/>
      <c r="M191" s="16"/>
      <c r="N191" s="16"/>
      <c r="O191" s="16"/>
      <c r="P191" s="16"/>
      <c r="Q191" s="16"/>
      <c r="R191" s="16"/>
      <c r="S191" s="16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</row>
    <row r="192" spans="1:111" s="2" customFormat="1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11"/>
      <c r="L192" s="16"/>
      <c r="M192" s="16"/>
      <c r="N192" s="16"/>
      <c r="O192" s="16"/>
      <c r="P192" s="16"/>
      <c r="Q192" s="16"/>
      <c r="R192" s="16"/>
      <c r="S192" s="16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</row>
    <row r="193" spans="1:111" s="2" customFormat="1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11"/>
      <c r="L193" s="16"/>
      <c r="M193" s="16"/>
      <c r="N193" s="16"/>
      <c r="O193" s="16"/>
      <c r="P193" s="16"/>
      <c r="Q193" s="16"/>
      <c r="R193" s="16"/>
      <c r="S193" s="16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</row>
    <row r="194" spans="1:111" s="2" customFormat="1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11"/>
      <c r="L194" s="16"/>
      <c r="M194" s="16"/>
      <c r="N194" s="16"/>
      <c r="O194" s="16"/>
      <c r="P194" s="16"/>
      <c r="Q194" s="16"/>
      <c r="R194" s="16"/>
      <c r="S194" s="16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</row>
    <row r="195" spans="1:111" s="2" customFormat="1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11"/>
      <c r="L195" s="16"/>
      <c r="M195" s="16"/>
      <c r="N195" s="16"/>
      <c r="O195" s="16"/>
      <c r="P195" s="16"/>
      <c r="Q195" s="16"/>
      <c r="R195" s="16"/>
      <c r="S195" s="16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</row>
    <row r="196" spans="1:111" s="2" customFormat="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11"/>
      <c r="L196" s="16"/>
      <c r="M196" s="16"/>
      <c r="N196" s="16"/>
      <c r="O196" s="16"/>
      <c r="P196" s="16"/>
      <c r="Q196" s="16"/>
      <c r="R196" s="16"/>
      <c r="S196" s="16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</row>
    <row r="197" spans="1:111" s="2" customFormat="1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11"/>
      <c r="L197" s="16"/>
      <c r="M197" s="16"/>
      <c r="N197" s="16"/>
      <c r="O197" s="16"/>
      <c r="P197" s="16"/>
      <c r="Q197" s="16"/>
      <c r="R197" s="16"/>
      <c r="S197" s="16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</row>
    <row r="198" spans="1:111" s="2" customFormat="1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11"/>
      <c r="L198" s="16"/>
      <c r="M198" s="16"/>
      <c r="N198" s="16"/>
      <c r="O198" s="16"/>
      <c r="P198" s="16"/>
      <c r="Q198" s="16"/>
      <c r="R198" s="16"/>
      <c r="S198" s="16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</row>
    <row r="199" spans="1:111" s="2" customFormat="1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11"/>
      <c r="L199" s="16"/>
      <c r="M199" s="16"/>
      <c r="N199" s="16"/>
      <c r="O199" s="16"/>
      <c r="P199" s="16"/>
      <c r="Q199" s="16"/>
      <c r="R199" s="16"/>
      <c r="S199" s="16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</row>
    <row r="200" spans="1:111" s="2" customFormat="1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11"/>
      <c r="L200" s="16"/>
      <c r="M200" s="16"/>
      <c r="N200" s="16"/>
      <c r="O200" s="16"/>
      <c r="P200" s="16"/>
      <c r="Q200" s="16"/>
      <c r="R200" s="16"/>
      <c r="S200" s="16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</row>
    <row r="201" spans="1:111" s="2" customFormat="1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11"/>
      <c r="L201" s="16"/>
      <c r="M201" s="16"/>
      <c r="N201" s="16"/>
      <c r="O201" s="16"/>
      <c r="P201" s="16"/>
      <c r="Q201" s="16"/>
      <c r="R201" s="16"/>
      <c r="S201" s="16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</row>
    <row r="202" spans="1:111" s="2" customFormat="1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11"/>
      <c r="L202" s="16"/>
      <c r="M202" s="16"/>
      <c r="N202" s="16"/>
      <c r="O202" s="16"/>
      <c r="P202" s="16"/>
      <c r="Q202" s="16"/>
      <c r="R202" s="16"/>
      <c r="S202" s="16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</row>
    <row r="203" spans="1:111" s="2" customFormat="1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11"/>
      <c r="L203" s="16"/>
      <c r="M203" s="16"/>
      <c r="N203" s="16"/>
      <c r="O203" s="16"/>
      <c r="P203" s="16"/>
      <c r="Q203" s="16"/>
      <c r="R203" s="16"/>
      <c r="S203" s="16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</row>
    <row r="204" spans="1:111" s="2" customFormat="1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11"/>
      <c r="L204" s="16"/>
      <c r="M204" s="16"/>
      <c r="N204" s="16"/>
      <c r="O204" s="16"/>
      <c r="P204" s="16"/>
      <c r="Q204" s="16"/>
      <c r="R204" s="16"/>
      <c r="S204" s="16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</row>
    <row r="205" spans="1:111" s="2" customFormat="1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11"/>
      <c r="L205" s="16"/>
      <c r="M205" s="16"/>
      <c r="N205" s="16"/>
      <c r="O205" s="16"/>
      <c r="P205" s="16"/>
      <c r="Q205" s="16"/>
      <c r="R205" s="16"/>
      <c r="S205" s="16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</row>
    <row r="206" spans="1:111" s="2" customFormat="1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11"/>
      <c r="L206" s="16"/>
      <c r="M206" s="16"/>
      <c r="N206" s="16"/>
      <c r="O206" s="16"/>
      <c r="P206" s="16"/>
      <c r="Q206" s="16"/>
      <c r="R206" s="16"/>
      <c r="S206" s="16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</row>
    <row r="207" spans="1:111" s="2" customFormat="1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11"/>
      <c r="L207" s="16"/>
      <c r="M207" s="16"/>
      <c r="N207" s="16"/>
      <c r="O207" s="16"/>
      <c r="P207" s="16"/>
      <c r="Q207" s="16"/>
      <c r="R207" s="16"/>
      <c r="S207" s="16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</row>
    <row r="208" spans="1:111" s="2" customFormat="1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11"/>
      <c r="L208" s="16"/>
      <c r="M208" s="16"/>
      <c r="N208" s="16"/>
      <c r="O208" s="16"/>
      <c r="P208" s="16"/>
      <c r="Q208" s="16"/>
      <c r="R208" s="16"/>
      <c r="S208" s="16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</row>
    <row r="209" spans="1:111" s="2" customFormat="1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11"/>
      <c r="L209" s="16"/>
      <c r="M209" s="16"/>
      <c r="N209" s="16"/>
      <c r="O209" s="16"/>
      <c r="P209" s="16"/>
      <c r="Q209" s="16"/>
      <c r="R209" s="16"/>
      <c r="S209" s="16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</row>
    <row r="210" spans="1:111" s="2" customFormat="1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11"/>
      <c r="L210" s="16"/>
      <c r="M210" s="16"/>
      <c r="N210" s="16"/>
      <c r="O210" s="16"/>
      <c r="P210" s="16"/>
      <c r="Q210" s="16"/>
      <c r="R210" s="16"/>
      <c r="S210" s="16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</row>
    <row r="211" spans="1:111" s="2" customFormat="1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11"/>
      <c r="L211" s="16"/>
      <c r="M211" s="16"/>
      <c r="N211" s="16"/>
      <c r="O211" s="16"/>
      <c r="P211" s="16"/>
      <c r="Q211" s="16"/>
      <c r="R211" s="16"/>
      <c r="S211" s="16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</row>
    <row r="212" spans="1:111" s="2" customFormat="1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11"/>
      <c r="L212" s="16"/>
      <c r="M212" s="16"/>
      <c r="N212" s="16"/>
      <c r="O212" s="16"/>
      <c r="P212" s="16"/>
      <c r="Q212" s="16"/>
      <c r="R212" s="16"/>
      <c r="S212" s="16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</row>
    <row r="213" spans="1:111" s="2" customFormat="1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11"/>
      <c r="L213" s="16"/>
      <c r="M213" s="16"/>
      <c r="N213" s="16"/>
      <c r="O213" s="16"/>
      <c r="P213" s="16"/>
      <c r="Q213" s="16"/>
      <c r="R213" s="16"/>
      <c r="S213" s="16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</row>
    <row r="214" spans="1:111" s="2" customFormat="1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11"/>
      <c r="L214" s="16"/>
      <c r="M214" s="16"/>
      <c r="N214" s="16"/>
      <c r="O214" s="16"/>
      <c r="P214" s="16"/>
      <c r="Q214" s="16"/>
      <c r="R214" s="16"/>
      <c r="S214" s="16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</row>
    <row r="215" spans="1:111" s="2" customFormat="1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11"/>
      <c r="L215" s="16"/>
      <c r="M215" s="16"/>
      <c r="N215" s="16"/>
      <c r="O215" s="16"/>
      <c r="P215" s="16"/>
      <c r="Q215" s="16"/>
      <c r="R215" s="16"/>
      <c r="S215" s="16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</row>
    <row r="216" spans="1:111" s="2" customFormat="1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11"/>
      <c r="L216" s="16"/>
      <c r="M216" s="16"/>
      <c r="N216" s="16"/>
      <c r="O216" s="16"/>
      <c r="P216" s="16"/>
      <c r="Q216" s="16"/>
      <c r="R216" s="16"/>
      <c r="S216" s="16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</row>
    <row r="217" spans="1:111" s="2" customFormat="1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11"/>
      <c r="L217" s="16"/>
      <c r="M217" s="16"/>
      <c r="N217" s="16"/>
      <c r="O217" s="16"/>
      <c r="P217" s="16"/>
      <c r="Q217" s="16"/>
      <c r="R217" s="16"/>
      <c r="S217" s="16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</row>
    <row r="218" spans="1:111" s="2" customFormat="1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11"/>
      <c r="L218" s="16"/>
      <c r="M218" s="16"/>
      <c r="N218" s="16"/>
      <c r="O218" s="16"/>
      <c r="P218" s="16"/>
      <c r="Q218" s="16"/>
      <c r="R218" s="16"/>
      <c r="S218" s="16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</row>
    <row r="219" spans="1:111" s="2" customFormat="1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11"/>
      <c r="L219" s="16"/>
      <c r="M219" s="16"/>
      <c r="N219" s="16"/>
      <c r="O219" s="16"/>
      <c r="P219" s="16"/>
      <c r="Q219" s="16"/>
      <c r="R219" s="16"/>
      <c r="S219" s="16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</row>
    <row r="220" spans="1:111" s="2" customFormat="1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11"/>
      <c r="L220" s="16"/>
      <c r="M220" s="16"/>
      <c r="N220" s="16"/>
      <c r="O220" s="16"/>
      <c r="P220" s="16"/>
      <c r="Q220" s="16"/>
      <c r="R220" s="16"/>
      <c r="S220" s="16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</row>
    <row r="221" spans="1:111" s="2" customFormat="1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11"/>
      <c r="L221" s="16"/>
      <c r="M221" s="16"/>
      <c r="N221" s="16"/>
      <c r="O221" s="16"/>
      <c r="P221" s="16"/>
      <c r="Q221" s="16"/>
      <c r="R221" s="16"/>
      <c r="S221" s="16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</row>
    <row r="222" spans="1:111" s="2" customFormat="1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11"/>
      <c r="L222" s="16"/>
      <c r="M222" s="16"/>
      <c r="N222" s="16"/>
      <c r="O222" s="16"/>
      <c r="P222" s="16"/>
      <c r="Q222" s="16"/>
      <c r="R222" s="16"/>
      <c r="S222" s="16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</row>
    <row r="223" spans="1:111" s="2" customFormat="1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11"/>
      <c r="L223" s="16"/>
      <c r="M223" s="16"/>
      <c r="N223" s="16"/>
      <c r="O223" s="16"/>
      <c r="P223" s="16"/>
      <c r="Q223" s="16"/>
      <c r="R223" s="16"/>
      <c r="S223" s="16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</row>
    <row r="224" spans="1:111" s="2" customFormat="1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11"/>
      <c r="L224" s="16"/>
      <c r="M224" s="16"/>
      <c r="N224" s="16"/>
      <c r="O224" s="16"/>
      <c r="P224" s="16"/>
      <c r="Q224" s="16"/>
      <c r="R224" s="16"/>
      <c r="S224" s="16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</row>
    <row r="225" spans="1:111" s="2" customFormat="1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11"/>
      <c r="L225" s="16"/>
      <c r="M225" s="16"/>
      <c r="N225" s="16"/>
      <c r="O225" s="16"/>
      <c r="P225" s="16"/>
      <c r="Q225" s="16"/>
      <c r="R225" s="16"/>
      <c r="S225" s="16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</row>
    <row r="226" spans="1:111" s="2" customFormat="1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11"/>
      <c r="L226" s="16"/>
      <c r="M226" s="16"/>
      <c r="N226" s="16"/>
      <c r="O226" s="16"/>
      <c r="P226" s="16"/>
      <c r="Q226" s="16"/>
      <c r="R226" s="16"/>
      <c r="S226" s="16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</row>
    <row r="227" spans="1:111" s="2" customFormat="1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11"/>
      <c r="L227" s="16"/>
      <c r="M227" s="16"/>
      <c r="N227" s="16"/>
      <c r="O227" s="16"/>
      <c r="P227" s="16"/>
      <c r="Q227" s="16"/>
      <c r="R227" s="16"/>
      <c r="S227" s="16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</row>
    <row r="228" spans="1:111" s="2" customFormat="1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11"/>
      <c r="L228" s="16"/>
      <c r="M228" s="16"/>
      <c r="N228" s="16"/>
      <c r="O228" s="16"/>
      <c r="P228" s="16"/>
      <c r="Q228" s="16"/>
      <c r="R228" s="16"/>
      <c r="S228" s="16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</row>
    <row r="229" spans="1:111" s="2" customFormat="1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11"/>
      <c r="L229" s="16"/>
      <c r="M229" s="16"/>
      <c r="N229" s="16"/>
      <c r="O229" s="16"/>
      <c r="P229" s="16"/>
      <c r="Q229" s="16"/>
      <c r="R229" s="16"/>
      <c r="S229" s="16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</row>
    <row r="230" spans="1:111" s="2" customFormat="1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11"/>
      <c r="L230" s="16"/>
      <c r="M230" s="16"/>
      <c r="N230" s="16"/>
      <c r="O230" s="16"/>
      <c r="P230" s="16"/>
      <c r="Q230" s="16"/>
      <c r="R230" s="16"/>
      <c r="S230" s="16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</row>
    <row r="231" spans="1:111" s="2" customFormat="1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11"/>
      <c r="L231" s="16"/>
      <c r="M231" s="16"/>
      <c r="N231" s="16"/>
      <c r="O231" s="16"/>
      <c r="P231" s="16"/>
      <c r="Q231" s="16"/>
      <c r="R231" s="16"/>
      <c r="S231" s="16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</row>
    <row r="232" spans="1:111" s="2" customFormat="1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11"/>
      <c r="L232" s="16"/>
      <c r="M232" s="16"/>
      <c r="N232" s="16"/>
      <c r="O232" s="16"/>
      <c r="P232" s="16"/>
      <c r="Q232" s="16"/>
      <c r="R232" s="16"/>
      <c r="S232" s="16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</row>
    <row r="233" spans="1:111" s="2" customFormat="1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11"/>
      <c r="L233" s="16"/>
      <c r="M233" s="16"/>
      <c r="N233" s="16"/>
      <c r="O233" s="16"/>
      <c r="P233" s="16"/>
      <c r="Q233" s="16"/>
      <c r="R233" s="16"/>
      <c r="S233" s="16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</row>
    <row r="234" spans="1:111" s="2" customFormat="1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11"/>
      <c r="L234" s="16"/>
      <c r="M234" s="16"/>
      <c r="N234" s="16"/>
      <c r="O234" s="16"/>
      <c r="P234" s="16"/>
      <c r="Q234" s="16"/>
      <c r="R234" s="16"/>
      <c r="S234" s="16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</row>
    <row r="235" spans="1:111" s="2" customFormat="1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11"/>
      <c r="L235" s="16"/>
      <c r="M235" s="16"/>
      <c r="N235" s="16"/>
      <c r="O235" s="16"/>
      <c r="P235" s="16"/>
      <c r="Q235" s="16"/>
      <c r="R235" s="16"/>
      <c r="S235" s="16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</row>
    <row r="236" spans="1:111" s="2" customFormat="1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11"/>
      <c r="L236" s="16"/>
      <c r="M236" s="16"/>
      <c r="N236" s="16"/>
      <c r="O236" s="16"/>
      <c r="P236" s="16"/>
      <c r="Q236" s="16"/>
      <c r="R236" s="16"/>
      <c r="S236" s="16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</row>
    <row r="237" spans="1:111" s="2" customFormat="1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11"/>
      <c r="L237" s="16"/>
      <c r="M237" s="16"/>
      <c r="N237" s="16"/>
      <c r="O237" s="16"/>
      <c r="P237" s="16"/>
      <c r="Q237" s="16"/>
      <c r="R237" s="16"/>
      <c r="S237" s="16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</row>
    <row r="238" spans="1:111" s="2" customFormat="1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11"/>
      <c r="L238" s="16"/>
      <c r="M238" s="16"/>
      <c r="N238" s="16"/>
      <c r="O238" s="16"/>
      <c r="P238" s="16"/>
      <c r="Q238" s="16"/>
      <c r="R238" s="16"/>
      <c r="S238" s="16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</row>
    <row r="239" spans="1:111" s="2" customFormat="1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11"/>
      <c r="L239" s="16"/>
      <c r="M239" s="16"/>
      <c r="N239" s="16"/>
      <c r="O239" s="16"/>
      <c r="P239" s="16"/>
      <c r="Q239" s="16"/>
      <c r="R239" s="16"/>
      <c r="S239" s="16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</row>
    <row r="240" spans="1:111" s="2" customFormat="1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11"/>
      <c r="L240" s="16"/>
      <c r="M240" s="16"/>
      <c r="N240" s="16"/>
      <c r="O240" s="16"/>
      <c r="P240" s="16"/>
      <c r="Q240" s="16"/>
      <c r="R240" s="16"/>
      <c r="S240" s="16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</row>
    <row r="241" spans="1:111" s="2" customFormat="1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11"/>
      <c r="L241" s="16"/>
      <c r="M241" s="16"/>
      <c r="N241" s="16"/>
      <c r="O241" s="16"/>
      <c r="P241" s="16"/>
      <c r="Q241" s="16"/>
      <c r="R241" s="16"/>
      <c r="S241" s="16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</row>
    <row r="242" spans="1:111" s="2" customFormat="1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11"/>
      <c r="L242" s="16"/>
      <c r="M242" s="16"/>
      <c r="N242" s="16"/>
      <c r="O242" s="16"/>
      <c r="P242" s="16"/>
      <c r="Q242" s="16"/>
      <c r="R242" s="16"/>
      <c r="S242" s="16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</row>
    <row r="243" spans="1:111" s="2" customFormat="1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11"/>
      <c r="L243" s="16"/>
      <c r="M243" s="16"/>
      <c r="N243" s="16"/>
      <c r="O243" s="16"/>
      <c r="P243" s="16"/>
      <c r="Q243" s="16"/>
      <c r="R243" s="16"/>
      <c r="S243" s="16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</row>
    <row r="244" spans="1:111" s="2" customFormat="1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11"/>
      <c r="L244" s="16"/>
      <c r="M244" s="16"/>
      <c r="N244" s="16"/>
      <c r="O244" s="16"/>
      <c r="P244" s="16"/>
      <c r="Q244" s="16"/>
      <c r="R244" s="16"/>
      <c r="S244" s="16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</row>
    <row r="245" spans="1:111" s="2" customFormat="1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11"/>
      <c r="L245" s="16"/>
      <c r="M245" s="16"/>
      <c r="N245" s="16"/>
      <c r="O245" s="16"/>
      <c r="P245" s="16"/>
      <c r="Q245" s="16"/>
      <c r="R245" s="16"/>
      <c r="S245" s="16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</row>
    <row r="246" spans="1:111" s="2" customFormat="1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11"/>
      <c r="L246" s="16"/>
      <c r="M246" s="16"/>
      <c r="N246" s="16"/>
      <c r="O246" s="16"/>
      <c r="P246" s="16"/>
      <c r="Q246" s="16"/>
      <c r="R246" s="16"/>
      <c r="S246" s="16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</row>
    <row r="247" spans="1:111" s="2" customFormat="1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11"/>
      <c r="L247" s="16"/>
      <c r="M247" s="16"/>
      <c r="N247" s="16"/>
      <c r="O247" s="16"/>
      <c r="P247" s="16"/>
      <c r="Q247" s="16"/>
      <c r="R247" s="16"/>
      <c r="S247" s="16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</row>
    <row r="248" spans="1:111" s="2" customFormat="1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11"/>
      <c r="L248" s="16"/>
      <c r="M248" s="16"/>
      <c r="N248" s="16"/>
      <c r="O248" s="16"/>
      <c r="P248" s="16"/>
      <c r="Q248" s="16"/>
      <c r="R248" s="16"/>
      <c r="S248" s="16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</row>
    <row r="249" spans="1:111" s="2" customFormat="1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11"/>
      <c r="L249" s="16"/>
      <c r="M249" s="16"/>
      <c r="N249" s="16"/>
      <c r="O249" s="16"/>
      <c r="P249" s="16"/>
      <c r="Q249" s="16"/>
      <c r="R249" s="16"/>
      <c r="S249" s="16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</row>
    <row r="250" spans="1:111" s="2" customFormat="1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11"/>
      <c r="L250" s="16"/>
      <c r="M250" s="16"/>
      <c r="N250" s="16"/>
      <c r="O250" s="16"/>
      <c r="P250" s="16"/>
      <c r="Q250" s="16"/>
      <c r="R250" s="16"/>
      <c r="S250" s="16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</row>
    <row r="251" spans="1:111" s="2" customFormat="1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11"/>
      <c r="L251" s="16"/>
      <c r="M251" s="16"/>
      <c r="N251" s="16"/>
      <c r="O251" s="16"/>
      <c r="P251" s="16"/>
      <c r="Q251" s="16"/>
      <c r="R251" s="16"/>
      <c r="S251" s="16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</row>
    <row r="252" spans="1:111" s="2" customFormat="1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11"/>
      <c r="L252" s="16"/>
      <c r="M252" s="16"/>
      <c r="N252" s="16"/>
      <c r="O252" s="16"/>
      <c r="P252" s="16"/>
      <c r="Q252" s="16"/>
      <c r="R252" s="16"/>
      <c r="S252" s="16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</row>
    <row r="253" spans="1:111" s="2" customFormat="1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11"/>
      <c r="L253" s="16"/>
      <c r="M253" s="16"/>
      <c r="N253" s="16"/>
      <c r="O253" s="16"/>
      <c r="P253" s="16"/>
      <c r="Q253" s="16"/>
      <c r="R253" s="16"/>
      <c r="S253" s="16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</row>
    <row r="254" spans="1:111" s="2" customFormat="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11"/>
      <c r="L254" s="16"/>
      <c r="M254" s="16"/>
      <c r="N254" s="16"/>
      <c r="O254" s="16"/>
      <c r="P254" s="16"/>
      <c r="Q254" s="16"/>
      <c r="R254" s="16"/>
      <c r="S254" s="16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</row>
    <row r="255" spans="1:111" s="2" customFormat="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11"/>
      <c r="L255" s="16"/>
      <c r="M255" s="16"/>
      <c r="N255" s="16"/>
      <c r="O255" s="16"/>
      <c r="P255" s="16"/>
      <c r="Q255" s="16"/>
      <c r="R255" s="16"/>
      <c r="S255" s="16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</row>
    <row r="256" spans="1:111" s="2" customFormat="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11"/>
      <c r="L256" s="16"/>
      <c r="M256" s="16"/>
      <c r="N256" s="16"/>
      <c r="O256" s="16"/>
      <c r="P256" s="16"/>
      <c r="Q256" s="16"/>
      <c r="R256" s="16"/>
      <c r="S256" s="16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</row>
    <row r="257" spans="1:111" s="2" customFormat="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11"/>
      <c r="L257" s="16"/>
      <c r="M257" s="16"/>
      <c r="N257" s="16"/>
      <c r="O257" s="16"/>
      <c r="P257" s="16"/>
      <c r="Q257" s="16"/>
      <c r="R257" s="16"/>
      <c r="S257" s="16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</row>
    <row r="258" spans="1:111" s="2" customFormat="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11"/>
      <c r="L258" s="16"/>
      <c r="M258" s="16"/>
      <c r="N258" s="16"/>
      <c r="O258" s="16"/>
      <c r="P258" s="16"/>
      <c r="Q258" s="16"/>
      <c r="R258" s="16"/>
      <c r="S258" s="16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</row>
    <row r="259" spans="1:111" s="2" customFormat="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11"/>
      <c r="L259" s="16"/>
      <c r="M259" s="16"/>
      <c r="N259" s="16"/>
      <c r="O259" s="16"/>
      <c r="P259" s="16"/>
      <c r="Q259" s="16"/>
      <c r="R259" s="16"/>
      <c r="S259" s="16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</row>
    <row r="260" spans="1:111" s="2" customFormat="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11"/>
      <c r="L260" s="16"/>
      <c r="M260" s="16"/>
      <c r="N260" s="16"/>
      <c r="O260" s="16"/>
      <c r="P260" s="16"/>
      <c r="Q260" s="16"/>
      <c r="R260" s="16"/>
      <c r="S260" s="16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</row>
    <row r="261" spans="1:111" s="2" customFormat="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11"/>
      <c r="L261" s="16"/>
      <c r="M261" s="16"/>
      <c r="N261" s="16"/>
      <c r="O261" s="16"/>
      <c r="P261" s="16"/>
      <c r="Q261" s="16"/>
      <c r="R261" s="16"/>
      <c r="S261" s="16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</row>
    <row r="262" spans="1:111" s="2" customFormat="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</row>
    <row r="263" spans="1:111" s="2" customFormat="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</row>
    <row r="264" spans="1:111" s="2" customFormat="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17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</row>
    <row r="265" spans="1:111" s="2" customFormat="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17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</row>
    <row r="266" spans="1:111" s="2" customFormat="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17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</row>
    <row r="267" spans="1:111" s="2" customFormat="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17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</row>
    <row r="268" spans="1:111" s="2" customFormat="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17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</row>
    <row r="269" spans="1:111" s="2" customFormat="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17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</row>
    <row r="270" spans="1:111" s="2" customFormat="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17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</row>
    <row r="271" spans="1:111" s="2" customFormat="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17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</row>
    <row r="272" spans="1:111" s="2" customFormat="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17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</row>
    <row r="273" spans="1:111" s="2" customFormat="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17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</row>
    <row r="274" spans="1:111" s="2" customFormat="1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17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</row>
    <row r="275" spans="1:111" s="2" customFormat="1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17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</row>
    <row r="276" spans="1:111" s="2" customFormat="1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17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</row>
    <row r="277" spans="1:111" s="2" customFormat="1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17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</row>
    <row r="278" spans="1:111" s="2" customFormat="1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17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</row>
    <row r="279" spans="1:111" s="2" customFormat="1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17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</row>
    <row r="280" spans="1:111" s="2" customFormat="1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17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</row>
    <row r="281" spans="1:111" s="2" customFormat="1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17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</row>
    <row r="282" spans="1:111" s="2" customFormat="1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17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</row>
    <row r="283" spans="1:111" s="2" customFormat="1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17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</row>
    <row r="284" spans="1:111" s="2" customFormat="1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17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</row>
    <row r="285" spans="1:111" s="2" customFormat="1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17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</row>
    <row r="286" spans="1:111" s="2" customFormat="1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17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</row>
    <row r="287" spans="1:111" s="2" customFormat="1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17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</row>
    <row r="288" spans="1:111" s="2" customFormat="1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17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</row>
    <row r="289" spans="1:111" s="2" customFormat="1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17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</row>
    <row r="290" spans="1:111" s="2" customFormat="1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17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</row>
    <row r="291" spans="1:111" s="2" customFormat="1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17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</row>
    <row r="292" spans="1:111" s="2" customFormat="1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17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</row>
    <row r="293" spans="1:111" s="2" customFormat="1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17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</row>
    <row r="294" spans="1:111" s="2" customFormat="1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17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</row>
    <row r="295" spans="1:111" s="2" customFormat="1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17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</row>
    <row r="296" spans="1:111" s="2" customFormat="1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17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</row>
    <row r="297" spans="1:111" s="2" customFormat="1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17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</row>
    <row r="298" spans="1:111" s="2" customFormat="1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17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</row>
    <row r="299" spans="1:111" s="2" customFormat="1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17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</row>
    <row r="300" spans="1:111" s="2" customFormat="1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17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</row>
    <row r="301" spans="1:111" s="2" customFormat="1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17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</row>
    <row r="302" spans="1:111" s="2" customFormat="1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17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</row>
    <row r="303" spans="1:111" s="2" customFormat="1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17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</row>
    <row r="304" spans="1:111" s="2" customFormat="1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17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</row>
    <row r="305" spans="1:111" s="2" customFormat="1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17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</row>
    <row r="306" spans="1:111" s="2" customFormat="1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17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</row>
    <row r="307" spans="1:111" s="2" customFormat="1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17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</row>
    <row r="308" spans="1:111" s="2" customFormat="1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17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</row>
    <row r="309" spans="1:111" s="2" customFormat="1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17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</row>
    <row r="310" spans="1:111" s="2" customFormat="1" x14ac:dyDescent="0.25">
      <c r="K310" s="3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</row>
    <row r="311" spans="1:111" s="2" customFormat="1" x14ac:dyDescent="0.25">
      <c r="K311" s="3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</row>
    <row r="312" spans="1:111" s="2" customFormat="1" x14ac:dyDescent="0.25">
      <c r="K312" s="3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</row>
    <row r="313" spans="1:111" s="2" customFormat="1" x14ac:dyDescent="0.25">
      <c r="K313" s="3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</row>
    <row r="314" spans="1:111" s="2" customFormat="1" x14ac:dyDescent="0.25">
      <c r="K314" s="3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</row>
    <row r="315" spans="1:111" s="2" customFormat="1" x14ac:dyDescent="0.25">
      <c r="K315" s="3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</row>
    <row r="316" spans="1:111" s="2" customFormat="1" x14ac:dyDescent="0.25">
      <c r="K316" s="3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</row>
    <row r="317" spans="1:111" s="2" customFormat="1" x14ac:dyDescent="0.25">
      <c r="K317" s="3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</row>
    <row r="318" spans="1:111" s="2" customFormat="1" x14ac:dyDescent="0.25">
      <c r="K318" s="3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</row>
    <row r="319" spans="1:111" s="2" customFormat="1" x14ac:dyDescent="0.25">
      <c r="K319" s="3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</row>
    <row r="320" spans="1:111" s="2" customFormat="1" x14ac:dyDescent="0.25">
      <c r="K320" s="3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</row>
    <row r="321" spans="11:111" s="2" customFormat="1" x14ac:dyDescent="0.25">
      <c r="K321" s="3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</row>
    <row r="322" spans="11:111" s="2" customFormat="1" x14ac:dyDescent="0.25">
      <c r="K322" s="3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</row>
    <row r="323" spans="11:111" s="2" customFormat="1" x14ac:dyDescent="0.25">
      <c r="K323" s="3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</row>
    <row r="324" spans="11:111" s="2" customFormat="1" x14ac:dyDescent="0.25">
      <c r="K324" s="3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</row>
    <row r="325" spans="11:111" s="2" customFormat="1" x14ac:dyDescent="0.25">
      <c r="K325" s="3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</row>
    <row r="326" spans="11:111" s="2" customFormat="1" x14ac:dyDescent="0.25">
      <c r="K326" s="3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</row>
    <row r="327" spans="11:111" s="2" customFormat="1" x14ac:dyDescent="0.25">
      <c r="K327" s="3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</row>
    <row r="328" spans="11:111" s="2" customFormat="1" x14ac:dyDescent="0.25">
      <c r="K328" s="3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</row>
    <row r="329" spans="11:111" s="2" customFormat="1" x14ac:dyDescent="0.25">
      <c r="K329" s="3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</row>
    <row r="330" spans="11:111" s="2" customFormat="1" x14ac:dyDescent="0.25">
      <c r="K330" s="3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</row>
    <row r="331" spans="11:111" s="2" customFormat="1" x14ac:dyDescent="0.25">
      <c r="K331" s="3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</row>
    <row r="332" spans="11:111" s="2" customFormat="1" x14ac:dyDescent="0.25">
      <c r="K332" s="3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</row>
    <row r="333" spans="11:111" s="2" customFormat="1" x14ac:dyDescent="0.25">
      <c r="K333" s="3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</row>
    <row r="334" spans="11:111" s="2" customFormat="1" x14ac:dyDescent="0.25">
      <c r="K334" s="3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</row>
    <row r="335" spans="11:111" s="2" customFormat="1" x14ac:dyDescent="0.25">
      <c r="K335" s="3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</row>
    <row r="336" spans="11:111" s="2" customFormat="1" x14ac:dyDescent="0.25">
      <c r="K336" s="3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</row>
    <row r="337" spans="11:111" s="2" customFormat="1" x14ac:dyDescent="0.25">
      <c r="K337" s="3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</row>
    <row r="338" spans="11:111" s="2" customFormat="1" x14ac:dyDescent="0.25">
      <c r="K338" s="3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</row>
    <row r="339" spans="11:111" s="2" customFormat="1" x14ac:dyDescent="0.25">
      <c r="K339" s="3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</row>
    <row r="340" spans="11:111" s="2" customFormat="1" x14ac:dyDescent="0.25">
      <c r="K340" s="3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</row>
    <row r="341" spans="11:111" s="2" customFormat="1" x14ac:dyDescent="0.25">
      <c r="K341" s="3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</row>
    <row r="342" spans="11:111" s="2" customFormat="1" x14ac:dyDescent="0.25">
      <c r="K342" s="3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</row>
    <row r="343" spans="11:111" s="2" customFormat="1" x14ac:dyDescent="0.25">
      <c r="K343" s="3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</row>
    <row r="344" spans="11:111" s="2" customFormat="1" x14ac:dyDescent="0.25">
      <c r="K344" s="3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</row>
    <row r="345" spans="11:111" s="2" customFormat="1" x14ac:dyDescent="0.25">
      <c r="K345" s="3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</row>
    <row r="346" spans="11:111" s="2" customFormat="1" x14ac:dyDescent="0.25">
      <c r="K346" s="3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</row>
    <row r="347" spans="11:111" s="2" customFormat="1" x14ac:dyDescent="0.25">
      <c r="K347" s="3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</row>
    <row r="348" spans="11:111" s="2" customFormat="1" x14ac:dyDescent="0.25">
      <c r="K348" s="3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</row>
    <row r="349" spans="11:111" s="2" customFormat="1" x14ac:dyDescent="0.25">
      <c r="K349" s="3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</row>
    <row r="350" spans="11:111" s="2" customFormat="1" x14ac:dyDescent="0.25">
      <c r="K350" s="3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</row>
    <row r="351" spans="11:111" s="2" customFormat="1" x14ac:dyDescent="0.25">
      <c r="K351" s="3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</row>
    <row r="352" spans="11:111" s="2" customFormat="1" x14ac:dyDescent="0.25">
      <c r="K352" s="3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</row>
    <row r="353" spans="11:111" s="2" customFormat="1" x14ac:dyDescent="0.25">
      <c r="K353" s="3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</row>
    <row r="354" spans="11:111" s="2" customFormat="1" x14ac:dyDescent="0.25">
      <c r="K354" s="3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</row>
    <row r="355" spans="11:111" s="2" customFormat="1" x14ac:dyDescent="0.25">
      <c r="K355" s="3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</row>
    <row r="356" spans="11:111" s="2" customFormat="1" x14ac:dyDescent="0.25">
      <c r="K356" s="3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</row>
    <row r="357" spans="11:111" s="2" customFormat="1" x14ac:dyDescent="0.25">
      <c r="K357" s="3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</row>
    <row r="358" spans="11:111" s="2" customFormat="1" x14ac:dyDescent="0.25">
      <c r="K358" s="3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</row>
    <row r="359" spans="11:111" s="2" customFormat="1" x14ac:dyDescent="0.25">
      <c r="K359" s="3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</row>
    <row r="360" spans="11:111" s="2" customFormat="1" x14ac:dyDescent="0.25">
      <c r="K360" s="3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</row>
    <row r="361" spans="11:111" s="2" customFormat="1" x14ac:dyDescent="0.25">
      <c r="K361" s="3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</row>
    <row r="362" spans="11:111" s="2" customFormat="1" x14ac:dyDescent="0.25">
      <c r="K362" s="3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</row>
    <row r="363" spans="11:111" s="2" customFormat="1" x14ac:dyDescent="0.25">
      <c r="K363" s="3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</row>
    <row r="364" spans="11:111" s="2" customFormat="1" x14ac:dyDescent="0.25">
      <c r="K364" s="3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</row>
    <row r="365" spans="11:111" s="2" customFormat="1" x14ac:dyDescent="0.25">
      <c r="K365" s="3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</row>
    <row r="366" spans="11:111" s="2" customFormat="1" x14ac:dyDescent="0.25">
      <c r="K366" s="3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</row>
    <row r="367" spans="11:111" s="2" customFormat="1" x14ac:dyDescent="0.25">
      <c r="K367" s="3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</row>
    <row r="368" spans="11:111" s="2" customFormat="1" x14ac:dyDescent="0.25">
      <c r="K368" s="3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</row>
    <row r="369" spans="11:111" s="2" customFormat="1" x14ac:dyDescent="0.25">
      <c r="K369" s="3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</row>
    <row r="370" spans="11:111" s="2" customFormat="1" x14ac:dyDescent="0.25">
      <c r="K370" s="3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</row>
    <row r="371" spans="11:111" s="2" customFormat="1" x14ac:dyDescent="0.25">
      <c r="K371" s="3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</row>
    <row r="372" spans="11:111" s="2" customFormat="1" x14ac:dyDescent="0.25">
      <c r="K372" s="3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</row>
    <row r="373" spans="11:111" s="2" customFormat="1" x14ac:dyDescent="0.25">
      <c r="K373" s="3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</row>
    <row r="374" spans="11:111" s="2" customFormat="1" x14ac:dyDescent="0.25">
      <c r="K374" s="3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</row>
    <row r="375" spans="11:111" s="2" customFormat="1" x14ac:dyDescent="0.25">
      <c r="K375" s="3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</row>
    <row r="376" spans="11:111" s="2" customFormat="1" x14ac:dyDescent="0.25">
      <c r="K376" s="3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</row>
    <row r="377" spans="11:111" s="2" customFormat="1" x14ac:dyDescent="0.25">
      <c r="K377" s="3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</row>
    <row r="378" spans="11:111" s="2" customFormat="1" x14ac:dyDescent="0.25">
      <c r="K378" s="3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</row>
    <row r="379" spans="11:111" s="2" customFormat="1" x14ac:dyDescent="0.25">
      <c r="K379" s="3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</row>
    <row r="380" spans="11:111" s="2" customFormat="1" x14ac:dyDescent="0.25">
      <c r="K380" s="3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</row>
    <row r="381" spans="11:111" s="2" customFormat="1" x14ac:dyDescent="0.25">
      <c r="K381" s="3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</row>
    <row r="382" spans="11:111" s="2" customFormat="1" x14ac:dyDescent="0.25">
      <c r="K382" s="3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</row>
    <row r="383" spans="11:111" s="2" customFormat="1" x14ac:dyDescent="0.25">
      <c r="K383" s="3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</row>
    <row r="384" spans="11:111" s="2" customFormat="1" x14ac:dyDescent="0.25">
      <c r="K384" s="3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</row>
    <row r="385" spans="11:111" s="2" customFormat="1" x14ac:dyDescent="0.25">
      <c r="K385" s="3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</row>
    <row r="386" spans="11:111" s="2" customFormat="1" x14ac:dyDescent="0.25">
      <c r="K386" s="3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</row>
    <row r="387" spans="11:111" s="2" customFormat="1" x14ac:dyDescent="0.25">
      <c r="K387" s="3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</row>
    <row r="388" spans="11:111" s="2" customFormat="1" x14ac:dyDescent="0.25">
      <c r="K388" s="3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</row>
    <row r="389" spans="11:111" s="2" customFormat="1" x14ac:dyDescent="0.25"/>
    <row r="390" spans="11:111" s="2" customFormat="1" x14ac:dyDescent="0.25"/>
    <row r="391" spans="11:111" s="2" customFormat="1" x14ac:dyDescent="0.25"/>
    <row r="392" spans="11:111" s="2" customFormat="1" x14ac:dyDescent="0.25"/>
    <row r="393" spans="11:111" s="2" customFormat="1" x14ac:dyDescent="0.25"/>
    <row r="394" spans="11:111" s="2" customFormat="1" x14ac:dyDescent="0.25"/>
    <row r="395" spans="11:111" s="2" customFormat="1" x14ac:dyDescent="0.25"/>
    <row r="396" spans="11:111" s="2" customFormat="1" x14ac:dyDescent="0.25"/>
    <row r="397" spans="11:111" s="2" customFormat="1" x14ac:dyDescent="0.25"/>
    <row r="398" spans="11:111" s="2" customFormat="1" x14ac:dyDescent="0.25"/>
    <row r="399" spans="11:111" s="2" customFormat="1" x14ac:dyDescent="0.25"/>
    <row r="400" spans="11:111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="2" customFormat="1" x14ac:dyDescent="0.25"/>
    <row r="690" s="2" customFormat="1" x14ac:dyDescent="0.25"/>
    <row r="691" s="2" customFormat="1" x14ac:dyDescent="0.25"/>
    <row r="692" s="2" customFormat="1" x14ac:dyDescent="0.25"/>
    <row r="693" s="2" customFormat="1" x14ac:dyDescent="0.25"/>
    <row r="694" s="2" customFormat="1" x14ac:dyDescent="0.25"/>
    <row r="695" s="2" customFormat="1" x14ac:dyDescent="0.25"/>
    <row r="696" s="2" customFormat="1" x14ac:dyDescent="0.25"/>
    <row r="697" s="2" customFormat="1" x14ac:dyDescent="0.25"/>
    <row r="698" s="2" customFormat="1" x14ac:dyDescent="0.25"/>
    <row r="699" s="2" customFormat="1" x14ac:dyDescent="0.25"/>
    <row r="700" s="2" customFormat="1" x14ac:dyDescent="0.25"/>
    <row r="701" s="2" customFormat="1" x14ac:dyDescent="0.25"/>
    <row r="702" s="2" customFormat="1" x14ac:dyDescent="0.25"/>
    <row r="703" s="2" customFormat="1" x14ac:dyDescent="0.25"/>
    <row r="704" s="2" customFormat="1" x14ac:dyDescent="0.25"/>
    <row r="705" s="2" customFormat="1" x14ac:dyDescent="0.25"/>
    <row r="706" s="2" customFormat="1" x14ac:dyDescent="0.25"/>
    <row r="707" s="2" customFormat="1" x14ac:dyDescent="0.25"/>
    <row r="708" s="2" customFormat="1" x14ac:dyDescent="0.25"/>
    <row r="709" s="2" customFormat="1" x14ac:dyDescent="0.25"/>
    <row r="710" s="2" customFormat="1" x14ac:dyDescent="0.25"/>
    <row r="711" s="2" customFormat="1" x14ac:dyDescent="0.25"/>
    <row r="712" s="2" customFormat="1" x14ac:dyDescent="0.25"/>
    <row r="713" s="2" customFormat="1" x14ac:dyDescent="0.25"/>
    <row r="714" s="2" customFormat="1" x14ac:dyDescent="0.25"/>
    <row r="715" s="2" customFormat="1" x14ac:dyDescent="0.25"/>
    <row r="716" s="2" customFormat="1" x14ac:dyDescent="0.25"/>
    <row r="717" s="2" customFormat="1" x14ac:dyDescent="0.25"/>
    <row r="718" s="2" customFormat="1" x14ac:dyDescent="0.25"/>
    <row r="719" s="2" customFormat="1" x14ac:dyDescent="0.25"/>
    <row r="720" s="2" customFormat="1" x14ac:dyDescent="0.25"/>
    <row r="721" s="2" customFormat="1" x14ac:dyDescent="0.25"/>
    <row r="722" s="2" customFormat="1" x14ac:dyDescent="0.25"/>
    <row r="723" s="2" customFormat="1" x14ac:dyDescent="0.25"/>
    <row r="724" s="2" customFormat="1" x14ac:dyDescent="0.25"/>
    <row r="725" s="2" customFormat="1" x14ac:dyDescent="0.25"/>
    <row r="726" s="2" customFormat="1" x14ac:dyDescent="0.25"/>
    <row r="727" s="2" customFormat="1" x14ac:dyDescent="0.25"/>
    <row r="728" s="2" customFormat="1" x14ac:dyDescent="0.25"/>
    <row r="729" s="2" customFormat="1" x14ac:dyDescent="0.25"/>
    <row r="730" s="2" customFormat="1" x14ac:dyDescent="0.25"/>
    <row r="731" s="2" customFormat="1" x14ac:dyDescent="0.25"/>
    <row r="732" s="2" customFormat="1" x14ac:dyDescent="0.25"/>
  </sheetData>
  <mergeCells count="4">
    <mergeCell ref="B11:C11"/>
    <mergeCell ref="F9:G9"/>
    <mergeCell ref="F10:G10"/>
    <mergeCell ref="M10:N10"/>
  </mergeCells>
  <phoneticPr fontId="0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locked="0" defaultSize="0" print="0" autoFill="0" autoPict="0" macro="[0]!SolveCDSCurve">
                <anchor moveWithCells="1" sizeWithCells="1">
                  <from>
                    <xdr:col>7</xdr:col>
                    <xdr:colOff>304800</xdr:colOff>
                    <xdr:row>8</xdr:row>
                    <xdr:rowOff>38100</xdr:rowOff>
                  </from>
                  <to>
                    <xdr:col>8</xdr:col>
                    <xdr:colOff>274320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G1048576"/>
  <sheetViews>
    <sheetView showGridLines="0" workbookViewId="0">
      <pane ySplit="7" topLeftCell="A8" activePane="bottomLeft" state="frozen"/>
      <selection pane="bottomLeft" activeCell="L12" sqref="L12"/>
    </sheetView>
  </sheetViews>
  <sheetFormatPr defaultColWidth="9.109375" defaultRowHeight="13.2" x14ac:dyDescent="0.25"/>
  <cols>
    <col min="1" max="1" width="9.109375" style="2"/>
    <col min="2" max="2" width="14" style="2" customWidth="1"/>
    <col min="3" max="3" width="9.88671875" style="2" customWidth="1"/>
    <col min="4" max="4" width="7.44140625" style="2" customWidth="1"/>
    <col min="5" max="5" width="9.88671875" style="2" customWidth="1"/>
    <col min="6" max="6" width="12" style="2" bestFit="1" customWidth="1"/>
    <col min="7" max="7" width="10" style="2" customWidth="1"/>
    <col min="8" max="10" width="9.88671875" style="2" customWidth="1"/>
    <col min="11" max="11" width="9.109375" style="2"/>
    <col min="12" max="20" width="11.33203125" style="2" bestFit="1" customWidth="1"/>
    <col min="21" max="110" width="12.33203125" style="2" bestFit="1" customWidth="1"/>
    <col min="111" max="111" width="13.44140625" style="2" bestFit="1" customWidth="1"/>
    <col min="112" max="16384" width="9.109375" style="2"/>
  </cols>
  <sheetData>
    <row r="1" spans="1:111" customForma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11" customForma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11" customFormat="1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11" customForma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11" customFormat="1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11" customFormat="1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11" customForma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11" customFormat="1" ht="13.8" thickBo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7"/>
      <c r="L8" s="7"/>
      <c r="M8" s="7"/>
      <c r="N8" s="7"/>
      <c r="O8" s="7"/>
      <c r="P8" s="7"/>
      <c r="Q8" s="7"/>
      <c r="R8" s="7"/>
      <c r="S8" s="7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111" ht="15" thickBot="1" x14ac:dyDescent="0.35">
      <c r="A9" s="8"/>
      <c r="B9" s="115" t="s">
        <v>31</v>
      </c>
      <c r="C9" s="116"/>
      <c r="D9" s="8"/>
      <c r="G9" s="122" t="s">
        <v>35</v>
      </c>
      <c r="H9" s="123"/>
      <c r="I9" s="8"/>
      <c r="J9" s="8"/>
      <c r="K9" s="9"/>
      <c r="L9" s="9"/>
      <c r="M9" s="9"/>
      <c r="N9" s="9"/>
      <c r="O9" s="9"/>
      <c r="P9" s="10"/>
      <c r="Q9" s="10"/>
      <c r="R9" s="10"/>
      <c r="S9" s="10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111" ht="15" thickBot="1" x14ac:dyDescent="0.35">
      <c r="A10" s="8"/>
      <c r="B10" s="34" t="s">
        <v>12</v>
      </c>
      <c r="C10" s="86">
        <v>0.4</v>
      </c>
      <c r="D10" s="22"/>
      <c r="E10" s="76"/>
      <c r="F10" s="78" t="s">
        <v>34</v>
      </c>
      <c r="G10" s="78" t="s">
        <v>37</v>
      </c>
      <c r="H10" s="77" t="s">
        <v>36</v>
      </c>
      <c r="I10" s="22"/>
      <c r="J10" s="22"/>
      <c r="K10" s="11"/>
      <c r="L10" s="23"/>
      <c r="M10" s="23"/>
      <c r="N10" s="23"/>
      <c r="O10" s="23"/>
      <c r="P10" s="23"/>
      <c r="Q10" s="23"/>
      <c r="R10" s="23"/>
      <c r="S10" s="23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</row>
    <row r="11" spans="1:111" ht="14.4" x14ac:dyDescent="0.3">
      <c r="A11" s="8"/>
      <c r="B11" s="34" t="s">
        <v>19</v>
      </c>
      <c r="C11" s="87">
        <v>150</v>
      </c>
      <c r="D11" s="72"/>
      <c r="E11" s="74">
        <v>0</v>
      </c>
      <c r="F11" s="107">
        <f t="shared" ref="F11" si="0">CubicSpline($B$34:$B$38,$C$11:$C$15,E11)</f>
        <v>140.09683084487915</v>
      </c>
      <c r="G11" s="108"/>
      <c r="H11" s="109"/>
      <c r="I11" s="72"/>
      <c r="J11" s="24"/>
      <c r="K11" s="11"/>
      <c r="L11" s="23"/>
      <c r="M11" s="13"/>
      <c r="N11" s="13"/>
      <c r="O11" s="13"/>
      <c r="P11" s="13"/>
      <c r="Q11" s="13"/>
      <c r="R11" s="13"/>
      <c r="S11" s="13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</row>
    <row r="12" spans="1:111" ht="14.4" x14ac:dyDescent="0.3">
      <c r="A12" s="8"/>
      <c r="B12" s="35" t="s">
        <v>21</v>
      </c>
      <c r="C12" s="88">
        <v>175</v>
      </c>
      <c r="D12" s="72"/>
      <c r="E12" s="74">
        <f>E11+0.05</f>
        <v>0.05</v>
      </c>
      <c r="F12" s="107">
        <f>CubicSpline($B$34:$B$38,$C$11:$C$15,E12)</f>
        <v>140.67216645497084</v>
      </c>
      <c r="G12" s="110">
        <f t="shared" ref="G12:G75" si="1">1-EXP(-E12*F12/(1-RecoveryRate)/10000)</f>
        <v>1.171581216008688E-3</v>
      </c>
      <c r="H12" s="111">
        <f t="shared" ref="H12:H75" si="2">1-EXP(-E12*fiveyrspread/(1-RecoveryRate)/10000)</f>
        <v>1.8316538043133823E-3</v>
      </c>
      <c r="I12" s="72"/>
      <c r="J12" s="24"/>
      <c r="K12" s="11"/>
      <c r="L12" s="23"/>
      <c r="M12" s="14"/>
      <c r="N12" s="13"/>
      <c r="O12" s="13"/>
      <c r="P12" s="13"/>
      <c r="Q12" s="13"/>
      <c r="R12" s="13"/>
      <c r="S12" s="13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</row>
    <row r="13" spans="1:111" ht="14.4" x14ac:dyDescent="0.3">
      <c r="A13" s="8"/>
      <c r="B13" s="35" t="s">
        <v>23</v>
      </c>
      <c r="C13" s="88">
        <v>220</v>
      </c>
      <c r="D13" s="72"/>
      <c r="E13" s="74">
        <f>E12+0.05</f>
        <v>0.1</v>
      </c>
      <c r="F13" s="107">
        <f t="shared" ref="F13:F76" si="3">CubicSpline($B$34:$B$38,$C$11:$C$15,E13)</f>
        <v>141.23516711854936</v>
      </c>
      <c r="G13" s="110">
        <f t="shared" si="1"/>
        <v>2.3511511561238319E-3</v>
      </c>
      <c r="H13" s="111">
        <f t="shared" si="2"/>
        <v>3.6599526529679238E-3</v>
      </c>
      <c r="I13" s="72"/>
      <c r="J13" s="24"/>
      <c r="K13" s="11"/>
      <c r="L13" s="23"/>
      <c r="M13" s="14"/>
      <c r="N13" s="13"/>
      <c r="O13" s="13"/>
      <c r="P13" s="13"/>
      <c r="Q13" s="13"/>
      <c r="R13" s="13"/>
      <c r="S13" s="13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</row>
    <row r="14" spans="1:111" ht="14.4" x14ac:dyDescent="0.3">
      <c r="A14" s="8"/>
      <c r="B14" s="35" t="s">
        <v>32</v>
      </c>
      <c r="C14" s="88">
        <v>240</v>
      </c>
      <c r="D14" s="72"/>
      <c r="E14" s="74">
        <f>E13+0.05</f>
        <v>0.15000000000000002</v>
      </c>
      <c r="F14" s="107">
        <f t="shared" si="3"/>
        <v>141.78648204332589</v>
      </c>
      <c r="G14" s="110">
        <f t="shared" si="1"/>
        <v>3.5383871528756883E-3</v>
      </c>
      <c r="H14" s="111">
        <f t="shared" si="2"/>
        <v>5.4849026910809284E-3</v>
      </c>
      <c r="I14" s="72"/>
      <c r="J14" s="24"/>
      <c r="K14" s="11"/>
      <c r="L14" s="23"/>
      <c r="M14" s="14"/>
      <c r="N14" s="13"/>
      <c r="O14" s="13"/>
      <c r="P14" s="13"/>
      <c r="Q14" s="13"/>
      <c r="R14" s="13"/>
      <c r="S14" s="13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</row>
    <row r="15" spans="1:111" ht="15" thickBot="1" x14ac:dyDescent="0.35">
      <c r="A15" s="8"/>
      <c r="B15" s="39" t="s">
        <v>33</v>
      </c>
      <c r="C15" s="89">
        <v>250</v>
      </c>
      <c r="D15" s="72"/>
      <c r="E15" s="74">
        <f>E14+0.05</f>
        <v>0.2</v>
      </c>
      <c r="F15" s="107">
        <f t="shared" si="3"/>
        <v>142.32676043701173</v>
      </c>
      <c r="G15" s="110">
        <f t="shared" si="1"/>
        <v>4.7329892866494472E-3</v>
      </c>
      <c r="H15" s="111">
        <f t="shared" si="2"/>
        <v>7.3065100525139259E-3</v>
      </c>
      <c r="I15" s="72"/>
      <c r="J15" s="24"/>
      <c r="K15" s="11"/>
      <c r="L15" s="23"/>
      <c r="M15" s="14"/>
      <c r="N15" s="13"/>
      <c r="O15" s="13"/>
      <c r="P15" s="13"/>
      <c r="Q15" s="13"/>
      <c r="R15" s="13"/>
      <c r="S15" s="13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</row>
    <row r="16" spans="1:111" x14ac:dyDescent="0.25">
      <c r="A16" s="8"/>
      <c r="B16" s="22"/>
      <c r="C16" s="72"/>
      <c r="D16" s="72"/>
      <c r="E16" s="74">
        <f>E14+0.05</f>
        <v>0.2</v>
      </c>
      <c r="F16" s="107">
        <f t="shared" si="3"/>
        <v>142.32676043701173</v>
      </c>
      <c r="G16" s="110">
        <f t="shared" si="1"/>
        <v>4.7329892866494472E-3</v>
      </c>
      <c r="H16" s="111">
        <f t="shared" si="2"/>
        <v>7.3065100525139259E-3</v>
      </c>
      <c r="I16" s="72"/>
      <c r="J16" s="24"/>
      <c r="K16" s="11"/>
      <c r="L16" s="23"/>
      <c r="M16" s="14"/>
      <c r="N16" s="13"/>
      <c r="O16" s="13"/>
      <c r="P16" s="13"/>
      <c r="Q16" s="13"/>
      <c r="R16" s="13"/>
      <c r="S16" s="13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</row>
    <row r="17" spans="1:111" x14ac:dyDescent="0.25">
      <c r="A17" s="8"/>
      <c r="B17" s="22"/>
      <c r="C17" s="24"/>
      <c r="D17" s="24"/>
      <c r="E17" s="74">
        <f>E15+0.05</f>
        <v>0.25</v>
      </c>
      <c r="F17" s="107">
        <f t="shared" si="3"/>
        <v>142.85665150731802</v>
      </c>
      <c r="G17" s="110">
        <f t="shared" si="1"/>
        <v>5.9346802788688979E-3</v>
      </c>
      <c r="H17" s="111">
        <f t="shared" si="2"/>
        <v>9.1247808598934332E-3</v>
      </c>
      <c r="I17" s="24"/>
      <c r="J17" s="24"/>
      <c r="K17" s="11"/>
      <c r="L17" s="23"/>
      <c r="M17" s="14"/>
      <c r="N17" s="13"/>
      <c r="O17" s="13"/>
      <c r="P17" s="13"/>
      <c r="Q17" s="13"/>
      <c r="R17" s="13"/>
      <c r="S17" s="13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</row>
    <row r="18" spans="1:111" x14ac:dyDescent="0.25">
      <c r="A18" s="8"/>
      <c r="C18" s="24"/>
      <c r="D18" s="24"/>
      <c r="E18" s="74">
        <f>E16+0.05</f>
        <v>0.25</v>
      </c>
      <c r="F18" s="107">
        <f t="shared" si="3"/>
        <v>142.85665150731802</v>
      </c>
      <c r="G18" s="110">
        <f t="shared" si="1"/>
        <v>5.9346802788688979E-3</v>
      </c>
      <c r="H18" s="111">
        <f t="shared" si="2"/>
        <v>9.1247808598934332E-3</v>
      </c>
      <c r="I18" s="24"/>
      <c r="J18" s="8"/>
      <c r="K18" s="11"/>
      <c r="L18" s="23"/>
      <c r="M18" s="14"/>
      <c r="N18" s="13"/>
      <c r="O18" s="13"/>
      <c r="P18" s="13"/>
      <c r="Q18" s="13"/>
      <c r="R18" s="13"/>
      <c r="S18" s="13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</row>
    <row r="19" spans="1:111" x14ac:dyDescent="0.25">
      <c r="A19" s="8"/>
      <c r="C19" s="24"/>
      <c r="D19" s="24"/>
      <c r="E19" s="74">
        <f t="shared" ref="E19:E81" si="4">E18+0.05</f>
        <v>0.3</v>
      </c>
      <c r="F19" s="107">
        <f t="shared" si="3"/>
        <v>143.37680446195603</v>
      </c>
      <c r="G19" s="110">
        <f t="shared" si="1"/>
        <v>7.1432053819635577E-3</v>
      </c>
      <c r="H19" s="111">
        <f t="shared" si="2"/>
        <v>1.0939721224631271E-2</v>
      </c>
      <c r="I19" s="24"/>
      <c r="J19" s="22"/>
      <c r="K19" s="11"/>
      <c r="L19" s="23"/>
      <c r="M19" s="14"/>
      <c r="N19" s="13"/>
      <c r="O19" s="13"/>
      <c r="P19" s="13"/>
      <c r="Q19" s="13"/>
      <c r="R19" s="13"/>
      <c r="S19" s="13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</row>
    <row r="20" spans="1:111" x14ac:dyDescent="0.25">
      <c r="A20" s="8"/>
      <c r="C20" s="24"/>
      <c r="D20" s="24"/>
      <c r="E20" s="74">
        <f t="shared" si="4"/>
        <v>0.35</v>
      </c>
      <c r="F20" s="107">
        <f t="shared" si="3"/>
        <v>143.88786850863696</v>
      </c>
      <c r="G20" s="110">
        <f t="shared" si="1"/>
        <v>8.3583322663343118E-3</v>
      </c>
      <c r="H20" s="111">
        <f t="shared" si="2"/>
        <v>1.2751337246945438E-2</v>
      </c>
      <c r="I20" s="24"/>
      <c r="J20" s="24"/>
      <c r="K20" s="11"/>
      <c r="L20" s="23"/>
      <c r="M20" s="14"/>
      <c r="N20" s="13"/>
      <c r="O20" s="13"/>
      <c r="P20" s="13"/>
      <c r="Q20" s="13"/>
      <c r="R20" s="13"/>
      <c r="S20" s="13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</row>
    <row r="21" spans="1:111" x14ac:dyDescent="0.25">
      <c r="A21" s="8"/>
      <c r="E21" s="74">
        <f t="shared" si="4"/>
        <v>0.39999999999999997</v>
      </c>
      <c r="F21" s="107">
        <f t="shared" si="3"/>
        <v>144.39049285507201</v>
      </c>
      <c r="G21" s="110">
        <f t="shared" si="1"/>
        <v>9.5798509045116331E-3</v>
      </c>
      <c r="H21" s="111">
        <f t="shared" si="2"/>
        <v>1.4559635015880423E-2</v>
      </c>
      <c r="J21" s="24"/>
      <c r="K21" s="11"/>
      <c r="L21" s="15"/>
      <c r="M21" s="16"/>
      <c r="N21" s="16"/>
      <c r="O21" s="16"/>
      <c r="P21" s="16"/>
      <c r="Q21" s="16"/>
      <c r="R21" s="16"/>
      <c r="S21" s="16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</row>
    <row r="22" spans="1:111" x14ac:dyDescent="0.25">
      <c r="A22" s="8"/>
      <c r="E22" s="74">
        <f t="shared" si="4"/>
        <v>0.44999999999999996</v>
      </c>
      <c r="F22" s="107">
        <f t="shared" si="3"/>
        <v>144.88532670897246</v>
      </c>
      <c r="G22" s="110">
        <f t="shared" si="1"/>
        <v>1.0807573452687569E-2</v>
      </c>
      <c r="H22" s="111">
        <f t="shared" si="2"/>
        <v>1.636462060932764E-2</v>
      </c>
      <c r="J22" s="24"/>
      <c r="K22" s="11"/>
      <c r="L22" s="15"/>
      <c r="M22" s="16"/>
      <c r="N22" s="16"/>
      <c r="O22" s="16"/>
      <c r="P22" s="16"/>
      <c r="Q22" s="16"/>
      <c r="R22" s="16"/>
      <c r="S22" s="16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</row>
    <row r="23" spans="1:111" x14ac:dyDescent="0.25">
      <c r="A23" s="8"/>
      <c r="E23" s="74">
        <f t="shared" si="4"/>
        <v>0.49999999999999994</v>
      </c>
      <c r="F23" s="107">
        <f t="shared" si="3"/>
        <v>145.37301927804947</v>
      </c>
      <c r="G23" s="110">
        <f t="shared" si="1"/>
        <v>1.2041334129779924E-2</v>
      </c>
      <c r="H23" s="111">
        <f t="shared" si="2"/>
        <v>1.8166300094045851E-2</v>
      </c>
      <c r="J23" s="24"/>
      <c r="K23" s="11"/>
      <c r="L23" s="15"/>
      <c r="M23" s="16"/>
      <c r="N23" s="16"/>
      <c r="O23" s="16"/>
      <c r="P23" s="16"/>
      <c r="Q23" s="16"/>
      <c r="R23" s="16"/>
      <c r="S23" s="16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</row>
    <row r="24" spans="1:111" x14ac:dyDescent="0.25">
      <c r="A24" s="8"/>
      <c r="B24" s="22"/>
      <c r="C24" s="24"/>
      <c r="D24" s="24"/>
      <c r="E24" s="74">
        <f t="shared" si="4"/>
        <v>0.54999999999999993</v>
      </c>
      <c r="F24" s="107">
        <f t="shared" si="3"/>
        <v>145.85421977001428</v>
      </c>
      <c r="G24" s="110">
        <f t="shared" si="1"/>
        <v>1.3280989094174522E-2</v>
      </c>
      <c r="H24" s="111">
        <f t="shared" si="2"/>
        <v>1.9964679525681706E-2</v>
      </c>
      <c r="I24" s="24"/>
      <c r="J24" s="24"/>
      <c r="K24" s="11"/>
      <c r="L24" s="16"/>
      <c r="M24" s="16"/>
      <c r="N24" s="16"/>
      <c r="O24" s="16"/>
      <c r="P24" s="16"/>
      <c r="Q24" s="16"/>
      <c r="R24" s="16"/>
      <c r="S24" s="16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</row>
    <row r="25" spans="1:111" x14ac:dyDescent="0.25">
      <c r="A25" s="8"/>
      <c r="B25" s="22"/>
      <c r="C25" s="24"/>
      <c r="D25" s="24"/>
      <c r="E25" s="74">
        <f t="shared" si="4"/>
        <v>0.6</v>
      </c>
      <c r="F25" s="107">
        <f t="shared" si="3"/>
        <v>146.32957739257813</v>
      </c>
      <c r="G25" s="110">
        <f t="shared" si="1"/>
        <v>1.4526416318271229E-2</v>
      </c>
      <c r="H25" s="111">
        <f t="shared" si="2"/>
        <v>2.175976494878995E-2</v>
      </c>
      <c r="I25" s="24"/>
      <c r="J25" s="24"/>
      <c r="K25" s="11"/>
      <c r="L25" s="16"/>
      <c r="M25" s="16"/>
      <c r="N25" s="16"/>
      <c r="O25" s="16"/>
      <c r="P25" s="16"/>
      <c r="Q25" s="16"/>
      <c r="R25" s="16"/>
      <c r="S25" s="16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</row>
    <row r="26" spans="1:111" x14ac:dyDescent="0.25">
      <c r="A26" s="8"/>
      <c r="B26" s="22"/>
      <c r="C26" s="24"/>
      <c r="D26" s="24"/>
      <c r="E26" s="74">
        <f t="shared" si="4"/>
        <v>0.65</v>
      </c>
      <c r="F26" s="107">
        <f t="shared" si="3"/>
        <v>146.79974135345222</v>
      </c>
      <c r="G26" s="110">
        <f t="shared" si="1"/>
        <v>1.5777515460944191E-2</v>
      </c>
      <c r="H26" s="111">
        <f t="shared" si="2"/>
        <v>2.3551562396853964E-2</v>
      </c>
      <c r="I26" s="24"/>
      <c r="J26" s="24"/>
      <c r="K26" s="11"/>
      <c r="L26" s="16"/>
      <c r="M26" s="16"/>
      <c r="N26" s="16"/>
      <c r="O26" s="16"/>
      <c r="P26" s="16"/>
      <c r="Q26" s="16"/>
      <c r="R26" s="16"/>
      <c r="S26" s="16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</row>
    <row r="27" spans="1:111" x14ac:dyDescent="0.25">
      <c r="A27" s="8"/>
      <c r="B27" s="17"/>
      <c r="C27" s="18"/>
      <c r="D27" s="18"/>
      <c r="E27" s="74">
        <f t="shared" si="4"/>
        <v>0.70000000000000007</v>
      </c>
      <c r="F27" s="107">
        <f t="shared" si="3"/>
        <v>147.26536086034776</v>
      </c>
      <c r="G27" s="110">
        <f t="shared" si="1"/>
        <v>1.70342077380079E-2</v>
      </c>
      <c r="H27" s="111">
        <f t="shared" si="2"/>
        <v>2.5340077892305635E-2</v>
      </c>
      <c r="I27" s="19"/>
      <c r="J27" s="8"/>
      <c r="K27" s="11"/>
      <c r="L27" s="16"/>
      <c r="M27" s="16"/>
      <c r="N27" s="16"/>
      <c r="O27" s="16"/>
      <c r="P27" s="16"/>
      <c r="Q27" s="16"/>
      <c r="R27" s="16"/>
      <c r="S27" s="16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</row>
    <row r="28" spans="1:111" x14ac:dyDescent="0.25">
      <c r="A28" s="8"/>
      <c r="B28" s="22"/>
      <c r="C28" s="22"/>
      <c r="D28" s="22"/>
      <c r="E28" s="74">
        <f t="shared" si="4"/>
        <v>0.75000000000000011</v>
      </c>
      <c r="F28" s="107">
        <f t="shared" si="3"/>
        <v>147.72708512097597</v>
      </c>
      <c r="G28" s="110">
        <f t="shared" si="1"/>
        <v>1.8296435790767229E-2</v>
      </c>
      <c r="H28" s="111">
        <f t="shared" si="2"/>
        <v>2.7125317446546005E-2</v>
      </c>
      <c r="I28" s="22"/>
      <c r="J28" s="22"/>
      <c r="K28" s="11"/>
      <c r="L28" s="16"/>
      <c r="M28" s="16"/>
      <c r="N28" s="16"/>
      <c r="O28" s="16"/>
      <c r="P28" s="16"/>
      <c r="Q28" s="16"/>
      <c r="R28" s="16"/>
      <c r="S28" s="16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</row>
    <row r="29" spans="1:111" x14ac:dyDescent="0.25">
      <c r="A29" s="8"/>
      <c r="B29" s="22"/>
      <c r="C29" s="24"/>
      <c r="D29" s="24"/>
      <c r="E29" s="74">
        <f t="shared" si="4"/>
        <v>0.80000000000000016</v>
      </c>
      <c r="F29" s="107">
        <f t="shared" si="3"/>
        <v>148.1855633430481</v>
      </c>
      <c r="G29" s="110">
        <f t="shared" si="1"/>
        <v>1.9564163552709291E-2</v>
      </c>
      <c r="H29" s="111">
        <f t="shared" si="2"/>
        <v>2.8907287059965259E-2</v>
      </c>
      <c r="I29" s="24"/>
      <c r="J29" s="24"/>
      <c r="K29" s="11"/>
      <c r="L29" s="16"/>
      <c r="M29" s="16"/>
      <c r="N29" s="16"/>
      <c r="O29" s="16"/>
      <c r="P29" s="16"/>
      <c r="Q29" s="16"/>
      <c r="R29" s="16"/>
      <c r="S29" s="16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</row>
    <row r="30" spans="1:111" x14ac:dyDescent="0.25">
      <c r="A30" s="8"/>
      <c r="B30" s="22"/>
      <c r="C30" s="24"/>
      <c r="D30" s="24"/>
      <c r="E30" s="74">
        <f t="shared" si="4"/>
        <v>0.8500000000000002</v>
      </c>
      <c r="F30" s="107">
        <f t="shared" si="3"/>
        <v>148.64144473427538</v>
      </c>
      <c r="G30" s="110">
        <f t="shared" si="1"/>
        <v>2.0837376114381745E-2</v>
      </c>
      <c r="H30" s="111">
        <f t="shared" si="2"/>
        <v>3.0685992721962929E-2</v>
      </c>
      <c r="I30" s="24"/>
      <c r="J30" s="24"/>
      <c r="K30" s="11"/>
      <c r="L30" s="16"/>
      <c r="M30" s="16"/>
      <c r="N30" s="16"/>
      <c r="O30" s="16"/>
      <c r="P30" s="16"/>
      <c r="Q30" s="16"/>
      <c r="R30" s="16"/>
      <c r="S30" s="16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</row>
    <row r="31" spans="1:111" x14ac:dyDescent="0.25">
      <c r="A31" s="8"/>
      <c r="B31" s="22"/>
      <c r="C31" s="24"/>
      <c r="D31" s="24"/>
      <c r="E31" s="74">
        <f t="shared" si="4"/>
        <v>0.90000000000000024</v>
      </c>
      <c r="F31" s="107">
        <f t="shared" si="3"/>
        <v>149.09537850236896</v>
      </c>
      <c r="G31" s="110">
        <f t="shared" si="1"/>
        <v>2.2116079586485204E-2</v>
      </c>
      <c r="H31" s="111">
        <f t="shared" si="2"/>
        <v>3.246144041096799E-2</v>
      </c>
      <c r="I31" s="24"/>
      <c r="J31" s="24"/>
      <c r="K31" s="11"/>
      <c r="L31" s="16"/>
      <c r="M31" s="16"/>
      <c r="N31" s="16"/>
      <c r="O31" s="16"/>
      <c r="P31" s="16"/>
      <c r="Q31" s="16"/>
      <c r="R31" s="16"/>
      <c r="S31" s="16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</row>
    <row r="32" spans="1:111" x14ac:dyDescent="0.25">
      <c r="A32" s="8"/>
      <c r="B32" s="22"/>
      <c r="C32" s="24"/>
      <c r="D32" s="24"/>
      <c r="E32" s="74">
        <f t="shared" si="4"/>
        <v>0.95000000000000029</v>
      </c>
      <c r="F32" s="107">
        <f t="shared" si="3"/>
        <v>149.5480138550401</v>
      </c>
      <c r="G32" s="110">
        <f t="shared" si="1"/>
        <v>2.3400300961188614E-2</v>
      </c>
      <c r="H32" s="111">
        <f t="shared" si="2"/>
        <v>3.4233636094459174E-2</v>
      </c>
      <c r="I32" s="24"/>
      <c r="J32" s="24"/>
      <c r="K32" s="11"/>
      <c r="L32" s="16"/>
      <c r="M32" s="16"/>
      <c r="N32" s="16"/>
      <c r="O32" s="16"/>
      <c r="P32" s="16"/>
      <c r="Q32" s="16"/>
      <c r="R32" s="16"/>
      <c r="S32" s="16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</row>
    <row r="33" spans="1:111" x14ac:dyDescent="0.25">
      <c r="A33" s="8"/>
      <c r="B33" s="22">
        <v>0</v>
      </c>
      <c r="C33" s="79">
        <f t="shared" ref="C33:C38" si="5">fiveyrspread</f>
        <v>220</v>
      </c>
      <c r="D33" s="24"/>
      <c r="E33" s="74">
        <f t="shared" si="4"/>
        <v>1.0000000000000002</v>
      </c>
      <c r="F33" s="107">
        <f t="shared" si="3"/>
        <v>150.00000000000003</v>
      </c>
      <c r="G33" s="110">
        <f t="shared" si="1"/>
        <v>2.4690087971667385E-2</v>
      </c>
      <c r="H33" s="111">
        <f t="shared" si="2"/>
        <v>3.6002585728984737E-2</v>
      </c>
      <c r="I33" s="24"/>
      <c r="J33" s="24"/>
      <c r="K33" s="11"/>
      <c r="L33" s="16"/>
      <c r="M33" s="16"/>
      <c r="N33" s="16"/>
      <c r="O33" s="16"/>
      <c r="P33" s="16"/>
      <c r="Q33" s="16"/>
      <c r="R33" s="16"/>
      <c r="S33" s="16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</row>
    <row r="34" spans="1:111" x14ac:dyDescent="0.25">
      <c r="A34" s="8"/>
      <c r="B34" s="22">
        <f>LEFT(B11,LEN(B11)-1)*1</f>
        <v>1</v>
      </c>
      <c r="C34" s="79">
        <f t="shared" si="5"/>
        <v>220</v>
      </c>
      <c r="D34" s="24"/>
      <c r="E34" s="74">
        <f t="shared" si="4"/>
        <v>1.0500000000000003</v>
      </c>
      <c r="F34" s="107">
        <f t="shared" si="3"/>
        <v>150.45198614495996</v>
      </c>
      <c r="G34" s="110">
        <f t="shared" si="1"/>
        <v>2.5985508949839198E-2</v>
      </c>
      <c r="H34" s="111">
        <f t="shared" si="2"/>
        <v>3.7768295260182438E-2</v>
      </c>
      <c r="I34" s="24"/>
      <c r="J34" s="24"/>
      <c r="K34" s="11"/>
      <c r="L34" s="16"/>
      <c r="M34" s="16"/>
      <c r="N34" s="16"/>
      <c r="O34" s="16"/>
      <c r="P34" s="16"/>
      <c r="Q34" s="16"/>
      <c r="R34" s="16"/>
      <c r="S34" s="16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</row>
    <row r="35" spans="1:111" x14ac:dyDescent="0.25">
      <c r="A35" s="8"/>
      <c r="B35" s="22">
        <f>LEFT(B12,LEN(B12)-1)*1</f>
        <v>3</v>
      </c>
      <c r="C35" s="79">
        <f t="shared" si="5"/>
        <v>220</v>
      </c>
      <c r="D35" s="24"/>
      <c r="E35" s="74">
        <f t="shared" si="4"/>
        <v>1.1000000000000003</v>
      </c>
      <c r="F35" s="107">
        <f t="shared" si="3"/>
        <v>150.9046214976311</v>
      </c>
      <c r="G35" s="110">
        <f t="shared" si="1"/>
        <v>2.7286652682267154E-2</v>
      </c>
      <c r="H35" s="111">
        <f t="shared" si="2"/>
        <v>3.9530770622800193E-2</v>
      </c>
      <c r="I35" s="24"/>
      <c r="J35" s="24"/>
      <c r="K35" s="11"/>
      <c r="L35" s="16"/>
      <c r="M35" s="16"/>
      <c r="N35" s="16"/>
      <c r="O35" s="16"/>
      <c r="P35" s="16"/>
      <c r="Q35" s="16"/>
      <c r="R35" s="16"/>
      <c r="S35" s="16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</row>
    <row r="36" spans="1:111" x14ac:dyDescent="0.25">
      <c r="A36" s="8"/>
      <c r="B36" s="22">
        <f>LEFT(B13,LEN(B13)-1)*1</f>
        <v>5</v>
      </c>
      <c r="C36" s="79">
        <f t="shared" si="5"/>
        <v>220</v>
      </c>
      <c r="D36" s="18"/>
      <c r="E36" s="74">
        <f t="shared" si="4"/>
        <v>1.1500000000000004</v>
      </c>
      <c r="F36" s="107">
        <f t="shared" si="3"/>
        <v>151.35855526572468</v>
      </c>
      <c r="G36" s="110">
        <f t="shared" si="1"/>
        <v>2.859362826417533E-2</v>
      </c>
      <c r="H36" s="111">
        <f t="shared" si="2"/>
        <v>4.1290017740714835E-2</v>
      </c>
      <c r="I36" s="19"/>
      <c r="J36" s="8"/>
      <c r="K36" s="11"/>
      <c r="L36" s="16"/>
      <c r="M36" s="16"/>
      <c r="N36" s="16"/>
      <c r="O36" s="16"/>
      <c r="P36" s="16"/>
      <c r="Q36" s="16"/>
      <c r="R36" s="16"/>
      <c r="S36" s="16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</row>
    <row r="37" spans="1:111" x14ac:dyDescent="0.25">
      <c r="A37" s="8"/>
      <c r="B37" s="22">
        <f>LEFT(B14,LEN(B14)-1)*1</f>
        <v>7</v>
      </c>
      <c r="C37" s="79">
        <f t="shared" si="5"/>
        <v>220</v>
      </c>
      <c r="D37" s="22"/>
      <c r="E37" s="74">
        <f t="shared" si="4"/>
        <v>1.2000000000000004</v>
      </c>
      <c r="F37" s="107">
        <f t="shared" si="3"/>
        <v>151.81443665695193</v>
      </c>
      <c r="G37" s="110">
        <f t="shared" si="1"/>
        <v>2.9906564951514558E-2</v>
      </c>
      <c r="H37" s="111">
        <f t="shared" si="2"/>
        <v>4.3046042526953321E-2</v>
      </c>
      <c r="I37" s="22"/>
      <c r="J37" s="22"/>
      <c r="K37" s="11"/>
      <c r="L37" s="16"/>
      <c r="M37" s="16"/>
      <c r="N37" s="16"/>
      <c r="O37" s="16"/>
      <c r="P37" s="16"/>
      <c r="Q37" s="16"/>
      <c r="R37" s="16"/>
      <c r="S37" s="16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</row>
    <row r="38" spans="1:111" x14ac:dyDescent="0.25">
      <c r="A38" s="8"/>
      <c r="B38" s="22">
        <f>LEFT(B15,LEN(B15)-1)*1</f>
        <v>10</v>
      </c>
      <c r="C38" s="79">
        <f t="shared" si="5"/>
        <v>220</v>
      </c>
      <c r="D38" s="24"/>
      <c r="E38" s="74">
        <f t="shared" si="4"/>
        <v>1.2500000000000004</v>
      </c>
      <c r="F38" s="107">
        <f t="shared" si="3"/>
        <v>152.27291487902406</v>
      </c>
      <c r="G38" s="110">
        <f t="shared" si="1"/>
        <v>3.1225612010995052E-2</v>
      </c>
      <c r="H38" s="111">
        <f t="shared" si="2"/>
        <v>4.4798850883711605E-2</v>
      </c>
      <c r="I38" s="24"/>
      <c r="J38" s="24"/>
      <c r="K38" s="11"/>
      <c r="L38" s="16"/>
      <c r="M38" s="16"/>
      <c r="N38" s="16"/>
      <c r="O38" s="16"/>
      <c r="P38" s="16"/>
      <c r="Q38" s="16"/>
      <c r="R38" s="16"/>
      <c r="S38" s="16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</row>
    <row r="39" spans="1:111" x14ac:dyDescent="0.25">
      <c r="A39" s="8"/>
      <c r="B39" s="22"/>
      <c r="C39" s="24"/>
      <c r="D39" s="24"/>
      <c r="E39" s="74">
        <f t="shared" si="4"/>
        <v>1.3000000000000005</v>
      </c>
      <c r="F39" s="107">
        <f t="shared" si="3"/>
        <v>152.7346391396523</v>
      </c>
      <c r="G39" s="110">
        <f t="shared" si="1"/>
        <v>3.2550938567994181E-2</v>
      </c>
      <c r="H39" s="111">
        <f t="shared" si="2"/>
        <v>4.6548448702374956E-2</v>
      </c>
      <c r="I39" s="24"/>
      <c r="J39" s="24"/>
      <c r="K39" s="11"/>
      <c r="L39" s="16"/>
      <c r="M39" s="16"/>
      <c r="N39" s="16"/>
      <c r="O39" s="16"/>
      <c r="P39" s="16"/>
      <c r="Q39" s="16"/>
      <c r="R39" s="16"/>
      <c r="S39" s="16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</row>
    <row r="40" spans="1:111" x14ac:dyDescent="0.25">
      <c r="A40" s="8"/>
      <c r="B40" s="22"/>
      <c r="C40" s="24"/>
      <c r="D40" s="24"/>
      <c r="E40" s="74">
        <f t="shared" si="4"/>
        <v>1.3500000000000005</v>
      </c>
      <c r="F40" s="107">
        <f t="shared" si="3"/>
        <v>153.20025864654784</v>
      </c>
      <c r="G40" s="110">
        <f t="shared" si="1"/>
        <v>3.3882733452226921E-2</v>
      </c>
      <c r="H40" s="111">
        <f t="shared" si="2"/>
        <v>4.829484186353783E-2</v>
      </c>
      <c r="I40" s="24"/>
      <c r="J40" s="24"/>
      <c r="K40" s="11"/>
      <c r="L40" s="16"/>
      <c r="M40" s="16"/>
      <c r="N40" s="16"/>
      <c r="O40" s="16"/>
      <c r="P40" s="16"/>
      <c r="Q40" s="16"/>
      <c r="R40" s="16"/>
      <c r="S40" s="16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</row>
    <row r="41" spans="1:111" x14ac:dyDescent="0.25">
      <c r="A41" s="8"/>
      <c r="B41" s="22"/>
      <c r="C41" s="24"/>
      <c r="D41" s="24"/>
      <c r="E41" s="74">
        <f t="shared" si="4"/>
        <v>1.4000000000000006</v>
      </c>
      <c r="F41" s="107">
        <f t="shared" si="3"/>
        <v>153.67042260742193</v>
      </c>
      <c r="G41" s="110">
        <f t="shared" si="1"/>
        <v>3.5221205041058301E-2</v>
      </c>
      <c r="H41" s="111">
        <f t="shared" si="2"/>
        <v>5.0038036237023187E-2</v>
      </c>
      <c r="I41" s="24"/>
      <c r="J41" s="24"/>
      <c r="K41" s="11"/>
      <c r="L41" s="16"/>
      <c r="M41" s="16"/>
      <c r="N41" s="16"/>
      <c r="O41" s="16"/>
      <c r="P41" s="16"/>
      <c r="Q41" s="16"/>
      <c r="R41" s="16"/>
      <c r="S41" s="16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</row>
    <row r="42" spans="1:111" x14ac:dyDescent="0.25">
      <c r="A42" s="8"/>
      <c r="B42" s="22"/>
      <c r="C42" s="24"/>
      <c r="D42" s="24"/>
      <c r="E42" s="74">
        <f t="shared" si="4"/>
        <v>1.4500000000000006</v>
      </c>
      <c r="F42" s="107">
        <f t="shared" si="3"/>
        <v>154.14578022998577</v>
      </c>
      <c r="G42" s="110">
        <f t="shared" si="1"/>
        <v>3.6566581100318296E-2</v>
      </c>
      <c r="H42" s="111">
        <f t="shared" si="2"/>
        <v>5.17780376819027E-2</v>
      </c>
      <c r="I42" s="24"/>
      <c r="J42" s="24"/>
      <c r="K42" s="11"/>
      <c r="L42" s="16"/>
      <c r="M42" s="16"/>
      <c r="N42" s="16"/>
      <c r="O42" s="16"/>
      <c r="P42" s="16"/>
      <c r="Q42" s="16"/>
      <c r="R42" s="16"/>
      <c r="S42" s="16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</row>
    <row r="43" spans="1:111" x14ac:dyDescent="0.25">
      <c r="A43" s="8"/>
      <c r="B43" s="22"/>
      <c r="C43" s="24"/>
      <c r="D43" s="24"/>
      <c r="E43" s="74">
        <f t="shared" si="4"/>
        <v>1.5000000000000007</v>
      </c>
      <c r="F43" s="107">
        <f t="shared" si="3"/>
        <v>154.62698072195059</v>
      </c>
      <c r="G43" s="110">
        <f t="shared" si="1"/>
        <v>3.7919108622470277E-2</v>
      </c>
      <c r="H43" s="111">
        <f t="shared" si="2"/>
        <v>5.3514852046516181E-2</v>
      </c>
      <c r="I43" s="24"/>
      <c r="J43" s="24"/>
      <c r="K43" s="11"/>
      <c r="L43" s="16"/>
      <c r="M43" s="16"/>
      <c r="N43" s="16"/>
      <c r="O43" s="16"/>
      <c r="P43" s="16"/>
      <c r="Q43" s="16"/>
      <c r="R43" s="16"/>
      <c r="S43" s="16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</row>
    <row r="44" spans="1:111" x14ac:dyDescent="0.25">
      <c r="A44" s="8"/>
      <c r="B44" s="22"/>
      <c r="C44" s="24"/>
      <c r="D44" s="24"/>
      <c r="E44" s="74">
        <f t="shared" si="4"/>
        <v>1.5500000000000007</v>
      </c>
      <c r="F44" s="107">
        <f t="shared" si="3"/>
        <v>155.1146732910276</v>
      </c>
      <c r="G44" s="110">
        <f t="shared" si="1"/>
        <v>3.9279053661966712E-2</v>
      </c>
      <c r="H44" s="111">
        <f t="shared" si="2"/>
        <v>5.5248485168491346E-2</v>
      </c>
      <c r="I44" s="24"/>
      <c r="J44" s="24"/>
      <c r="K44" s="11"/>
      <c r="L44" s="16"/>
      <c r="M44" s="16"/>
      <c r="N44" s="16"/>
      <c r="O44" s="16"/>
      <c r="P44" s="16"/>
      <c r="Q44" s="16"/>
      <c r="R44" s="16"/>
      <c r="S44" s="16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</row>
    <row r="45" spans="1:111" x14ac:dyDescent="0.25">
      <c r="A45" s="8"/>
      <c r="B45" s="17"/>
      <c r="C45" s="18"/>
      <c r="D45" s="18"/>
      <c r="E45" s="74">
        <f t="shared" si="4"/>
        <v>1.6000000000000008</v>
      </c>
      <c r="F45" s="107">
        <f t="shared" si="3"/>
        <v>155.60950714492805</v>
      </c>
      <c r="G45" s="110">
        <f t="shared" si="1"/>
        <v>4.0646701167616039E-2</v>
      </c>
      <c r="H45" s="111">
        <f t="shared" si="2"/>
        <v>5.697894287476335E-2</v>
      </c>
      <c r="I45" s="19"/>
      <c r="J45" s="8"/>
      <c r="K45" s="11"/>
      <c r="L45" s="16"/>
      <c r="M45" s="16"/>
      <c r="N45" s="16"/>
      <c r="O45" s="16"/>
      <c r="P45" s="16"/>
      <c r="Q45" s="16"/>
      <c r="R45" s="16"/>
      <c r="S45" s="16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</row>
    <row r="46" spans="1:111" x14ac:dyDescent="0.25">
      <c r="A46" s="8"/>
      <c r="B46" s="22"/>
      <c r="C46" s="22"/>
      <c r="D46" s="22"/>
      <c r="E46" s="74">
        <f t="shared" si="4"/>
        <v>1.6500000000000008</v>
      </c>
      <c r="F46" s="107">
        <f t="shared" si="3"/>
        <v>156.1121314913631</v>
      </c>
      <c r="G46" s="110">
        <f t="shared" si="1"/>
        <v>4.2022354811769302E-2</v>
      </c>
      <c r="H46" s="111">
        <f t="shared" si="2"/>
        <v>5.8706230981594443E-2</v>
      </c>
      <c r="I46" s="22"/>
      <c r="J46" s="22"/>
      <c r="K46" s="11"/>
      <c r="L46" s="16"/>
      <c r="M46" s="16"/>
      <c r="N46" s="16"/>
      <c r="O46" s="16"/>
      <c r="P46" s="16"/>
      <c r="Q46" s="16"/>
      <c r="R46" s="16"/>
      <c r="S46" s="16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</row>
    <row r="47" spans="1:111" x14ac:dyDescent="0.25">
      <c r="A47" s="8"/>
      <c r="B47" s="22"/>
      <c r="C47" s="24"/>
      <c r="D47" s="24"/>
      <c r="E47" s="74">
        <f t="shared" si="4"/>
        <v>1.7000000000000008</v>
      </c>
      <c r="F47" s="107">
        <f t="shared" si="3"/>
        <v>156.62319553804403</v>
      </c>
      <c r="G47" s="110">
        <f t="shared" si="1"/>
        <v>4.3406336816123714E-2</v>
      </c>
      <c r="H47" s="111">
        <f t="shared" si="2"/>
        <v>6.0430355294593507E-2</v>
      </c>
      <c r="I47" s="24"/>
      <c r="J47" s="24"/>
      <c r="K47" s="11"/>
      <c r="L47" s="16"/>
      <c r="M47" s="16"/>
      <c r="N47" s="16"/>
      <c r="O47" s="16"/>
      <c r="P47" s="16"/>
      <c r="Q47" s="16"/>
      <c r="R47" s="16"/>
      <c r="S47" s="16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</row>
    <row r="48" spans="1:111" x14ac:dyDescent="0.25">
      <c r="A48" s="8"/>
      <c r="B48" s="22"/>
      <c r="C48" s="24"/>
      <c r="D48" s="24"/>
      <c r="E48" s="74">
        <f t="shared" si="4"/>
        <v>1.7500000000000009</v>
      </c>
      <c r="F48" s="107">
        <f t="shared" si="3"/>
        <v>157.14334849268204</v>
      </c>
      <c r="G48" s="110">
        <f t="shared" si="1"/>
        <v>4.4798987773927768E-2</v>
      </c>
      <c r="H48" s="111">
        <f t="shared" si="2"/>
        <v>6.2151321608735488E-2</v>
      </c>
      <c r="I48" s="24"/>
      <c r="J48" s="24"/>
      <c r="K48" s="11"/>
      <c r="L48" s="16"/>
      <c r="M48" s="16"/>
      <c r="N48" s="16"/>
      <c r="O48" s="16"/>
      <c r="P48" s="16"/>
      <c r="Q48" s="16"/>
      <c r="R48" s="16"/>
      <c r="S48" s="16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</row>
    <row r="49" spans="1:111" x14ac:dyDescent="0.25">
      <c r="A49" s="8"/>
      <c r="B49" s="22"/>
      <c r="C49" s="24"/>
      <c r="D49" s="24"/>
      <c r="E49" s="74">
        <f t="shared" si="4"/>
        <v>1.8000000000000009</v>
      </c>
      <c r="F49" s="107">
        <f t="shared" si="3"/>
        <v>157.67323956298836</v>
      </c>
      <c r="G49" s="110">
        <f t="shared" si="1"/>
        <v>4.6200666468359741E-2</v>
      </c>
      <c r="H49" s="111">
        <f t="shared" si="2"/>
        <v>6.3869135708381153E-2</v>
      </c>
      <c r="I49" s="24"/>
      <c r="J49" s="24"/>
      <c r="K49" s="11"/>
      <c r="L49" s="16"/>
      <c r="M49" s="16"/>
      <c r="N49" s="16"/>
      <c r="O49" s="16"/>
      <c r="P49" s="16"/>
      <c r="Q49" s="16"/>
      <c r="R49" s="16"/>
      <c r="S49" s="16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</row>
    <row r="50" spans="1:111" x14ac:dyDescent="0.25">
      <c r="A50" s="8"/>
      <c r="B50" s="22"/>
      <c r="C50" s="24"/>
      <c r="D50" s="24"/>
      <c r="E50" s="74">
        <f t="shared" si="4"/>
        <v>1.850000000000001</v>
      </c>
      <c r="F50" s="107">
        <f t="shared" si="3"/>
        <v>158.2135179566742</v>
      </c>
      <c r="G50" s="110">
        <f t="shared" si="1"/>
        <v>4.7611749686841232E-2</v>
      </c>
      <c r="H50" s="111">
        <f t="shared" si="2"/>
        <v>6.558380336729619E-2</v>
      </c>
      <c r="I50" s="24"/>
      <c r="J50" s="24"/>
      <c r="K50" s="11"/>
      <c r="L50" s="16"/>
      <c r="M50" s="16"/>
      <c r="N50" s="16"/>
      <c r="O50" s="16"/>
      <c r="P50" s="16"/>
      <c r="Q50" s="16"/>
      <c r="R50" s="16"/>
      <c r="S50" s="16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</row>
    <row r="51" spans="1:111" x14ac:dyDescent="0.25">
      <c r="A51" s="8"/>
      <c r="B51" s="22"/>
      <c r="C51" s="24"/>
      <c r="D51" s="24"/>
      <c r="E51" s="74">
        <f t="shared" si="4"/>
        <v>1.900000000000001</v>
      </c>
      <c r="F51" s="107">
        <f t="shared" si="3"/>
        <v>158.76483288145073</v>
      </c>
      <c r="G51" s="110">
        <f t="shared" si="1"/>
        <v>4.9032632031032142E-2</v>
      </c>
      <c r="H51" s="111">
        <f t="shared" si="2"/>
        <v>6.7295330348670523E-2</v>
      </c>
      <c r="I51" s="24"/>
      <c r="J51" s="24"/>
      <c r="K51" s="11"/>
      <c r="L51" s="16"/>
      <c r="M51" s="16"/>
      <c r="N51" s="16"/>
      <c r="O51" s="16"/>
      <c r="P51" s="16"/>
      <c r="Q51" s="16"/>
      <c r="R51" s="16"/>
      <c r="S51" s="16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</row>
    <row r="52" spans="1:111" x14ac:dyDescent="0.25">
      <c r="A52" s="8"/>
      <c r="B52" s="22"/>
      <c r="C52" s="24"/>
      <c r="D52" s="24"/>
      <c r="E52" s="74">
        <f t="shared" si="4"/>
        <v>1.9500000000000011</v>
      </c>
      <c r="F52" s="107">
        <f t="shared" si="3"/>
        <v>159.32783354502928</v>
      </c>
      <c r="G52" s="110">
        <f t="shared" si="1"/>
        <v>5.0463725722249442E-2</v>
      </c>
      <c r="H52" s="111">
        <f t="shared" si="2"/>
        <v>6.9003722405138301E-2</v>
      </c>
      <c r="I52" s="24"/>
      <c r="J52" s="24"/>
      <c r="K52" s="11"/>
      <c r="L52" s="16"/>
      <c r="M52" s="16"/>
      <c r="N52" s="16"/>
      <c r="O52" s="16"/>
      <c r="P52" s="16"/>
      <c r="Q52" s="16"/>
      <c r="R52" s="16"/>
      <c r="S52" s="16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</row>
    <row r="53" spans="1:111" x14ac:dyDescent="0.25">
      <c r="A53" s="8"/>
      <c r="B53" s="22"/>
      <c r="C53" s="24"/>
      <c r="D53" s="24"/>
      <c r="E53" s="74">
        <f t="shared" si="4"/>
        <v>2.0000000000000009</v>
      </c>
      <c r="F53" s="107">
        <f t="shared" si="3"/>
        <v>159.90316915512091</v>
      </c>
      <c r="G53" s="110">
        <f t="shared" si="1"/>
        <v>5.1905460402030812E-2</v>
      </c>
      <c r="H53" s="111">
        <f t="shared" si="2"/>
        <v>7.0708985278796432E-2</v>
      </c>
      <c r="I53" s="24"/>
      <c r="J53" s="24"/>
      <c r="K53" s="11"/>
      <c r="L53" s="16"/>
      <c r="M53" s="16"/>
      <c r="N53" s="16"/>
      <c r="O53" s="16"/>
      <c r="P53" s="16"/>
      <c r="Q53" s="16"/>
      <c r="R53" s="16"/>
      <c r="S53" s="16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</row>
    <row r="54" spans="1:111" x14ac:dyDescent="0.25">
      <c r="A54" s="8"/>
      <c r="B54" s="17"/>
      <c r="C54" s="18"/>
      <c r="D54" s="18"/>
      <c r="E54" s="74">
        <f t="shared" si="4"/>
        <v>2.0500000000000007</v>
      </c>
      <c r="F54" s="107">
        <f t="shared" si="3"/>
        <v>160.49148891943699</v>
      </c>
      <c r="G54" s="110">
        <f t="shared" si="1"/>
        <v>5.3358282927565504E-2</v>
      </c>
      <c r="H54" s="111">
        <f t="shared" si="2"/>
        <v>7.2411124701224905E-2</v>
      </c>
      <c r="I54" s="19"/>
      <c r="J54" s="8"/>
      <c r="K54" s="11"/>
      <c r="L54" s="16"/>
      <c r="M54" s="16"/>
      <c r="N54" s="16"/>
      <c r="O54" s="16"/>
      <c r="P54" s="16"/>
      <c r="Q54" s="16"/>
      <c r="R54" s="16"/>
      <c r="S54" s="16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</row>
    <row r="55" spans="1:111" x14ac:dyDescent="0.25">
      <c r="A55" s="8"/>
      <c r="B55" s="22"/>
      <c r="C55" s="22"/>
      <c r="D55" s="22"/>
      <c r="E55" s="74">
        <f t="shared" si="4"/>
        <v>2.1000000000000005</v>
      </c>
      <c r="F55" s="107">
        <f t="shared" si="3"/>
        <v>161.09344204568868</v>
      </c>
      <c r="G55" s="110">
        <f t="shared" si="1"/>
        <v>5.4822657161693655E-2</v>
      </c>
      <c r="H55" s="111">
        <f t="shared" si="2"/>
        <v>7.4110146393504661E-2</v>
      </c>
      <c r="I55" s="22"/>
      <c r="J55" s="22"/>
      <c r="K55" s="11"/>
      <c r="L55" s="16"/>
      <c r="M55" s="16"/>
      <c r="N55" s="16"/>
      <c r="O55" s="16"/>
      <c r="P55" s="16"/>
      <c r="Q55" s="16"/>
      <c r="R55" s="16"/>
      <c r="S55" s="16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</row>
    <row r="56" spans="1:111" x14ac:dyDescent="0.25">
      <c r="A56" s="8"/>
      <c r="B56" s="22"/>
      <c r="C56" s="24"/>
      <c r="D56" s="24"/>
      <c r="E56" s="74">
        <f t="shared" si="4"/>
        <v>2.1500000000000004</v>
      </c>
      <c r="F56" s="107">
        <f t="shared" si="3"/>
        <v>161.7096777415872</v>
      </c>
      <c r="G56" s="110">
        <f t="shared" si="1"/>
        <v>5.6299063757174306E-2</v>
      </c>
      <c r="H56" s="111">
        <f t="shared" si="2"/>
        <v>7.5806056066238137E-2</v>
      </c>
      <c r="I56" s="24"/>
      <c r="J56" s="24"/>
      <c r="K56" s="11"/>
      <c r="L56" s="16"/>
      <c r="M56" s="16"/>
      <c r="N56" s="16"/>
      <c r="O56" s="16"/>
      <c r="P56" s="16"/>
      <c r="Q56" s="16"/>
      <c r="R56" s="16"/>
      <c r="S56" s="16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</row>
    <row r="57" spans="1:111" x14ac:dyDescent="0.25">
      <c r="A57" s="8"/>
      <c r="B57" s="22"/>
      <c r="C57" s="24"/>
      <c r="D57" s="24"/>
      <c r="E57" s="74">
        <f t="shared" si="4"/>
        <v>2.2000000000000002</v>
      </c>
      <c r="F57" s="107">
        <f t="shared" si="3"/>
        <v>162.34084521484374</v>
      </c>
      <c r="G57" s="110">
        <f t="shared" si="1"/>
        <v>5.7787999934905576E-2</v>
      </c>
      <c r="H57" s="111">
        <f t="shared" si="2"/>
        <v>7.74988594195678E-2</v>
      </c>
      <c r="I57" s="24"/>
      <c r="J57" s="24"/>
      <c r="K57" s="11"/>
      <c r="L57" s="16"/>
      <c r="M57" s="16"/>
      <c r="N57" s="16"/>
      <c r="O57" s="16"/>
      <c r="P57" s="16"/>
      <c r="Q57" s="16"/>
      <c r="R57" s="16"/>
      <c r="S57" s="16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</row>
    <row r="58" spans="1:111" x14ac:dyDescent="0.25">
      <c r="A58" s="8"/>
      <c r="B58" s="22"/>
      <c r="C58" s="24"/>
      <c r="D58" s="24"/>
      <c r="E58" s="74">
        <f t="shared" si="4"/>
        <v>2.25</v>
      </c>
      <c r="F58" s="107">
        <f t="shared" si="3"/>
        <v>162.98759367316961</v>
      </c>
      <c r="G58" s="110">
        <f t="shared" si="1"/>
        <v>5.9289979255778835E-2</v>
      </c>
      <c r="H58" s="111">
        <f t="shared" si="2"/>
        <v>7.9188562143195473E-2</v>
      </c>
      <c r="I58" s="24"/>
      <c r="J58" s="24"/>
      <c r="K58" s="11"/>
      <c r="L58" s="16"/>
      <c r="M58" s="16"/>
      <c r="N58" s="16"/>
      <c r="O58" s="16"/>
      <c r="P58" s="16"/>
      <c r="Q58" s="16"/>
      <c r="R58" s="16"/>
      <c r="S58" s="16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</row>
    <row r="59" spans="1:111" x14ac:dyDescent="0.25">
      <c r="A59" s="8"/>
      <c r="B59" s="22"/>
      <c r="C59" s="24"/>
      <c r="D59" s="24"/>
      <c r="E59" s="74">
        <f t="shared" si="4"/>
        <v>2.2999999999999998</v>
      </c>
      <c r="F59" s="107">
        <f t="shared" si="3"/>
        <v>163.65057232427597</v>
      </c>
      <c r="G59" s="110">
        <f t="shared" si="1"/>
        <v>6.0805531385832667E-2</v>
      </c>
      <c r="H59" s="111">
        <f t="shared" si="2"/>
        <v>8.0875169916401202E-2</v>
      </c>
      <c r="I59" s="24"/>
      <c r="J59" s="24"/>
      <c r="K59" s="11"/>
      <c r="L59" s="16"/>
      <c r="M59" s="16"/>
      <c r="N59" s="16"/>
      <c r="O59" s="16"/>
      <c r="P59" s="16"/>
      <c r="Q59" s="16"/>
      <c r="R59" s="16"/>
      <c r="S59" s="16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</row>
    <row r="60" spans="1:111" x14ac:dyDescent="0.25">
      <c r="A60" s="8"/>
      <c r="B60" s="22"/>
      <c r="C60" s="24"/>
      <c r="D60" s="24"/>
      <c r="E60" s="74">
        <f t="shared" si="4"/>
        <v>2.3499999999999996</v>
      </c>
      <c r="F60" s="107">
        <f t="shared" si="3"/>
        <v>164.33043037587402</v>
      </c>
      <c r="G60" s="110">
        <f t="shared" si="1"/>
        <v>6.2335201854370137E-2</v>
      </c>
      <c r="H60" s="111">
        <f t="shared" si="2"/>
        <v>8.2558688408062686E-2</v>
      </c>
      <c r="I60" s="24"/>
      <c r="J60" s="24"/>
      <c r="K60" s="11"/>
      <c r="L60" s="16"/>
      <c r="M60" s="16"/>
      <c r="N60" s="16"/>
      <c r="O60" s="16"/>
      <c r="P60" s="16"/>
      <c r="Q60" s="16"/>
      <c r="R60" s="16"/>
      <c r="S60" s="16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</row>
    <row r="61" spans="1:111" x14ac:dyDescent="0.25">
      <c r="A61" s="8"/>
      <c r="B61" s="22"/>
      <c r="C61" s="24"/>
      <c r="D61" s="24"/>
      <c r="E61" s="74">
        <f t="shared" si="4"/>
        <v>2.3999999999999995</v>
      </c>
      <c r="F61" s="107">
        <f t="shared" si="3"/>
        <v>165.02781703567499</v>
      </c>
      <c r="G61" s="110">
        <f t="shared" si="1"/>
        <v>6.3879551804691403E-2</v>
      </c>
      <c r="H61" s="111">
        <f t="shared" si="2"/>
        <v>8.4239123276674377E-2</v>
      </c>
      <c r="I61" s="24"/>
      <c r="J61" s="24"/>
      <c r="K61" s="11"/>
      <c r="L61" s="16"/>
      <c r="M61" s="16"/>
      <c r="N61" s="16"/>
      <c r="O61" s="16"/>
      <c r="P61" s="16"/>
      <c r="Q61" s="16"/>
      <c r="R61" s="16"/>
      <c r="S61" s="16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</row>
    <row r="62" spans="1:111" x14ac:dyDescent="0.25">
      <c r="A62" s="8"/>
      <c r="B62" s="22"/>
      <c r="C62" s="24"/>
      <c r="D62" s="24"/>
      <c r="E62" s="74">
        <f t="shared" si="4"/>
        <v>2.4499999999999993</v>
      </c>
      <c r="F62" s="107">
        <f t="shared" si="3"/>
        <v>165.74338151139014</v>
      </c>
      <c r="G62" s="110">
        <f t="shared" si="1"/>
        <v>6.5439157737089859E-2</v>
      </c>
      <c r="H62" s="111">
        <f t="shared" si="2"/>
        <v>8.5916480170366016E-2</v>
      </c>
      <c r="I62" s="24"/>
      <c r="J62" s="24"/>
      <c r="K62" s="11"/>
      <c r="L62" s="16"/>
      <c r="M62" s="16"/>
      <c r="N62" s="16"/>
      <c r="O62" s="16"/>
      <c r="P62" s="16"/>
      <c r="Q62" s="16"/>
      <c r="R62" s="16"/>
      <c r="S62" s="16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</row>
    <row r="63" spans="1:111" x14ac:dyDescent="0.25">
      <c r="A63" s="8"/>
      <c r="B63" s="17"/>
      <c r="C63" s="18"/>
      <c r="D63" s="18"/>
      <c r="E63" s="74">
        <f t="shared" si="4"/>
        <v>2.4999999999999991</v>
      </c>
      <c r="F63" s="107">
        <f t="shared" si="3"/>
        <v>166.47777301073066</v>
      </c>
      <c r="G63" s="110">
        <f t="shared" si="1"/>
        <v>6.7014611243748634E-2</v>
      </c>
      <c r="H63" s="111">
        <f t="shared" si="2"/>
        <v>8.7590764726922177E-2</v>
      </c>
      <c r="I63" s="19"/>
      <c r="J63" s="8"/>
      <c r="K63" s="11"/>
      <c r="L63" s="16"/>
      <c r="M63" s="16"/>
      <c r="N63" s="16"/>
      <c r="O63" s="16"/>
      <c r="P63" s="16"/>
      <c r="Q63" s="16"/>
      <c r="R63" s="16"/>
      <c r="S63" s="16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</row>
    <row r="64" spans="1:111" x14ac:dyDescent="0.25">
      <c r="A64" s="8"/>
      <c r="B64" s="22"/>
      <c r="C64" s="22"/>
      <c r="D64" s="22"/>
      <c r="E64" s="74">
        <f t="shared" si="4"/>
        <v>2.5499999999999989</v>
      </c>
      <c r="F64" s="107">
        <f t="shared" si="3"/>
        <v>167.23164074140777</v>
      </c>
      <c r="G64" s="110">
        <f t="shared" si="1"/>
        <v>6.8606518735173205E-2</v>
      </c>
      <c r="H64" s="111">
        <f t="shared" si="2"/>
        <v>8.9261982573800802E-2</v>
      </c>
      <c r="I64" s="22"/>
      <c r="J64" s="22"/>
      <c r="K64" s="11"/>
      <c r="L64" s="16"/>
      <c r="M64" s="16"/>
      <c r="N64" s="16"/>
      <c r="O64" s="16"/>
      <c r="P64" s="16"/>
      <c r="Q64" s="16"/>
      <c r="R64" s="16"/>
      <c r="S64" s="16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</row>
    <row r="65" spans="1:111" x14ac:dyDescent="0.25">
      <c r="A65" s="8"/>
      <c r="B65" s="22"/>
      <c r="C65" s="24"/>
      <c r="D65" s="24"/>
      <c r="E65" s="74">
        <f t="shared" si="4"/>
        <v>2.5999999999999988</v>
      </c>
      <c r="F65" s="107">
        <f t="shared" si="3"/>
        <v>168.00563391113269</v>
      </c>
      <c r="G65" s="110">
        <f t="shared" si="1"/>
        <v>7.0215501157787075E-2</v>
      </c>
      <c r="H65" s="111">
        <f t="shared" si="2"/>
        <v>9.0930139328152304E-2</v>
      </c>
      <c r="I65" s="24"/>
      <c r="J65" s="24"/>
      <c r="K65" s="11"/>
      <c r="L65" s="16"/>
      <c r="M65" s="16"/>
      <c r="N65" s="16"/>
      <c r="O65" s="16"/>
      <c r="P65" s="16"/>
      <c r="Q65" s="16"/>
      <c r="R65" s="16"/>
      <c r="S65" s="16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</row>
    <row r="66" spans="1:111" x14ac:dyDescent="0.25">
      <c r="A66" s="8"/>
      <c r="B66" s="22"/>
      <c r="C66" s="24"/>
      <c r="D66" s="24"/>
      <c r="E66" s="74">
        <f t="shared" si="4"/>
        <v>2.6499999999999986</v>
      </c>
      <c r="F66" s="107">
        <f t="shared" si="3"/>
        <v>168.80040172761667</v>
      </c>
      <c r="G66" s="110">
        <f t="shared" si="1"/>
        <v>7.1842193702312485E-2</v>
      </c>
      <c r="H66" s="111">
        <f t="shared" si="2"/>
        <v>9.2595240596838546E-2</v>
      </c>
      <c r="I66" s="24"/>
      <c r="J66" s="24"/>
      <c r="K66" s="11"/>
      <c r="L66" s="16"/>
      <c r="M66" s="16"/>
      <c r="N66" s="16"/>
      <c r="O66" s="16"/>
      <c r="P66" s="16"/>
      <c r="Q66" s="16"/>
      <c r="R66" s="16"/>
      <c r="S66" s="16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</row>
    <row r="67" spans="1:111" x14ac:dyDescent="0.25">
      <c r="A67" s="8"/>
      <c r="B67" s="22"/>
      <c r="C67" s="24"/>
      <c r="D67" s="24"/>
      <c r="E67" s="74">
        <f t="shared" si="4"/>
        <v>2.6999999999999984</v>
      </c>
      <c r="F67" s="107">
        <f t="shared" si="3"/>
        <v>169.61659339857087</v>
      </c>
      <c r="G67" s="110">
        <f t="shared" si="1"/>
        <v>7.3487245502555143E-2</v>
      </c>
      <c r="H67" s="111">
        <f t="shared" si="2"/>
        <v>9.4257291976451496E-2</v>
      </c>
      <c r="I67" s="24"/>
      <c r="J67" s="24"/>
      <c r="K67" s="11"/>
      <c r="L67" s="16"/>
      <c r="M67" s="16"/>
      <c r="N67" s="16"/>
      <c r="O67" s="16"/>
      <c r="P67" s="16"/>
      <c r="Q67" s="16"/>
      <c r="R67" s="16"/>
      <c r="S67" s="16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</row>
    <row r="68" spans="1:111" x14ac:dyDescent="0.25">
      <c r="A68" s="8"/>
      <c r="B68" s="22"/>
      <c r="C68" s="24"/>
      <c r="D68" s="24"/>
      <c r="E68" s="74">
        <f t="shared" si="4"/>
        <v>2.7499999999999982</v>
      </c>
      <c r="F68" s="107">
        <f t="shared" si="3"/>
        <v>170.45485813170657</v>
      </c>
      <c r="G68" s="110">
        <f t="shared" si="1"/>
        <v>7.5151319324207044E-2</v>
      </c>
      <c r="H68" s="111">
        <f t="shared" si="2"/>
        <v>9.5916299053331877E-2</v>
      </c>
      <c r="I68" s="24"/>
      <c r="J68" s="24"/>
      <c r="K68" s="11"/>
      <c r="L68" s="16"/>
      <c r="M68" s="16"/>
      <c r="N68" s="16"/>
      <c r="O68" s="16"/>
      <c r="P68" s="16"/>
      <c r="Q68" s="16"/>
      <c r="R68" s="16"/>
      <c r="S68" s="16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</row>
    <row r="69" spans="1:111" x14ac:dyDescent="0.25">
      <c r="A69" s="8"/>
      <c r="B69" s="22"/>
      <c r="C69" s="24"/>
      <c r="D69" s="24"/>
      <c r="E69" s="74">
        <f t="shared" si="4"/>
        <v>2.799999999999998</v>
      </c>
      <c r="F69" s="107">
        <f t="shared" si="3"/>
        <v>171.31584513473493</v>
      </c>
      <c r="G69" s="110">
        <f t="shared" si="1"/>
        <v>7.6835091243278586E-2</v>
      </c>
      <c r="H69" s="111">
        <f t="shared" si="2"/>
        <v>9.7572267403588597E-2</v>
      </c>
      <c r="I69" s="24"/>
      <c r="J69" s="24"/>
      <c r="K69" s="11"/>
      <c r="L69" s="16"/>
      <c r="M69" s="16"/>
      <c r="N69" s="16"/>
      <c r="O69" s="16"/>
      <c r="P69" s="16"/>
      <c r="Q69" s="16"/>
      <c r="R69" s="16"/>
      <c r="S69" s="16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</row>
    <row r="70" spans="1:111" x14ac:dyDescent="0.25">
      <c r="A70" s="8"/>
      <c r="B70" s="22"/>
      <c r="C70" s="24"/>
      <c r="D70" s="24"/>
      <c r="E70" s="74">
        <f t="shared" si="4"/>
        <v>2.8499999999999979</v>
      </c>
      <c r="F70" s="107">
        <f t="shared" si="3"/>
        <v>172.2002036153672</v>
      </c>
      <c r="G70" s="110">
        <f t="shared" si="1"/>
        <v>7.8539250313768183E-2</v>
      </c>
      <c r="H70" s="111">
        <f t="shared" si="2"/>
        <v>9.9225202593116735E-2</v>
      </c>
      <c r="I70" s="24"/>
      <c r="J70" s="24"/>
      <c r="K70" s="11"/>
      <c r="L70" s="16"/>
      <c r="M70" s="16"/>
      <c r="N70" s="16"/>
      <c r="O70" s="16"/>
      <c r="P70" s="16"/>
      <c r="Q70" s="16"/>
      <c r="R70" s="16"/>
      <c r="S70" s="16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</row>
    <row r="71" spans="1:111" x14ac:dyDescent="0.25">
      <c r="A71" s="8"/>
      <c r="B71" s="22"/>
      <c r="C71" s="24"/>
      <c r="D71" s="24"/>
      <c r="E71" s="74">
        <f t="shared" si="4"/>
        <v>2.8999999999999977</v>
      </c>
      <c r="F71" s="107">
        <f t="shared" si="3"/>
        <v>173.10858278131462</v>
      </c>
      <c r="G71" s="110">
        <f t="shared" si="1"/>
        <v>8.0264498224177472E-2</v>
      </c>
      <c r="H71" s="111">
        <f t="shared" si="2"/>
        <v>0.10087511017761674</v>
      </c>
      <c r="I71" s="24"/>
      <c r="J71" s="24"/>
      <c r="K71" s="11"/>
      <c r="L71" s="16"/>
      <c r="M71" s="16"/>
      <c r="N71" s="16"/>
      <c r="O71" s="16"/>
      <c r="P71" s="16"/>
      <c r="Q71" s="16"/>
      <c r="R71" s="16"/>
      <c r="S71" s="16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</row>
    <row r="72" spans="1:111" x14ac:dyDescent="0.25">
      <c r="A72" s="8"/>
      <c r="B72" s="17"/>
      <c r="C72" s="18"/>
      <c r="D72" s="18"/>
      <c r="E72" s="74">
        <f t="shared" si="4"/>
        <v>2.9499999999999975</v>
      </c>
      <c r="F72" s="107">
        <f t="shared" si="3"/>
        <v>174.0416318402884</v>
      </c>
      <c r="G72" s="110">
        <f t="shared" si="1"/>
        <v>8.2011548942475976E-2</v>
      </c>
      <c r="H72" s="111">
        <f t="shared" si="2"/>
        <v>0.10252199570261278</v>
      </c>
      <c r="I72" s="19"/>
      <c r="J72" s="8"/>
      <c r="K72" s="11"/>
      <c r="L72" s="16"/>
      <c r="M72" s="16"/>
      <c r="N72" s="16"/>
      <c r="O72" s="16"/>
      <c r="P72" s="16"/>
      <c r="Q72" s="16"/>
      <c r="R72" s="16"/>
      <c r="S72" s="16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</row>
    <row r="73" spans="1:111" x14ac:dyDescent="0.25">
      <c r="A73" s="8"/>
      <c r="B73" s="22"/>
      <c r="C73" s="22"/>
      <c r="D73" s="22"/>
      <c r="E73" s="74">
        <f t="shared" si="4"/>
        <v>2.9999999999999973</v>
      </c>
      <c r="F73" s="107">
        <f t="shared" si="3"/>
        <v>174.99999999999972</v>
      </c>
      <c r="G73" s="110">
        <f t="shared" si="1"/>
        <v>8.3781128349122214E-2</v>
      </c>
      <c r="H73" s="111">
        <f t="shared" si="2"/>
        <v>0.10416586470347167</v>
      </c>
      <c r="I73" s="22"/>
      <c r="J73" s="22"/>
      <c r="K73" s="11"/>
      <c r="L73" s="16"/>
      <c r="M73" s="16"/>
      <c r="N73" s="16"/>
      <c r="O73" s="16"/>
      <c r="P73" s="16"/>
      <c r="Q73" s="16"/>
      <c r="R73" s="16"/>
      <c r="S73" s="16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</row>
    <row r="74" spans="1:111" x14ac:dyDescent="0.25">
      <c r="A74" s="8"/>
      <c r="B74" s="22"/>
      <c r="C74" s="24"/>
      <c r="D74" s="24"/>
      <c r="E74" s="74">
        <f t="shared" si="4"/>
        <v>3.0499999999999972</v>
      </c>
      <c r="F74" s="107">
        <f t="shared" si="3"/>
        <v>175.98400009796626</v>
      </c>
      <c r="G74" s="110">
        <f t="shared" si="1"/>
        <v>8.5573817501690463E-2</v>
      </c>
      <c r="H74" s="111">
        <f t="shared" si="2"/>
        <v>0.10580672270542135</v>
      </c>
      <c r="I74" s="24"/>
      <c r="J74" s="24"/>
      <c r="K74" s="11"/>
      <c r="L74" s="16"/>
      <c r="M74" s="16"/>
      <c r="N74" s="16"/>
      <c r="O74" s="16"/>
      <c r="P74" s="16"/>
      <c r="Q74" s="16"/>
      <c r="R74" s="16"/>
      <c r="S74" s="16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</row>
    <row r="75" spans="1:111" x14ac:dyDescent="0.25">
      <c r="A75" s="8"/>
      <c r="B75" s="22"/>
      <c r="C75" s="24"/>
      <c r="D75" s="24"/>
      <c r="E75" s="74">
        <f t="shared" si="4"/>
        <v>3.099999999999997</v>
      </c>
      <c r="F75" s="107">
        <f t="shared" si="3"/>
        <v>176.99259671325368</v>
      </c>
      <c r="G75" s="110">
        <f t="shared" si="1"/>
        <v>8.7389563884484378E-2</v>
      </c>
      <c r="H75" s="111">
        <f t="shared" si="2"/>
        <v>0.10744457522356943</v>
      </c>
      <c r="I75" s="24"/>
      <c r="J75" s="24"/>
      <c r="K75" s="11"/>
      <c r="L75" s="16"/>
      <c r="M75" s="16"/>
      <c r="N75" s="16"/>
      <c r="O75" s="16"/>
      <c r="P75" s="16"/>
      <c r="Q75" s="16"/>
      <c r="R75" s="16"/>
      <c r="S75" s="16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</row>
    <row r="76" spans="1:111" x14ac:dyDescent="0.25">
      <c r="A76" s="8"/>
      <c r="B76" s="22"/>
      <c r="C76" s="24"/>
      <c r="D76" s="24"/>
      <c r="E76" s="74">
        <f t="shared" si="4"/>
        <v>3.1499999999999968</v>
      </c>
      <c r="F76" s="107">
        <f t="shared" si="3"/>
        <v>178.02442027664657</v>
      </c>
      <c r="G76" s="110">
        <f t="shared" ref="G76:G139" si="6">1-EXP(-E76*F76/(1-RecoveryRate)/10000)</f>
        <v>8.922812129249047E-2</v>
      </c>
      <c r="H76" s="111">
        <f t="shared" ref="H76:H139" si="7">1-EXP(-E76*fiveyrspread/(1-RecoveryRate)/10000)</f>
        <v>0.10907942776292179</v>
      </c>
      <c r="I76" s="24"/>
      <c r="J76" s="24"/>
      <c r="K76" s="11"/>
      <c r="L76" s="16"/>
      <c r="M76" s="16"/>
      <c r="N76" s="16"/>
      <c r="O76" s="16"/>
      <c r="P76" s="16"/>
      <c r="Q76" s="16"/>
      <c r="R76" s="16"/>
      <c r="S76" s="16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</row>
    <row r="77" spans="1:111" x14ac:dyDescent="0.25">
      <c r="A77" s="8"/>
      <c r="B77" s="22"/>
      <c r="C77" s="24"/>
      <c r="D77" s="24"/>
      <c r="E77" s="74">
        <f t="shared" si="4"/>
        <v>3.1999999999999966</v>
      </c>
      <c r="F77" s="107">
        <f t="shared" ref="F77:F140" si="8">CubicSpline($B$34:$B$38,$C$11:$C$15,E77)</f>
        <v>179.07809839671617</v>
      </c>
      <c r="G77" s="110">
        <f t="shared" si="6"/>
        <v>9.1089199738443205E-2</v>
      </c>
      <c r="H77" s="111">
        <f t="shared" si="7"/>
        <v>0.11071128581840084</v>
      </c>
      <c r="I77" s="24"/>
      <c r="J77" s="24"/>
      <c r="K77" s="11"/>
      <c r="L77" s="16"/>
      <c r="M77" s="16"/>
      <c r="N77" s="16"/>
      <c r="O77" s="16"/>
      <c r="P77" s="16"/>
      <c r="Q77" s="16"/>
      <c r="R77" s="16"/>
      <c r="S77" s="16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</row>
    <row r="78" spans="1:111" x14ac:dyDescent="0.25">
      <c r="A78" s="8"/>
      <c r="B78" s="22"/>
      <c r="C78" s="24"/>
      <c r="D78" s="24"/>
      <c r="E78" s="74">
        <f t="shared" si="4"/>
        <v>3.2499999999999964</v>
      </c>
      <c r="F78" s="107">
        <f t="shared" si="8"/>
        <v>180.15226127207239</v>
      </c>
      <c r="G78" s="110">
        <f t="shared" si="6"/>
        <v>9.2972468493912053E-2</v>
      </c>
      <c r="H78" s="111">
        <f t="shared" si="7"/>
        <v>0.1123401548748646</v>
      </c>
      <c r="I78" s="24"/>
      <c r="J78" s="24"/>
      <c r="K78" s="11"/>
      <c r="L78" s="16"/>
      <c r="M78" s="16"/>
      <c r="N78" s="16"/>
      <c r="O78" s="16"/>
      <c r="P78" s="16"/>
      <c r="Q78" s="16"/>
      <c r="R78" s="16"/>
      <c r="S78" s="16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</row>
    <row r="79" spans="1:111" x14ac:dyDescent="0.25">
      <c r="A79" s="8"/>
      <c r="B79" s="22"/>
      <c r="C79" s="24"/>
      <c r="D79" s="24"/>
      <c r="E79" s="74">
        <f t="shared" si="4"/>
        <v>3.2999999999999963</v>
      </c>
      <c r="F79" s="107">
        <f t="shared" si="8"/>
        <v>181.24553721916158</v>
      </c>
      <c r="G79" s="110">
        <f t="shared" si="6"/>
        <v>9.4877554437804879E-2</v>
      </c>
      <c r="H79" s="111">
        <f t="shared" si="7"/>
        <v>0.11396604040712432</v>
      </c>
      <c r="I79" s="24"/>
      <c r="J79" s="24"/>
      <c r="K79" s="11"/>
      <c r="L79" s="16"/>
      <c r="M79" s="16"/>
      <c r="N79" s="16"/>
      <c r="O79" s="16"/>
      <c r="P79" s="16"/>
      <c r="Q79" s="16"/>
      <c r="R79" s="16"/>
      <c r="S79" s="16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</row>
    <row r="80" spans="1:111" x14ac:dyDescent="0.25">
      <c r="A80" s="8"/>
      <c r="B80" s="22"/>
      <c r="C80" s="24"/>
      <c r="D80" s="24"/>
      <c r="E80" s="74">
        <f t="shared" si="4"/>
        <v>3.3499999999999961</v>
      </c>
      <c r="F80" s="107">
        <f t="shared" si="8"/>
        <v>182.35655477112653</v>
      </c>
      <c r="G80" s="110">
        <f t="shared" si="6"/>
        <v>9.680404355761163E-2</v>
      </c>
      <c r="H80" s="111">
        <f t="shared" si="7"/>
        <v>0.11558894787996343</v>
      </c>
      <c r="I80" s="24"/>
      <c r="J80" s="24"/>
      <c r="K80" s="11"/>
      <c r="L80" s="16"/>
      <c r="M80" s="16"/>
      <c r="N80" s="16"/>
      <c r="O80" s="16"/>
      <c r="P80" s="16"/>
      <c r="Q80" s="16"/>
      <c r="R80" s="16"/>
      <c r="S80" s="16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</row>
    <row r="81" spans="1:111" x14ac:dyDescent="0.25">
      <c r="A81" s="8"/>
      <c r="B81" s="17"/>
      <c r="C81" s="18"/>
      <c r="D81" s="18"/>
      <c r="E81" s="74">
        <f t="shared" si="4"/>
        <v>3.3999999999999959</v>
      </c>
      <c r="F81" s="107">
        <f t="shared" si="8"/>
        <v>183.4839438015324</v>
      </c>
      <c r="G81" s="110">
        <f t="shared" si="6"/>
        <v>9.8751482048429873E-2</v>
      </c>
      <c r="H81" s="111">
        <f t="shared" si="7"/>
        <v>0.11720888274815588</v>
      </c>
      <c r="I81" s="19"/>
      <c r="J81" s="8"/>
      <c r="K81" s="11"/>
      <c r="L81" s="16"/>
      <c r="M81" s="16"/>
      <c r="N81" s="16"/>
      <c r="O81" s="16"/>
      <c r="P81" s="16"/>
      <c r="Q81" s="16"/>
      <c r="R81" s="16"/>
      <c r="S81" s="16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</row>
    <row r="82" spans="1:111" x14ac:dyDescent="0.25">
      <c r="A82" s="8"/>
      <c r="B82" s="22"/>
      <c r="C82" s="22"/>
      <c r="D82" s="22"/>
      <c r="E82" s="74">
        <f t="shared" ref="E82:E145" si="9">E81+0.05</f>
        <v>3.4499999999999957</v>
      </c>
      <c r="F82" s="107">
        <f t="shared" si="8"/>
        <v>184.62633246069171</v>
      </c>
      <c r="G82" s="110">
        <f t="shared" si="6"/>
        <v>0.10071937530261288</v>
      </c>
      <c r="H82" s="111">
        <f t="shared" si="7"/>
        <v>0.11882585045648442</v>
      </c>
      <c r="I82" s="22"/>
      <c r="J82" s="22"/>
      <c r="K82" s="11"/>
      <c r="L82" s="16"/>
      <c r="M82" s="16"/>
      <c r="N82" s="16"/>
      <c r="O82" s="16"/>
      <c r="P82" s="16"/>
      <c r="Q82" s="16"/>
      <c r="R82" s="16"/>
      <c r="S82" s="16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</row>
    <row r="83" spans="1:111" x14ac:dyDescent="0.25">
      <c r="A83" s="8"/>
      <c r="B83" s="22"/>
      <c r="C83" s="24"/>
      <c r="D83" s="24"/>
      <c r="E83" s="74">
        <f t="shared" si="9"/>
        <v>3.4999999999999956</v>
      </c>
      <c r="F83" s="107">
        <f t="shared" si="8"/>
        <v>185.78235042095136</v>
      </c>
      <c r="G83" s="110">
        <f t="shared" si="6"/>
        <v>0.10270719009659734</v>
      </c>
      <c r="H83" s="111">
        <f t="shared" si="7"/>
        <v>0.12043985643975841</v>
      </c>
      <c r="I83" s="24"/>
      <c r="J83" s="24"/>
      <c r="K83" s="11"/>
      <c r="L83" s="16"/>
      <c r="M83" s="16"/>
      <c r="N83" s="16"/>
      <c r="O83" s="16"/>
      <c r="P83" s="16"/>
      <c r="Q83" s="16"/>
      <c r="R83" s="16"/>
      <c r="S83" s="16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</row>
    <row r="84" spans="1:111" x14ac:dyDescent="0.25">
      <c r="A84" s="8"/>
      <c r="B84" s="22"/>
      <c r="C84" s="24"/>
      <c r="D84" s="24"/>
      <c r="E84" s="74">
        <f t="shared" si="9"/>
        <v>3.5499999999999954</v>
      </c>
      <c r="F84" s="107">
        <f t="shared" si="8"/>
        <v>186.95063389515329</v>
      </c>
      <c r="G84" s="110">
        <f t="shared" si="6"/>
        <v>0.10471435785209993</v>
      </c>
      <c r="H84" s="111">
        <f t="shared" si="7"/>
        <v>0.12205090612283287</v>
      </c>
      <c r="I84" s="24"/>
      <c r="J84" s="24"/>
      <c r="K84" s="11"/>
      <c r="L84" s="16"/>
      <c r="M84" s="16"/>
      <c r="N84" s="16"/>
      <c r="O84" s="16"/>
      <c r="P84" s="16"/>
      <c r="Q84" s="16"/>
      <c r="R84" s="16"/>
      <c r="S84" s="16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</row>
    <row r="85" spans="1:111" x14ac:dyDescent="0.25">
      <c r="A85" s="8"/>
      <c r="B85" s="22"/>
      <c r="C85" s="24"/>
      <c r="D85" s="24"/>
      <c r="E85" s="74">
        <f t="shared" si="9"/>
        <v>3.5999999999999952</v>
      </c>
      <c r="F85" s="107">
        <f t="shared" si="8"/>
        <v>188.12978876430108</v>
      </c>
      <c r="G85" s="110">
        <f t="shared" si="6"/>
        <v>0.10674025564335199</v>
      </c>
      <c r="H85" s="111">
        <f t="shared" si="7"/>
        <v>0.12365900492062654</v>
      </c>
      <c r="I85" s="24"/>
      <c r="J85" s="24"/>
      <c r="K85" s="11"/>
      <c r="L85" s="16"/>
      <c r="M85" s="16"/>
      <c r="N85" s="16"/>
      <c r="O85" s="16"/>
      <c r="P85" s="16"/>
      <c r="Q85" s="16"/>
      <c r="R85" s="16"/>
      <c r="S85" s="16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</row>
    <row r="86" spans="1:111" x14ac:dyDescent="0.25">
      <c r="A86" s="8"/>
      <c r="B86" s="22"/>
      <c r="C86" s="24"/>
      <c r="D86" s="24"/>
      <c r="E86" s="74">
        <f t="shared" si="9"/>
        <v>3.649999999999995</v>
      </c>
      <c r="F86" s="107">
        <f t="shared" si="8"/>
        <v>189.31846731031561</v>
      </c>
      <c r="G86" s="110">
        <f t="shared" si="6"/>
        <v>0.10878424742962722</v>
      </c>
      <c r="H86" s="111">
        <f t="shared" si="7"/>
        <v>0.12526415823813941</v>
      </c>
      <c r="I86" s="24"/>
      <c r="J86" s="24"/>
      <c r="K86" s="11"/>
      <c r="L86" s="16"/>
      <c r="M86" s="16"/>
      <c r="N86" s="16"/>
      <c r="O86" s="16"/>
      <c r="P86" s="16"/>
      <c r="Q86" s="16"/>
      <c r="R86" s="16"/>
      <c r="S86" s="16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</row>
    <row r="87" spans="1:111" x14ac:dyDescent="0.25">
      <c r="A87" s="8"/>
      <c r="B87" s="22"/>
      <c r="C87" s="24"/>
      <c r="D87" s="24"/>
      <c r="E87" s="74">
        <f t="shared" si="9"/>
        <v>3.6999999999999948</v>
      </c>
      <c r="F87" s="107">
        <f t="shared" si="8"/>
        <v>190.51528288906979</v>
      </c>
      <c r="G87" s="110">
        <f t="shared" si="6"/>
        <v>0.11084563929165436</v>
      </c>
      <c r="H87" s="111">
        <f t="shared" si="7"/>
        <v>0.12686637147047186</v>
      </c>
      <c r="I87" s="24"/>
      <c r="J87" s="24"/>
      <c r="K87" s="11"/>
      <c r="L87" s="16"/>
      <c r="M87" s="16"/>
      <c r="N87" s="16"/>
      <c r="O87" s="16"/>
      <c r="P87" s="16"/>
      <c r="Q87" s="16"/>
      <c r="R87" s="16"/>
      <c r="S87" s="16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</row>
    <row r="88" spans="1:111" x14ac:dyDescent="0.25">
      <c r="A88" s="8"/>
      <c r="B88" s="22"/>
      <c r="C88" s="24"/>
      <c r="D88" s="24"/>
      <c r="E88" s="74">
        <f t="shared" si="9"/>
        <v>3.7499999999999947</v>
      </c>
      <c r="F88" s="107">
        <f t="shared" si="8"/>
        <v>191.71888761222306</v>
      </c>
      <c r="G88" s="110">
        <f t="shared" si="6"/>
        <v>0.11292372189186417</v>
      </c>
      <c r="H88" s="111">
        <f t="shared" si="7"/>
        <v>0.12846565000284194</v>
      </c>
      <c r="I88" s="24"/>
      <c r="J88" s="24"/>
      <c r="K88" s="11"/>
      <c r="L88" s="16"/>
      <c r="M88" s="16"/>
      <c r="N88" s="16"/>
      <c r="O88" s="16"/>
      <c r="P88" s="16"/>
      <c r="Q88" s="16"/>
      <c r="R88" s="16"/>
      <c r="S88" s="16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</row>
    <row r="89" spans="1:111" x14ac:dyDescent="0.25">
      <c r="A89" s="8"/>
      <c r="B89" s="22"/>
      <c r="C89" s="24"/>
      <c r="D89" s="24"/>
      <c r="E89" s="74">
        <f t="shared" si="9"/>
        <v>3.7999999999999945</v>
      </c>
      <c r="F89" s="107">
        <f t="shared" si="8"/>
        <v>192.92789503273877</v>
      </c>
      <c r="G89" s="110">
        <f t="shared" si="6"/>
        <v>0.11501772892109496</v>
      </c>
      <c r="H89" s="111">
        <f t="shared" si="7"/>
        <v>0.13006199921060402</v>
      </c>
      <c r="I89" s="24"/>
      <c r="J89" s="24"/>
      <c r="K89" s="11"/>
      <c r="L89" s="16"/>
      <c r="M89" s="16"/>
      <c r="N89" s="16"/>
      <c r="O89" s="16"/>
      <c r="P89" s="16"/>
      <c r="Q89" s="16"/>
      <c r="R89" s="16"/>
      <c r="S89" s="16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</row>
    <row r="90" spans="1:111" x14ac:dyDescent="0.25">
      <c r="A90" s="8"/>
      <c r="B90" s="17"/>
      <c r="C90" s="18"/>
      <c r="D90" s="18"/>
      <c r="E90" s="74">
        <f t="shared" si="9"/>
        <v>3.8499999999999943</v>
      </c>
      <c r="F90" s="107">
        <f t="shared" si="8"/>
        <v>194.14091885836376</v>
      </c>
      <c r="G90" s="110">
        <f t="shared" si="6"/>
        <v>0.1171268584626316</v>
      </c>
      <c r="H90" s="111">
        <f t="shared" si="7"/>
        <v>0.13165542445926681</v>
      </c>
      <c r="I90" s="19"/>
      <c r="J90" s="8"/>
      <c r="K90" s="11"/>
      <c r="L90" s="16"/>
      <c r="M90" s="16"/>
      <c r="N90" s="16"/>
      <c r="O90" s="16"/>
      <c r="P90" s="16"/>
      <c r="Q90" s="16"/>
      <c r="R90" s="16"/>
      <c r="S90" s="16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</row>
    <row r="91" spans="1:111" x14ac:dyDescent="0.25">
      <c r="A91" s="8"/>
      <c r="B91" s="22"/>
      <c r="C91" s="22"/>
      <c r="D91" s="22"/>
      <c r="E91" s="74">
        <f t="shared" si="9"/>
        <v>3.8999999999999941</v>
      </c>
      <c r="F91" s="107">
        <f t="shared" si="8"/>
        <v>195.35661096858257</v>
      </c>
      <c r="G91" s="110">
        <f t="shared" si="6"/>
        <v>0.11925029537601095</v>
      </c>
      <c r="H91" s="111">
        <f t="shared" si="7"/>
        <v>0.13324593110451088</v>
      </c>
      <c r="I91" s="22"/>
      <c r="J91" s="22"/>
      <c r="K91" s="11"/>
      <c r="L91" s="16"/>
      <c r="M91" s="16"/>
      <c r="N91" s="16"/>
      <c r="O91" s="16"/>
      <c r="P91" s="16"/>
      <c r="Q91" s="16"/>
      <c r="R91" s="16"/>
      <c r="S91" s="16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</row>
    <row r="92" spans="1:111" x14ac:dyDescent="0.25">
      <c r="A92" s="8"/>
      <c r="B92" s="22"/>
      <c r="C92" s="24"/>
      <c r="D92" s="24"/>
      <c r="E92" s="74">
        <f t="shared" si="9"/>
        <v>3.949999999999994</v>
      </c>
      <c r="F92" s="107">
        <f t="shared" si="8"/>
        <v>196.57358510622601</v>
      </c>
      <c r="G92" s="110">
        <f t="shared" si="6"/>
        <v>0.12138716890905576</v>
      </c>
      <c r="H92" s="111">
        <f t="shared" si="7"/>
        <v>0.13483352449220742</v>
      </c>
      <c r="I92" s="24"/>
      <c r="J92" s="24"/>
      <c r="K92" s="11"/>
      <c r="L92" s="16"/>
      <c r="M92" s="16"/>
      <c r="N92" s="16"/>
      <c r="O92" s="16"/>
      <c r="P92" s="16"/>
      <c r="Q92" s="16"/>
      <c r="R92" s="16"/>
      <c r="S92" s="16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</row>
    <row r="93" spans="1:111" x14ac:dyDescent="0.25">
      <c r="A93" s="8"/>
      <c r="B93" s="22"/>
      <c r="C93" s="24"/>
      <c r="D93" s="24"/>
      <c r="E93" s="74">
        <f t="shared" si="9"/>
        <v>3.9999999999999938</v>
      </c>
      <c r="F93" s="107">
        <f t="shared" si="8"/>
        <v>197.79049301147393</v>
      </c>
      <c r="G93" s="110">
        <f t="shared" si="6"/>
        <v>0.12353659666382977</v>
      </c>
      <c r="H93" s="111">
        <f t="shared" si="7"/>
        <v>0.13641820995843568</v>
      </c>
      <c r="I93" s="24"/>
      <c r="J93" s="24"/>
      <c r="K93" s="11"/>
      <c r="L93" s="16"/>
      <c r="M93" s="16"/>
      <c r="N93" s="16"/>
      <c r="O93" s="16"/>
      <c r="P93" s="16"/>
      <c r="Q93" s="16"/>
      <c r="R93" s="16"/>
      <c r="S93" s="16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</row>
    <row r="94" spans="1:111" x14ac:dyDescent="0.25">
      <c r="A94" s="8"/>
      <c r="B94" s="22"/>
      <c r="C94" s="24"/>
      <c r="D94" s="24"/>
      <c r="E94" s="74">
        <f t="shared" si="9"/>
        <v>4.0499999999999936</v>
      </c>
      <c r="F94" s="107">
        <f t="shared" si="8"/>
        <v>199.00594086419036</v>
      </c>
      <c r="G94" s="110">
        <f t="shared" si="6"/>
        <v>0.12569763701573711</v>
      </c>
      <c r="H94" s="111">
        <f t="shared" si="7"/>
        <v>0.13799999282950104</v>
      </c>
      <c r="I94" s="24"/>
      <c r="J94" s="24"/>
      <c r="K94" s="11"/>
      <c r="L94" s="16"/>
      <c r="M94" s="16"/>
      <c r="N94" s="16"/>
      <c r="O94" s="16"/>
      <c r="P94" s="16"/>
      <c r="Q94" s="16"/>
      <c r="R94" s="16"/>
      <c r="S94" s="16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</row>
    <row r="95" spans="1:111" x14ac:dyDescent="0.25">
      <c r="A95" s="8"/>
      <c r="B95" s="22"/>
      <c r="C95" s="24"/>
      <c r="D95" s="24"/>
      <c r="E95" s="74">
        <f t="shared" si="9"/>
        <v>4.0999999999999934</v>
      </c>
      <c r="F95" s="107">
        <f t="shared" si="8"/>
        <v>200.21856521890109</v>
      </c>
      <c r="G95" s="110">
        <f t="shared" si="6"/>
        <v>0.12786933364899078</v>
      </c>
      <c r="H95" s="111">
        <f t="shared" si="7"/>
        <v>0.13957887842195316</v>
      </c>
      <c r="I95" s="24"/>
      <c r="J95" s="24"/>
      <c r="K95" s="11"/>
      <c r="L95" s="16"/>
      <c r="M95" s="16"/>
      <c r="N95" s="16"/>
      <c r="O95" s="16"/>
      <c r="P95" s="16"/>
      <c r="Q95" s="16"/>
      <c r="R95" s="16"/>
      <c r="S95" s="16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</row>
    <row r="96" spans="1:111" x14ac:dyDescent="0.25">
      <c r="A96" s="8"/>
      <c r="B96" s="22"/>
      <c r="C96" s="24"/>
      <c r="D96" s="24"/>
      <c r="E96" s="74">
        <f t="shared" si="9"/>
        <v>4.1499999999999932</v>
      </c>
      <c r="F96" s="107">
        <f t="shared" si="8"/>
        <v>201.42699494191976</v>
      </c>
      <c r="G96" s="110">
        <f t="shared" si="6"/>
        <v>0.13005069414913883</v>
      </c>
      <c r="H96" s="111">
        <f t="shared" si="7"/>
        <v>0.14115487204260313</v>
      </c>
      <c r="I96" s="24"/>
      <c r="J96" s="24"/>
      <c r="K96" s="11"/>
      <c r="L96" s="16"/>
      <c r="M96" s="16"/>
      <c r="N96" s="16"/>
      <c r="O96" s="16"/>
      <c r="P96" s="16"/>
      <c r="Q96" s="16"/>
      <c r="R96" s="16"/>
      <c r="S96" s="16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</row>
    <row r="97" spans="1:111" x14ac:dyDescent="0.25">
      <c r="A97" s="8"/>
      <c r="B97" s="22"/>
      <c r="C97" s="24"/>
      <c r="D97" s="24"/>
      <c r="E97" s="74">
        <f t="shared" si="9"/>
        <v>4.1999999999999931</v>
      </c>
      <c r="F97" s="107">
        <f t="shared" si="8"/>
        <v>202.62985917043051</v>
      </c>
      <c r="G97" s="110">
        <f t="shared" si="6"/>
        <v>0.13224069522224247</v>
      </c>
      <c r="H97" s="111">
        <f t="shared" si="7"/>
        <v>0.14272797898854239</v>
      </c>
      <c r="I97" s="24"/>
      <c r="J97" s="24"/>
      <c r="K97" s="11"/>
      <c r="L97" s="16"/>
      <c r="M97" s="16"/>
      <c r="N97" s="16"/>
      <c r="O97" s="16"/>
      <c r="P97" s="16"/>
      <c r="Q97" s="16"/>
      <c r="R97" s="16"/>
      <c r="S97" s="16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</row>
    <row r="98" spans="1:111" x14ac:dyDescent="0.25">
      <c r="A98" s="8"/>
      <c r="B98" s="22"/>
      <c r="C98" s="24"/>
      <c r="D98" s="24"/>
      <c r="E98" s="74">
        <f t="shared" si="9"/>
        <v>4.2499999999999929</v>
      </c>
      <c r="F98" s="107">
        <f t="shared" si="8"/>
        <v>203.82578678429047</v>
      </c>
      <c r="G98" s="110">
        <f t="shared" si="6"/>
        <v>0.13443828298142868</v>
      </c>
      <c r="H98" s="111">
        <f t="shared" si="7"/>
        <v>0.14429820454715947</v>
      </c>
      <c r="I98" s="24"/>
      <c r="J98" s="24"/>
      <c r="K98" s="11"/>
      <c r="L98" s="16"/>
      <c r="M98" s="16"/>
      <c r="N98" s="16"/>
      <c r="O98" s="16"/>
      <c r="P98" s="16"/>
      <c r="Q98" s="16"/>
      <c r="R98" s="16"/>
      <c r="S98" s="16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</row>
    <row r="99" spans="1:111" x14ac:dyDescent="0.25">
      <c r="A99" s="8"/>
      <c r="B99" s="17"/>
      <c r="C99" s="18"/>
      <c r="D99" s="18"/>
      <c r="E99" s="74">
        <f t="shared" si="9"/>
        <v>4.2999999999999927</v>
      </c>
      <c r="F99" s="107">
        <f t="shared" si="8"/>
        <v>205.01340674436005</v>
      </c>
      <c r="G99" s="110">
        <f t="shared" si="6"/>
        <v>0.13664237374518895</v>
      </c>
      <c r="H99" s="111">
        <f t="shared" si="7"/>
        <v>0.14586555399615841</v>
      </c>
      <c r="I99" s="19"/>
      <c r="J99" s="8"/>
      <c r="K99" s="11"/>
      <c r="L99" s="16"/>
      <c r="M99" s="16"/>
      <c r="N99" s="16"/>
      <c r="O99" s="16"/>
      <c r="P99" s="16"/>
      <c r="Q99" s="16"/>
      <c r="R99" s="16"/>
      <c r="S99" s="16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</row>
    <row r="100" spans="1:111" x14ac:dyDescent="0.25">
      <c r="A100" s="8"/>
      <c r="B100" s="17"/>
      <c r="C100" s="18"/>
      <c r="D100" s="18"/>
      <c r="E100" s="74">
        <f t="shared" si="9"/>
        <v>4.3499999999999925</v>
      </c>
      <c r="F100" s="107">
        <f t="shared" si="8"/>
        <v>206.19134419680228</v>
      </c>
      <c r="G100" s="110">
        <f t="shared" si="6"/>
        <v>0.13885185219585461</v>
      </c>
      <c r="H100" s="111">
        <f t="shared" si="7"/>
        <v>0.14743003260357646</v>
      </c>
      <c r="I100" s="19"/>
      <c r="J100" s="8"/>
      <c r="K100" s="11"/>
      <c r="L100" s="16"/>
      <c r="M100" s="16"/>
      <c r="N100" s="16"/>
      <c r="O100" s="16"/>
      <c r="P100" s="16"/>
      <c r="Q100" s="16"/>
      <c r="R100" s="16"/>
      <c r="S100" s="16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</row>
    <row r="101" spans="1:111" x14ac:dyDescent="0.25">
      <c r="A101" s="8"/>
      <c r="B101" s="17"/>
      <c r="C101" s="18"/>
      <c r="D101" s="18"/>
      <c r="E101" s="74">
        <f t="shared" si="9"/>
        <v>4.3999999999999924</v>
      </c>
      <c r="F101" s="107">
        <f t="shared" si="8"/>
        <v>207.35824321061094</v>
      </c>
      <c r="G101" s="110">
        <f t="shared" si="6"/>
        <v>0.14106558617468568</v>
      </c>
      <c r="H101" s="111">
        <f t="shared" si="7"/>
        <v>0.14899164562780154</v>
      </c>
      <c r="I101" s="19"/>
      <c r="J101" s="8"/>
      <c r="K101" s="11"/>
      <c r="L101" s="16"/>
      <c r="M101" s="16"/>
      <c r="N101" s="16"/>
      <c r="O101" s="16"/>
      <c r="P101" s="16"/>
      <c r="Q101" s="16"/>
      <c r="R101" s="16"/>
      <c r="S101" s="16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</row>
    <row r="102" spans="1:111" x14ac:dyDescent="0.25">
      <c r="A102" s="8"/>
      <c r="B102" s="17"/>
      <c r="C102" s="18"/>
      <c r="D102" s="18"/>
      <c r="E102" s="74">
        <f t="shared" si="9"/>
        <v>4.4499999999999922</v>
      </c>
      <c r="F102" s="107">
        <f t="shared" si="8"/>
        <v>208.51271015087403</v>
      </c>
      <c r="G102" s="110">
        <f t="shared" si="6"/>
        <v>0.1432823917924525</v>
      </c>
      <c r="H102" s="111">
        <f t="shared" si="7"/>
        <v>0.15055039831758987</v>
      </c>
      <c r="I102" s="19"/>
      <c r="J102" s="8"/>
      <c r="K102" s="11"/>
      <c r="L102" s="16"/>
      <c r="M102" s="16"/>
      <c r="N102" s="16"/>
      <c r="O102" s="16"/>
      <c r="P102" s="16"/>
      <c r="Q102" s="16"/>
      <c r="R102" s="16"/>
      <c r="S102" s="16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</row>
    <row r="103" spans="1:111" x14ac:dyDescent="0.25">
      <c r="A103" s="8"/>
      <c r="B103" s="17"/>
      <c r="C103" s="18"/>
      <c r="D103" s="18"/>
      <c r="E103" s="74">
        <f t="shared" si="9"/>
        <v>4.499999999999992</v>
      </c>
      <c r="F103" s="107">
        <f t="shared" si="8"/>
        <v>209.65338909625922</v>
      </c>
      <c r="G103" s="110">
        <f t="shared" si="6"/>
        <v>0.14550108127994377</v>
      </c>
      <c r="H103" s="111">
        <f t="shared" si="7"/>
        <v>0.15210629591208391</v>
      </c>
      <c r="I103" s="19"/>
      <c r="J103" s="8"/>
      <c r="K103" s="11"/>
      <c r="L103" s="16"/>
      <c r="M103" s="16"/>
      <c r="N103" s="16"/>
      <c r="O103" s="16"/>
      <c r="P103" s="16"/>
      <c r="Q103" s="16"/>
      <c r="R103" s="16"/>
      <c r="S103" s="16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</row>
    <row r="104" spans="1:111" x14ac:dyDescent="0.25">
      <c r="A104" s="8"/>
      <c r="B104" s="17"/>
      <c r="C104" s="18"/>
      <c r="D104" s="18"/>
      <c r="E104" s="74">
        <f t="shared" si="9"/>
        <v>4.5499999999999918</v>
      </c>
      <c r="F104" s="107">
        <f t="shared" si="8"/>
        <v>210.77890519292961</v>
      </c>
      <c r="G104" s="110">
        <f t="shared" si="6"/>
        <v>0.14772042795212392</v>
      </c>
      <c r="H104" s="111">
        <f t="shared" si="7"/>
        <v>0.15365934364082989</v>
      </c>
      <c r="I104" s="19"/>
      <c r="J104" s="8"/>
      <c r="K104" s="11"/>
      <c r="L104" s="16"/>
      <c r="M104" s="16"/>
      <c r="N104" s="16"/>
      <c r="O104" s="16"/>
      <c r="P104" s="16"/>
      <c r="Q104" s="16"/>
      <c r="R104" s="16"/>
      <c r="S104" s="16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</row>
    <row r="105" spans="1:111" x14ac:dyDescent="0.25">
      <c r="A105" s="8"/>
      <c r="B105" s="17"/>
      <c r="C105" s="18"/>
      <c r="D105" s="18"/>
      <c r="E105" s="74">
        <f t="shared" si="9"/>
        <v>4.5999999999999917</v>
      </c>
      <c r="F105" s="107">
        <f t="shared" si="8"/>
        <v>211.88788731093945</v>
      </c>
      <c r="G105" s="110">
        <f t="shared" si="6"/>
        <v>0.14993918098210235</v>
      </c>
      <c r="H105" s="111">
        <f t="shared" si="7"/>
        <v>0.15520954672379539</v>
      </c>
      <c r="I105" s="19"/>
      <c r="J105" s="8"/>
      <c r="K105" s="11"/>
      <c r="L105" s="16"/>
      <c r="M105" s="16"/>
      <c r="N105" s="16"/>
      <c r="O105" s="16"/>
      <c r="P105" s="16"/>
      <c r="Q105" s="16"/>
      <c r="R105" s="16"/>
      <c r="S105" s="16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</row>
    <row r="106" spans="1:111" x14ac:dyDescent="0.25">
      <c r="A106" s="8"/>
      <c r="B106" s="17"/>
      <c r="C106" s="18"/>
      <c r="D106" s="18"/>
      <c r="E106" s="74">
        <f t="shared" si="9"/>
        <v>4.6499999999999915</v>
      </c>
      <c r="F106" s="107">
        <f t="shared" si="8"/>
        <v>212.97896458985912</v>
      </c>
      <c r="G106" s="110">
        <f t="shared" si="6"/>
        <v>0.15215606374058965</v>
      </c>
      <c r="H106" s="111">
        <f t="shared" si="7"/>
        <v>0.15675691037138639</v>
      </c>
      <c r="I106" s="19"/>
      <c r="J106" s="8"/>
      <c r="K106" s="11"/>
      <c r="L106" s="16"/>
      <c r="M106" s="16"/>
      <c r="N106" s="16"/>
      <c r="O106" s="16"/>
      <c r="P106" s="16"/>
      <c r="Q106" s="16"/>
      <c r="R106" s="16"/>
      <c r="S106" s="16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</row>
    <row r="107" spans="1:111" x14ac:dyDescent="0.25">
      <c r="A107" s="8"/>
      <c r="B107" s="17"/>
      <c r="C107" s="18"/>
      <c r="D107" s="18"/>
      <c r="E107" s="74">
        <f t="shared" si="9"/>
        <v>4.6999999999999913</v>
      </c>
      <c r="F107" s="107">
        <f t="shared" si="8"/>
        <v>214.05076771415705</v>
      </c>
      <c r="G107" s="110">
        <f t="shared" si="6"/>
        <v>0.1543697751367421</v>
      </c>
      <c r="H107" s="111">
        <f t="shared" si="7"/>
        <v>0.15830143978446554</v>
      </c>
      <c r="I107" s="19"/>
      <c r="J107" s="8"/>
      <c r="K107" s="11"/>
      <c r="L107" s="16"/>
      <c r="M107" s="16"/>
      <c r="N107" s="16"/>
      <c r="O107" s="16"/>
      <c r="P107" s="16"/>
      <c r="Q107" s="16"/>
      <c r="R107" s="16"/>
      <c r="S107" s="16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</row>
    <row r="108" spans="1:111" x14ac:dyDescent="0.25">
      <c r="A108" s="8"/>
      <c r="B108" s="17"/>
      <c r="C108" s="18"/>
      <c r="D108" s="18"/>
      <c r="E108" s="74">
        <f t="shared" si="9"/>
        <v>4.7499999999999911</v>
      </c>
      <c r="F108" s="107">
        <f t="shared" si="8"/>
        <v>215.10192011296658</v>
      </c>
      <c r="G108" s="110">
        <f t="shared" si="6"/>
        <v>0.15657898425099082</v>
      </c>
      <c r="H108" s="111">
        <f t="shared" si="7"/>
        <v>0.15984314015436951</v>
      </c>
      <c r="I108" s="19"/>
      <c r="J108" s="8"/>
      <c r="K108" s="11"/>
      <c r="L108" s="16"/>
      <c r="M108" s="16"/>
      <c r="N108" s="16"/>
      <c r="O108" s="16"/>
      <c r="P108" s="16"/>
      <c r="Q108" s="16"/>
      <c r="R108" s="16"/>
      <c r="S108" s="16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</row>
    <row r="109" spans="1:111" x14ac:dyDescent="0.25">
      <c r="A109" s="8"/>
      <c r="B109" s="17"/>
      <c r="C109" s="18"/>
      <c r="D109" s="18"/>
      <c r="E109" s="74">
        <f t="shared" si="9"/>
        <v>4.7999999999999909</v>
      </c>
      <c r="F109" s="107">
        <f t="shared" si="8"/>
        <v>216.13105632543895</v>
      </c>
      <c r="G109" s="110">
        <f t="shared" si="6"/>
        <v>0.15878234294825433</v>
      </c>
      <c r="H109" s="111">
        <f t="shared" si="7"/>
        <v>0.16138201666292573</v>
      </c>
      <c r="I109" s="19"/>
      <c r="J109" s="8"/>
      <c r="K109" s="11"/>
      <c r="L109" s="16"/>
      <c r="M109" s="16"/>
      <c r="N109" s="16"/>
      <c r="O109" s="16"/>
      <c r="P109" s="16"/>
      <c r="Q109" s="16"/>
      <c r="R109" s="16"/>
      <c r="S109" s="16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</row>
    <row r="110" spans="1:111" x14ac:dyDescent="0.25">
      <c r="A110" s="8"/>
      <c r="B110" s="17"/>
      <c r="C110" s="18"/>
      <c r="D110" s="18"/>
      <c r="E110" s="74">
        <f t="shared" si="9"/>
        <v>4.8499999999999908</v>
      </c>
      <c r="F110" s="107">
        <f t="shared" si="8"/>
        <v>217.1368044074525</v>
      </c>
      <c r="G110" s="110">
        <f t="shared" si="6"/>
        <v>0.16097847465961523</v>
      </c>
      <c r="H110" s="111">
        <f t="shared" si="7"/>
        <v>0.16291807448247075</v>
      </c>
      <c r="I110" s="19"/>
      <c r="J110" s="8"/>
      <c r="K110" s="11"/>
      <c r="L110" s="16"/>
      <c r="M110" s="16"/>
      <c r="N110" s="16"/>
      <c r="O110" s="16"/>
      <c r="P110" s="16"/>
      <c r="Q110" s="16"/>
      <c r="R110" s="16"/>
      <c r="S110" s="16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</row>
    <row r="111" spans="1:111" x14ac:dyDescent="0.25">
      <c r="A111" s="8"/>
      <c r="B111" s="17"/>
      <c r="C111" s="18"/>
      <c r="D111" s="18"/>
      <c r="E111" s="74">
        <f t="shared" si="9"/>
        <v>4.8999999999999906</v>
      </c>
      <c r="F111" s="107">
        <f t="shared" si="8"/>
        <v>218.11779048502873</v>
      </c>
      <c r="G111" s="110">
        <f t="shared" si="6"/>
        <v>0.16316597771875518</v>
      </c>
      <c r="H111" s="111">
        <f t="shared" si="7"/>
        <v>0.16445131877586694</v>
      </c>
      <c r="I111" s="19"/>
      <c r="J111" s="8"/>
      <c r="K111" s="11"/>
      <c r="L111" s="16"/>
      <c r="M111" s="16"/>
      <c r="N111" s="16"/>
      <c r="O111" s="16"/>
      <c r="P111" s="16"/>
      <c r="Q111" s="16"/>
      <c r="R111" s="16"/>
      <c r="S111" s="16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</row>
    <row r="112" spans="1:111" x14ac:dyDescent="0.25">
      <c r="A112" s="8"/>
      <c r="B112" s="17"/>
      <c r="C112" s="18"/>
      <c r="D112" s="18"/>
      <c r="E112" s="74">
        <f t="shared" si="9"/>
        <v>4.9499999999999904</v>
      </c>
      <c r="F112" s="107">
        <f t="shared" si="8"/>
        <v>219.07264634244348</v>
      </c>
      <c r="G112" s="110">
        <f t="shared" si="6"/>
        <v>0.16534343090453862</v>
      </c>
      <c r="H112" s="111">
        <f t="shared" si="7"/>
        <v>0.1659817546965201</v>
      </c>
      <c r="I112" s="19"/>
      <c r="J112" s="8"/>
      <c r="K112" s="11"/>
      <c r="L112" s="16"/>
      <c r="M112" s="16"/>
      <c r="N112" s="16"/>
      <c r="O112" s="16"/>
      <c r="P112" s="16"/>
      <c r="Q112" s="16"/>
      <c r="R112" s="16"/>
      <c r="S112" s="16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</row>
    <row r="113" spans="1:111" x14ac:dyDescent="0.25">
      <c r="A113" s="8"/>
      <c r="B113" s="17"/>
      <c r="C113" s="18"/>
      <c r="D113" s="18"/>
      <c r="E113" s="74">
        <f t="shared" si="9"/>
        <v>4.9999999999999902</v>
      </c>
      <c r="F113" s="107">
        <f t="shared" si="8"/>
        <v>219.99999999999883</v>
      </c>
      <c r="G113" s="110">
        <f t="shared" si="6"/>
        <v>0.16750938738839627</v>
      </c>
      <c r="H113" s="111">
        <f t="shared" si="7"/>
        <v>0.16750938738839705</v>
      </c>
      <c r="I113" s="19"/>
      <c r="J113" s="8"/>
      <c r="K113" s="11"/>
      <c r="L113" s="16"/>
      <c r="M113" s="16"/>
      <c r="N113" s="16"/>
      <c r="O113" s="16"/>
      <c r="P113" s="16"/>
      <c r="Q113" s="16"/>
      <c r="R113" s="16"/>
      <c r="S113" s="16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</row>
    <row r="114" spans="1:111" x14ac:dyDescent="0.25">
      <c r="A114" s="8"/>
      <c r="B114" s="17"/>
      <c r="C114" s="18"/>
      <c r="D114" s="18"/>
      <c r="E114" s="74">
        <f t="shared" si="9"/>
        <v>5.0499999999999901</v>
      </c>
      <c r="F114" s="107">
        <f t="shared" si="8"/>
        <v>220.89881126654461</v>
      </c>
      <c r="G114" s="110">
        <f t="shared" si="6"/>
        <v>0.16966260944986644</v>
      </c>
      <c r="H114" s="111">
        <f t="shared" si="7"/>
        <v>0.16903422198604223</v>
      </c>
      <c r="I114" s="19"/>
      <c r="J114" s="8"/>
      <c r="K114" s="11"/>
      <c r="L114" s="16"/>
      <c r="M114" s="16"/>
      <c r="N114" s="16"/>
      <c r="O114" s="16"/>
      <c r="P114" s="16"/>
      <c r="Q114" s="16"/>
      <c r="R114" s="16"/>
      <c r="S114" s="16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</row>
    <row r="115" spans="1:111" x14ac:dyDescent="0.25">
      <c r="A115" s="8"/>
      <c r="B115" s="17"/>
      <c r="C115" s="18"/>
      <c r="D115" s="18"/>
      <c r="E115" s="74">
        <f t="shared" si="9"/>
        <v>5.0999999999999899</v>
      </c>
      <c r="F115" s="107">
        <f t="shared" si="8"/>
        <v>221.76936632832104</v>
      </c>
      <c r="G115" s="110">
        <f t="shared" si="6"/>
        <v>0.1718027773710018</v>
      </c>
      <c r="H115" s="111">
        <f t="shared" si="7"/>
        <v>0.17055626361459575</v>
      </c>
      <c r="I115" s="19"/>
      <c r="J115" s="8"/>
      <c r="K115" s="11"/>
      <c r="L115" s="16"/>
      <c r="M115" s="16"/>
      <c r="N115" s="16"/>
      <c r="O115" s="16"/>
      <c r="P115" s="16"/>
      <c r="Q115" s="16"/>
      <c r="R115" s="16"/>
      <c r="S115" s="16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</row>
    <row r="116" spans="1:111" x14ac:dyDescent="0.25">
      <c r="A116" s="8"/>
      <c r="B116" s="17"/>
      <c r="C116" s="18"/>
      <c r="D116" s="18"/>
      <c r="E116" s="74">
        <f t="shared" si="9"/>
        <v>5.1499999999999897</v>
      </c>
      <c r="F116" s="107">
        <f t="shared" si="8"/>
        <v>222.61227974865668</v>
      </c>
      <c r="G116" s="110">
        <f t="shared" si="6"/>
        <v>0.17392981564464072</v>
      </c>
      <c r="H116" s="111">
        <f t="shared" si="7"/>
        <v>0.17207551738981008</v>
      </c>
      <c r="I116" s="19"/>
      <c r="J116" s="8"/>
      <c r="K116" s="11"/>
      <c r="L116" s="16"/>
      <c r="M116" s="16"/>
      <c r="N116" s="16"/>
      <c r="O116" s="16"/>
      <c r="P116" s="16"/>
      <c r="Q116" s="16"/>
      <c r="R116" s="16"/>
      <c r="S116" s="16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</row>
    <row r="117" spans="1:111" x14ac:dyDescent="0.25">
      <c r="A117" s="8"/>
      <c r="B117" s="17"/>
      <c r="C117" s="18"/>
      <c r="D117" s="18"/>
      <c r="E117" s="74">
        <f t="shared" si="9"/>
        <v>5.1999999999999895</v>
      </c>
      <c r="F117" s="107">
        <f t="shared" si="8"/>
        <v>223.42816922879874</v>
      </c>
      <c r="G117" s="110">
        <f t="shared" si="6"/>
        <v>0.17604366885886713</v>
      </c>
      <c r="H117" s="111">
        <f t="shared" si="7"/>
        <v>0.17359198841806722</v>
      </c>
      <c r="I117" s="19"/>
      <c r="J117" s="8"/>
      <c r="K117" s="11"/>
      <c r="L117" s="16"/>
      <c r="M117" s="16"/>
      <c r="N117" s="16"/>
      <c r="O117" s="16"/>
      <c r="P117" s="16"/>
      <c r="Q117" s="16"/>
      <c r="R117" s="16"/>
      <c r="S117" s="16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</row>
    <row r="118" spans="1:111" x14ac:dyDescent="0.25">
      <c r="A118" s="8"/>
      <c r="B118" s="17"/>
      <c r="C118" s="18"/>
      <c r="D118" s="18"/>
      <c r="E118" s="74">
        <f t="shared" si="9"/>
        <v>5.2499999999999893</v>
      </c>
      <c r="F118" s="107">
        <f t="shared" si="8"/>
        <v>224.21764959022275</v>
      </c>
      <c r="G118" s="110">
        <f t="shared" si="6"/>
        <v>0.17814429721388914</v>
      </c>
      <c r="H118" s="111">
        <f t="shared" si="7"/>
        <v>0.1751056817963963</v>
      </c>
      <c r="I118" s="19"/>
      <c r="J118" s="8"/>
      <c r="K118" s="11"/>
      <c r="L118" s="16"/>
      <c r="M118" s="16"/>
      <c r="N118" s="16"/>
      <c r="O118" s="16"/>
      <c r="P118" s="16"/>
      <c r="Q118" s="16"/>
      <c r="R118" s="16"/>
      <c r="S118" s="16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</row>
    <row r="119" spans="1:111" x14ac:dyDescent="0.25">
      <c r="A119" s="8"/>
      <c r="B119" s="17"/>
      <c r="C119" s="18"/>
      <c r="D119" s="18"/>
      <c r="E119" s="74">
        <f t="shared" si="9"/>
        <v>5.2999999999999892</v>
      </c>
      <c r="F119" s="107">
        <f t="shared" si="8"/>
        <v>224.98133774711474</v>
      </c>
      <c r="G119" s="110">
        <f t="shared" si="6"/>
        <v>0.18023167981945931</v>
      </c>
      <c r="H119" s="111">
        <f t="shared" si="7"/>
        <v>0.17661660261249046</v>
      </c>
      <c r="I119" s="19"/>
      <c r="J119" s="8"/>
      <c r="K119" s="11"/>
      <c r="L119" s="16"/>
      <c r="M119" s="16"/>
      <c r="N119" s="16"/>
      <c r="O119" s="16"/>
      <c r="P119" s="16"/>
      <c r="Q119" s="16"/>
      <c r="R119" s="16"/>
      <c r="S119" s="16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</row>
    <row r="120" spans="1:111" x14ac:dyDescent="0.25">
      <c r="A120" s="8"/>
      <c r="B120" s="17"/>
      <c r="C120" s="18"/>
      <c r="D120" s="18"/>
      <c r="E120" s="74">
        <f t="shared" si="9"/>
        <v>5.349999999999989</v>
      </c>
      <c r="F120" s="107">
        <f t="shared" si="8"/>
        <v>225.71985037272378</v>
      </c>
      <c r="G120" s="110">
        <f t="shared" si="6"/>
        <v>0.18230581281904668</v>
      </c>
      <c r="H120" s="111">
        <f t="shared" si="7"/>
        <v>0.17812475594472377</v>
      </c>
      <c r="I120" s="19"/>
      <c r="J120" s="8"/>
      <c r="K120" s="11"/>
      <c r="L120" s="16"/>
      <c r="M120" s="16"/>
      <c r="N120" s="16"/>
      <c r="O120" s="16"/>
      <c r="P120" s="16"/>
      <c r="Q120" s="16"/>
      <c r="R120" s="16"/>
      <c r="S120" s="16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</row>
    <row r="121" spans="1:111" x14ac:dyDescent="0.25">
      <c r="A121" s="8"/>
      <c r="B121" s="17"/>
      <c r="C121" s="18"/>
      <c r="D121" s="18"/>
      <c r="E121" s="74">
        <f t="shared" si="9"/>
        <v>5.3999999999999888</v>
      </c>
      <c r="F121" s="107">
        <f t="shared" si="8"/>
        <v>226.43380264993095</v>
      </c>
      <c r="G121" s="110">
        <f t="shared" si="6"/>
        <v>0.18436670824384371</v>
      </c>
      <c r="H121" s="111">
        <f t="shared" si="7"/>
        <v>0.1796301468621686</v>
      </c>
      <c r="I121" s="19"/>
      <c r="J121" s="8"/>
      <c r="K121" s="11"/>
      <c r="L121" s="16"/>
      <c r="M121" s="16"/>
      <c r="N121" s="16"/>
      <c r="O121" s="16"/>
      <c r="P121" s="16"/>
      <c r="Q121" s="16"/>
      <c r="R121" s="16"/>
      <c r="S121" s="16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</row>
    <row r="122" spans="1:111" x14ac:dyDescent="0.25">
      <c r="A122" s="8"/>
      <c r="B122" s="17"/>
      <c r="C122" s="18"/>
      <c r="D122" s="18"/>
      <c r="E122" s="74">
        <f t="shared" si="9"/>
        <v>5.4499999999999886</v>
      </c>
      <c r="F122" s="107">
        <f t="shared" si="8"/>
        <v>227.12381167764076</v>
      </c>
      <c r="G122" s="110">
        <f t="shared" si="6"/>
        <v>0.18641439627464107</v>
      </c>
      <c r="H122" s="111">
        <f t="shared" si="7"/>
        <v>0.18113278042461256</v>
      </c>
      <c r="I122" s="19"/>
      <c r="J122" s="8"/>
      <c r="K122" s="11"/>
      <c r="L122" s="16"/>
      <c r="M122" s="16"/>
      <c r="N122" s="16"/>
      <c r="O122" s="16"/>
      <c r="P122" s="16"/>
      <c r="Q122" s="16"/>
      <c r="R122" s="16"/>
      <c r="S122" s="16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</row>
    <row r="123" spans="1:111" x14ac:dyDescent="0.25">
      <c r="A123" s="8"/>
      <c r="B123" s="17"/>
      <c r="C123" s="18"/>
      <c r="D123" s="18"/>
      <c r="E123" s="74">
        <f t="shared" si="9"/>
        <v>5.4999999999999885</v>
      </c>
      <c r="F123" s="107">
        <f t="shared" si="8"/>
        <v>227.7904928624616</v>
      </c>
      <c r="G123" s="110">
        <f t="shared" si="6"/>
        <v>0.1884489223903526</v>
      </c>
      <c r="H123" s="111">
        <f t="shared" si="7"/>
        <v>0.18263266168257541</v>
      </c>
      <c r="I123" s="19"/>
      <c r="J123" s="8"/>
      <c r="K123" s="11"/>
      <c r="L123" s="16"/>
      <c r="M123" s="16"/>
      <c r="N123" s="16"/>
      <c r="O123" s="16"/>
      <c r="P123" s="16"/>
      <c r="Q123" s="16"/>
      <c r="R123" s="16"/>
      <c r="S123" s="16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</row>
    <row r="124" spans="1:111" x14ac:dyDescent="0.25">
      <c r="A124" s="8"/>
      <c r="B124" s="17"/>
      <c r="C124" s="18"/>
      <c r="D124" s="18"/>
      <c r="E124" s="74">
        <f t="shared" si="9"/>
        <v>5.5499999999999883</v>
      </c>
      <c r="F124" s="107">
        <f t="shared" si="8"/>
        <v>228.43446282171067</v>
      </c>
      <c r="G124" s="110">
        <f t="shared" si="6"/>
        <v>0.1904703492898252</v>
      </c>
      <c r="H124" s="111">
        <f t="shared" si="7"/>
        <v>0.18412979567732601</v>
      </c>
      <c r="I124" s="19"/>
      <c r="J124" s="8"/>
      <c r="K124" s="11"/>
      <c r="L124" s="16"/>
      <c r="M124" s="16"/>
      <c r="N124" s="16"/>
      <c r="O124" s="16"/>
      <c r="P124" s="16"/>
      <c r="Q124" s="16"/>
      <c r="R124" s="16"/>
      <c r="S124" s="16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</row>
    <row r="125" spans="1:111" x14ac:dyDescent="0.25">
      <c r="A125" s="8"/>
      <c r="B125" s="17"/>
      <c r="C125" s="18"/>
      <c r="D125" s="18"/>
      <c r="E125" s="74">
        <f t="shared" si="9"/>
        <v>5.5999999999999881</v>
      </c>
      <c r="F125" s="107">
        <f t="shared" si="8"/>
        <v>229.0563379661877</v>
      </c>
      <c r="G125" s="110">
        <f t="shared" si="6"/>
        <v>0.19247875564699768</v>
      </c>
      <c r="H125" s="111">
        <f t="shared" si="7"/>
        <v>0.18562418744089959</v>
      </c>
      <c r="I125" s="19"/>
      <c r="J125" s="8"/>
      <c r="K125" s="11"/>
      <c r="L125" s="16"/>
      <c r="M125" s="16"/>
      <c r="N125" s="16"/>
      <c r="O125" s="16"/>
      <c r="P125" s="16"/>
      <c r="Q125" s="16"/>
      <c r="R125" s="16"/>
      <c r="S125" s="16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</row>
    <row r="126" spans="1:111" x14ac:dyDescent="0.25">
      <c r="A126" s="8"/>
      <c r="B126" s="17"/>
      <c r="C126" s="18"/>
      <c r="D126" s="18"/>
      <c r="E126" s="74">
        <f t="shared" si="9"/>
        <v>5.6499999999999879</v>
      </c>
      <c r="F126" s="107">
        <f t="shared" si="8"/>
        <v>229.65673401227727</v>
      </c>
      <c r="G126" s="110">
        <f t="shared" si="6"/>
        <v>0.19447423553335441</v>
      </c>
      <c r="H126" s="111">
        <f t="shared" si="7"/>
        <v>0.18711584199611431</v>
      </c>
      <c r="I126" s="19"/>
      <c r="J126" s="8"/>
      <c r="K126" s="11"/>
      <c r="L126" s="16"/>
      <c r="M126" s="16"/>
      <c r="N126" s="16"/>
      <c r="O126" s="16"/>
      <c r="P126" s="16"/>
      <c r="Q126" s="16"/>
      <c r="R126" s="16"/>
      <c r="S126" s="16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</row>
    <row r="127" spans="1:111" x14ac:dyDescent="0.25">
      <c r="A127" s="8"/>
      <c r="B127" s="17"/>
      <c r="C127" s="18"/>
      <c r="D127" s="18"/>
      <c r="E127" s="74">
        <f t="shared" si="9"/>
        <v>5.6999999999999877</v>
      </c>
      <c r="F127" s="107">
        <f t="shared" si="8"/>
        <v>230.23626754259018</v>
      </c>
      <c r="G127" s="110">
        <f t="shared" si="6"/>
        <v>0.19645689939403532</v>
      </c>
      <c r="H127" s="111">
        <f t="shared" si="7"/>
        <v>0.18860476435658824</v>
      </c>
      <c r="I127" s="19"/>
      <c r="J127" s="8"/>
      <c r="K127" s="11"/>
      <c r="L127" s="16"/>
      <c r="M127" s="16"/>
      <c r="N127" s="16"/>
      <c r="O127" s="16"/>
      <c r="P127" s="16"/>
      <c r="Q127" s="16"/>
      <c r="R127" s="16"/>
      <c r="S127" s="16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</row>
    <row r="128" spans="1:111" x14ac:dyDescent="0.25">
      <c r="A128" s="8"/>
      <c r="B128" s="17"/>
      <c r="C128" s="18"/>
      <c r="D128" s="18"/>
      <c r="E128" s="74">
        <f t="shared" si="9"/>
        <v>5.7499999999999876</v>
      </c>
      <c r="F128" s="107">
        <f t="shared" si="8"/>
        <v>230.79555446281881</v>
      </c>
      <c r="G128" s="110">
        <f t="shared" si="6"/>
        <v>0.19842687268881765</v>
      </c>
      <c r="H128" s="111">
        <f t="shared" si="7"/>
        <v>0.19009095952675625</v>
      </c>
      <c r="I128" s="19"/>
      <c r="J128" s="8"/>
      <c r="K128" s="11"/>
      <c r="L128" s="16"/>
      <c r="M128" s="16"/>
      <c r="N128" s="16"/>
      <c r="O128" s="16"/>
      <c r="P128" s="16"/>
      <c r="Q128" s="16"/>
      <c r="R128" s="16"/>
      <c r="S128" s="16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</row>
    <row r="129" spans="1:111" x14ac:dyDescent="0.25">
      <c r="A129" s="8"/>
      <c r="B129" s="17"/>
      <c r="C129" s="18"/>
      <c r="D129" s="18"/>
      <c r="E129" s="74">
        <f t="shared" si="9"/>
        <v>5.7999999999999874</v>
      </c>
      <c r="F129" s="107">
        <f t="shared" si="8"/>
        <v>231.33521113643584</v>
      </c>
      <c r="G129" s="110">
        <f t="shared" si="6"/>
        <v>0.20038429656216716</v>
      </c>
      <c r="H129" s="111">
        <f t="shared" si="7"/>
        <v>0.19157443250188688</v>
      </c>
      <c r="I129" s="19"/>
      <c r="J129" s="8"/>
      <c r="K129" s="11"/>
      <c r="L129" s="16"/>
      <c r="M129" s="16"/>
      <c r="N129" s="16"/>
      <c r="O129" s="16"/>
      <c r="P129" s="16"/>
      <c r="Q129" s="16"/>
      <c r="R129" s="16"/>
      <c r="S129" s="16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</row>
    <row r="130" spans="1:111" x14ac:dyDescent="0.25">
      <c r="A130" s="8"/>
      <c r="B130" s="17"/>
      <c r="C130" s="18"/>
      <c r="D130" s="18"/>
      <c r="E130" s="74">
        <f t="shared" si="9"/>
        <v>5.8499999999999872</v>
      </c>
      <c r="F130" s="107">
        <f t="shared" si="8"/>
        <v>231.8558537548162</v>
      </c>
      <c r="G130" s="110">
        <f t="shared" si="6"/>
        <v>0.2023293271773029</v>
      </c>
      <c r="H130" s="111">
        <f t="shared" si="7"/>
        <v>0.19305518826809909</v>
      </c>
      <c r="I130" s="19"/>
      <c r="J130" s="8"/>
      <c r="K130" s="11"/>
      <c r="L130" s="16"/>
      <c r="M130" s="16"/>
      <c r="N130" s="16"/>
      <c r="O130" s="16"/>
      <c r="P130" s="16"/>
      <c r="Q130" s="16"/>
      <c r="R130" s="16"/>
      <c r="S130" s="16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</row>
    <row r="131" spans="1:111" x14ac:dyDescent="0.25">
      <c r="A131" s="8"/>
      <c r="B131" s="17"/>
      <c r="C131" s="18"/>
      <c r="D131" s="18"/>
      <c r="E131" s="74">
        <f t="shared" si="9"/>
        <v>5.899999999999987</v>
      </c>
      <c r="F131" s="107">
        <f t="shared" si="8"/>
        <v>232.35809848179906</v>
      </c>
      <c r="G131" s="110">
        <f t="shared" si="6"/>
        <v>0.20426213564177453</v>
      </c>
      <c r="H131" s="111">
        <f t="shared" si="7"/>
        <v>0.19453323180237869</v>
      </c>
      <c r="I131" s="19"/>
      <c r="J131" s="8"/>
      <c r="K131" s="11"/>
      <c r="L131" s="16"/>
      <c r="M131" s="16"/>
      <c r="N131" s="16"/>
      <c r="O131" s="16"/>
      <c r="P131" s="16"/>
      <c r="Q131" s="16"/>
      <c r="R131" s="16"/>
      <c r="S131" s="16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</row>
    <row r="132" spans="1:111" x14ac:dyDescent="0.25">
      <c r="A132" s="8"/>
      <c r="B132" s="17"/>
      <c r="C132" s="18"/>
      <c r="D132" s="18"/>
      <c r="E132" s="74">
        <f t="shared" si="9"/>
        <v>5.9499999999999869</v>
      </c>
      <c r="F132" s="107">
        <f t="shared" si="8"/>
        <v>232.84255384035592</v>
      </c>
      <c r="G132" s="110">
        <f t="shared" si="6"/>
        <v>0.20618290183366672</v>
      </c>
      <c r="H132" s="111">
        <f t="shared" si="7"/>
        <v>0.19600856807259592</v>
      </c>
      <c r="I132" s="19"/>
      <c r="J132" s="8"/>
      <c r="K132" s="11"/>
      <c r="L132" s="16"/>
      <c r="M132" s="16"/>
      <c r="N132" s="16"/>
      <c r="O132" s="16"/>
      <c r="P132" s="16"/>
      <c r="Q132" s="16"/>
      <c r="R132" s="16"/>
      <c r="S132" s="16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</row>
    <row r="133" spans="1:111" x14ac:dyDescent="0.25">
      <c r="A133" s="8"/>
      <c r="B133" s="17"/>
      <c r="C133" s="18"/>
      <c r="D133" s="18"/>
      <c r="E133" s="74">
        <f t="shared" si="9"/>
        <v>5.9999999999999867</v>
      </c>
      <c r="F133" s="107">
        <f t="shared" si="8"/>
        <v>233.3098590373977</v>
      </c>
      <c r="G133" s="110">
        <f t="shared" si="6"/>
        <v>0.20809184439500528</v>
      </c>
      <c r="H133" s="111">
        <f t="shared" si="7"/>
        <v>0.19748120203752106</v>
      </c>
      <c r="I133" s="19"/>
      <c r="J133" s="8"/>
      <c r="K133" s="11"/>
      <c r="L133" s="16"/>
      <c r="M133" s="16"/>
      <c r="N133" s="16"/>
      <c r="O133" s="16"/>
      <c r="P133" s="16"/>
      <c r="Q133" s="16"/>
      <c r="R133" s="16"/>
      <c r="S133" s="16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</row>
    <row r="134" spans="1:111" x14ac:dyDescent="0.25">
      <c r="A134" s="8"/>
      <c r="B134" s="17"/>
      <c r="C134" s="18"/>
      <c r="D134" s="18"/>
      <c r="E134" s="74">
        <f t="shared" si="9"/>
        <v>6.0499999999999865</v>
      </c>
      <c r="F134" s="107">
        <f t="shared" si="8"/>
        <v>233.76060726324806</v>
      </c>
      <c r="G134" s="110">
        <f t="shared" si="6"/>
        <v>0.20998916017976921</v>
      </c>
      <c r="H134" s="111">
        <f t="shared" si="7"/>
        <v>0.19895113864684211</v>
      </c>
      <c r="I134" s="19"/>
      <c r="J134" s="8"/>
      <c r="K134" s="11"/>
      <c r="L134" s="16"/>
      <c r="M134" s="16"/>
      <c r="N134" s="16"/>
      <c r="O134" s="16"/>
      <c r="P134" s="16"/>
      <c r="Q134" s="16"/>
      <c r="R134" s="16"/>
      <c r="S134" s="16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</row>
    <row r="135" spans="1:111" x14ac:dyDescent="0.25">
      <c r="A135" s="8"/>
      <c r="B135" s="17"/>
      <c r="C135" s="18"/>
      <c r="D135" s="18"/>
      <c r="E135" s="74">
        <f t="shared" si="9"/>
        <v>6.0999999999999863</v>
      </c>
      <c r="F135" s="107">
        <f t="shared" si="8"/>
        <v>234.19542238471266</v>
      </c>
      <c r="G135" s="110">
        <f t="shared" si="6"/>
        <v>0.21187508445665604</v>
      </c>
      <c r="H135" s="111">
        <f t="shared" si="7"/>
        <v>0.20041838284118063</v>
      </c>
      <c r="I135" s="19"/>
      <c r="J135" s="8"/>
      <c r="K135" s="9"/>
      <c r="L135" s="9"/>
      <c r="M135" s="9"/>
      <c r="N135" s="9"/>
      <c r="O135" s="9"/>
      <c r="P135" s="9"/>
      <c r="Q135" s="9"/>
      <c r="R135" s="9"/>
      <c r="S135" s="9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</row>
    <row r="136" spans="1:111" x14ac:dyDescent="0.25">
      <c r="A136" s="8"/>
      <c r="B136" s="17"/>
      <c r="C136" s="18"/>
      <c r="D136" s="18"/>
      <c r="E136" s="74">
        <f t="shared" si="9"/>
        <v>6.1499999999999861</v>
      </c>
      <c r="F136" s="107">
        <f t="shared" si="8"/>
        <v>234.61492070459971</v>
      </c>
      <c r="G136" s="110">
        <f t="shared" si="6"/>
        <v>0.21374986064089208</v>
      </c>
      <c r="H136" s="111">
        <f t="shared" si="7"/>
        <v>0.20188293955210856</v>
      </c>
      <c r="I136" s="19"/>
      <c r="J136" s="8"/>
      <c r="K136" s="9"/>
      <c r="L136" s="9"/>
      <c r="M136" s="9"/>
      <c r="N136" s="9"/>
      <c r="O136" s="9"/>
      <c r="P136" s="9"/>
      <c r="Q136" s="9"/>
      <c r="R136" s="9"/>
      <c r="S136" s="9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</row>
    <row r="137" spans="1:111" x14ac:dyDescent="0.25">
      <c r="A137" s="8"/>
      <c r="B137" s="17"/>
      <c r="C137" s="18"/>
      <c r="D137" s="18"/>
      <c r="E137" s="74">
        <f t="shared" si="9"/>
        <v>6.199999999999986</v>
      </c>
      <c r="F137" s="107">
        <f t="shared" si="8"/>
        <v>235.01971822454615</v>
      </c>
      <c r="G137" s="110">
        <f t="shared" si="6"/>
        <v>0.21561374584014059</v>
      </c>
      <c r="H137" s="111">
        <f t="shared" si="7"/>
        <v>0.20334481370216539</v>
      </c>
      <c r="I137" s="19"/>
      <c r="J137" s="8"/>
      <c r="K137" s="11"/>
      <c r="L137" s="16"/>
      <c r="M137" s="16"/>
      <c r="N137" s="16"/>
      <c r="O137" s="16"/>
      <c r="P137" s="16"/>
      <c r="Q137" s="16"/>
      <c r="R137" s="16"/>
      <c r="S137" s="16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</row>
    <row r="138" spans="1:111" x14ac:dyDescent="0.25">
      <c r="A138" s="8"/>
      <c r="B138" s="17"/>
      <c r="C138" s="18"/>
      <c r="D138" s="18"/>
      <c r="E138" s="74">
        <f t="shared" si="9"/>
        <v>6.2499999999999858</v>
      </c>
      <c r="F138" s="107">
        <f t="shared" si="8"/>
        <v>235.41043123230168</v>
      </c>
      <c r="G138" s="110">
        <f t="shared" si="6"/>
        <v>0.21746701116456313</v>
      </c>
      <c r="H138" s="111">
        <f t="shared" si="7"/>
        <v>0.20480401020487382</v>
      </c>
      <c r="I138" s="19"/>
      <c r="J138" s="8"/>
      <c r="K138" s="11"/>
      <c r="L138" s="16"/>
      <c r="M138" s="16"/>
      <c r="N138" s="16"/>
      <c r="O138" s="16"/>
      <c r="P138" s="16"/>
      <c r="Q138" s="16"/>
      <c r="R138" s="16"/>
      <c r="S138" s="16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</row>
    <row r="139" spans="1:111" x14ac:dyDescent="0.25">
      <c r="A139" s="8"/>
      <c r="B139" s="17"/>
      <c r="C139" s="18"/>
      <c r="D139" s="18"/>
      <c r="E139" s="74">
        <f t="shared" si="9"/>
        <v>6.2999999999999856</v>
      </c>
      <c r="F139" s="107">
        <f t="shared" si="8"/>
        <v>235.78767592555138</v>
      </c>
      <c r="G139" s="110">
        <f t="shared" si="6"/>
        <v>0.21930994126584125</v>
      </c>
      <c r="H139" s="111">
        <f t="shared" si="7"/>
        <v>0.20626053396475685</v>
      </c>
      <c r="I139" s="19"/>
      <c r="J139" s="8"/>
      <c r="K139" s="11"/>
      <c r="L139" s="16"/>
      <c r="M139" s="16"/>
      <c r="N139" s="16"/>
      <c r="O139" s="16"/>
      <c r="P139" s="16"/>
      <c r="Q139" s="16"/>
      <c r="R139" s="16"/>
      <c r="S139" s="16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</row>
    <row r="140" spans="1:111" x14ac:dyDescent="0.25">
      <c r="A140" s="8"/>
      <c r="B140" s="17"/>
      <c r="C140" s="18"/>
      <c r="D140" s="18"/>
      <c r="E140" s="74">
        <f t="shared" si="9"/>
        <v>6.3499999999999854</v>
      </c>
      <c r="F140" s="107">
        <f t="shared" si="8"/>
        <v>236.15206850198044</v>
      </c>
      <c r="G140" s="110">
        <f t="shared" ref="G140:G203" si="10">1-EXP(-E140*F140/(1-RecoveryRate)/10000)</f>
        <v>0.22114283425242831</v>
      </c>
      <c r="H140" s="111">
        <f t="shared" ref="H140:H203" si="11">1-EXP(-E140*fiveyrspread/(1-RecoveryRate)/10000)</f>
        <v>0.20771438987735402</v>
      </c>
      <c r="I140" s="19"/>
      <c r="J140" s="8"/>
      <c r="K140" s="11"/>
      <c r="L140" s="16"/>
      <c r="M140" s="16"/>
      <c r="N140" s="16"/>
      <c r="O140" s="16"/>
      <c r="P140" s="16"/>
      <c r="Q140" s="16"/>
      <c r="R140" s="16"/>
      <c r="S140" s="16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</row>
    <row r="141" spans="1:111" x14ac:dyDescent="0.25">
      <c r="A141" s="8"/>
      <c r="B141" s="17"/>
      <c r="C141" s="18"/>
      <c r="D141" s="18"/>
      <c r="E141" s="74">
        <f t="shared" si="9"/>
        <v>6.3999999999999853</v>
      </c>
      <c r="F141" s="107">
        <f t="shared" ref="F141:F204" si="12">CubicSpline($B$34:$B$38,$C$11:$C$15,E141)</f>
        <v>236.50422532678257</v>
      </c>
      <c r="G141" s="110">
        <f t="shared" si="10"/>
        <v>0.22296600167358671</v>
      </c>
      <c r="H141" s="111">
        <f t="shared" si="11"/>
        <v>0.20916558282923792</v>
      </c>
      <c r="I141" s="19"/>
      <c r="J141" s="8"/>
      <c r="K141" s="11"/>
      <c r="L141" s="16"/>
      <c r="M141" s="16"/>
      <c r="N141" s="16"/>
      <c r="O141" s="16"/>
      <c r="P141" s="16"/>
      <c r="Q141" s="16"/>
      <c r="R141" s="16"/>
      <c r="S141" s="16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</row>
    <row r="142" spans="1:111" x14ac:dyDescent="0.25">
      <c r="A142" s="8"/>
      <c r="B142" s="17"/>
      <c r="C142" s="18"/>
      <c r="D142" s="18"/>
      <c r="E142" s="74">
        <f t="shared" si="9"/>
        <v>6.4499999999999851</v>
      </c>
      <c r="F142" s="107">
        <f t="shared" si="12"/>
        <v>236.84476227252125</v>
      </c>
      <c r="G142" s="110">
        <f t="shared" si="10"/>
        <v>0.22477976782015807</v>
      </c>
      <c r="H142" s="111">
        <f t="shared" si="11"/>
        <v>0.21061411769803073</v>
      </c>
      <c r="I142" s="19"/>
      <c r="J142" s="8"/>
      <c r="K142" s="11"/>
      <c r="L142" s="16"/>
      <c r="M142" s="16"/>
      <c r="N142" s="16"/>
      <c r="O142" s="16"/>
      <c r="P142" s="16"/>
      <c r="Q142" s="16"/>
      <c r="R142" s="16"/>
      <c r="S142" s="16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</row>
    <row r="143" spans="1:111" x14ac:dyDescent="0.25">
      <c r="A143" s="8"/>
      <c r="B143" s="17"/>
      <c r="C143" s="18"/>
      <c r="D143" s="18"/>
      <c r="E143" s="74">
        <f t="shared" si="9"/>
        <v>6.4999999999999849</v>
      </c>
      <c r="F143" s="107">
        <f t="shared" si="12"/>
        <v>237.17429569363412</v>
      </c>
      <c r="G143" s="110">
        <f t="shared" si="10"/>
        <v>0.22658447037876361</v>
      </c>
      <c r="H143" s="111">
        <f t="shared" si="11"/>
        <v>0.21205999935242037</v>
      </c>
      <c r="I143" s="19"/>
      <c r="J143" s="8"/>
      <c r="K143" s="11"/>
      <c r="L143" s="16"/>
      <c r="M143" s="16"/>
      <c r="N143" s="16"/>
      <c r="O143" s="16"/>
      <c r="P143" s="16"/>
      <c r="Q143" s="16"/>
      <c r="R143" s="16"/>
      <c r="S143" s="16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</row>
    <row r="144" spans="1:111" x14ac:dyDescent="0.25">
      <c r="A144" s="8"/>
      <c r="B144" s="17"/>
      <c r="C144" s="18"/>
      <c r="D144" s="18"/>
      <c r="E144" s="74">
        <f t="shared" si="9"/>
        <v>6.5499999999999847</v>
      </c>
      <c r="F144" s="107">
        <f t="shared" si="12"/>
        <v>237.49344178780635</v>
      </c>
      <c r="G144" s="110">
        <f t="shared" si="10"/>
        <v>0.2283804597550505</v>
      </c>
      <c r="H144" s="111">
        <f t="shared" si="11"/>
        <v>0.21350323265217719</v>
      </c>
      <c r="I144" s="19"/>
      <c r="J144" s="8"/>
      <c r="K144" s="11"/>
      <c r="L144" s="16"/>
      <c r="M144" s="16"/>
      <c r="N144" s="16"/>
      <c r="O144" s="16"/>
      <c r="P144" s="16"/>
      <c r="Q144" s="16"/>
      <c r="R144" s="16"/>
      <c r="S144" s="16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</row>
    <row r="145" spans="1:111" x14ac:dyDescent="0.25">
      <c r="A145" s="8"/>
      <c r="B145" s="8"/>
      <c r="C145" s="8"/>
      <c r="D145" s="8"/>
      <c r="E145" s="74">
        <f t="shared" si="9"/>
        <v>6.5999999999999845</v>
      </c>
      <c r="F145" s="107">
        <f t="shared" si="12"/>
        <v>237.80281685368706</v>
      </c>
      <c r="G145" s="110">
        <f t="shared" si="10"/>
        <v>0.23016809913999803</v>
      </c>
      <c r="H145" s="111">
        <f t="shared" si="11"/>
        <v>0.21494382244817012</v>
      </c>
      <c r="I145" s="8"/>
      <c r="J145" s="8"/>
      <c r="K145" s="11"/>
      <c r="L145" s="16"/>
      <c r="M145" s="16"/>
      <c r="N145" s="16"/>
      <c r="O145" s="16"/>
      <c r="P145" s="16"/>
      <c r="Q145" s="16"/>
      <c r="R145" s="16"/>
      <c r="S145" s="16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</row>
    <row r="146" spans="1:111" x14ac:dyDescent="0.25">
      <c r="A146" s="8"/>
      <c r="B146" s="8"/>
      <c r="C146" s="8"/>
      <c r="D146" s="8"/>
      <c r="E146" s="74">
        <f t="shared" ref="E146:E209" si="13">E145+0.05</f>
        <v>6.6499999999999844</v>
      </c>
      <c r="F146" s="107">
        <f t="shared" si="12"/>
        <v>238.10303689026009</v>
      </c>
      <c r="G146" s="110">
        <f t="shared" si="10"/>
        <v>0.23194776402376993</v>
      </c>
      <c r="H146" s="111">
        <f t="shared" si="11"/>
        <v>0.21638177358238264</v>
      </c>
      <c r="I146" s="8"/>
      <c r="J146" s="8"/>
      <c r="K146" s="11"/>
      <c r="L146" s="16"/>
      <c r="M146" s="16"/>
      <c r="N146" s="16"/>
      <c r="O146" s="16"/>
      <c r="P146" s="16"/>
      <c r="Q146" s="16"/>
      <c r="R146" s="16"/>
      <c r="S146" s="16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</row>
    <row r="147" spans="1:111" x14ac:dyDescent="0.25">
      <c r="A147" s="8"/>
      <c r="B147" s="8"/>
      <c r="C147" s="8"/>
      <c r="D147" s="8"/>
      <c r="E147" s="74">
        <f t="shared" si="13"/>
        <v>6.6999999999999842</v>
      </c>
      <c r="F147" s="107">
        <f t="shared" si="12"/>
        <v>238.39471829950509</v>
      </c>
      <c r="G147" s="110">
        <f t="shared" si="10"/>
        <v>0.23371984264378043</v>
      </c>
      <c r="H147" s="111">
        <f t="shared" si="11"/>
        <v>0.21781709088792978</v>
      </c>
      <c r="I147" s="8"/>
      <c r="J147" s="8"/>
      <c r="K147" s="11"/>
      <c r="L147" s="16"/>
      <c r="M147" s="16"/>
      <c r="N147" s="16"/>
      <c r="O147" s="16"/>
      <c r="P147" s="16"/>
      <c r="Q147" s="16"/>
      <c r="R147" s="16"/>
      <c r="S147" s="16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</row>
    <row r="148" spans="1:111" x14ac:dyDescent="0.25">
      <c r="A148" s="8"/>
      <c r="B148" s="8"/>
      <c r="C148" s="8"/>
      <c r="D148" s="8"/>
      <c r="E148" s="74">
        <f t="shared" si="13"/>
        <v>6.749999999999984</v>
      </c>
      <c r="F148" s="107">
        <f t="shared" si="12"/>
        <v>238.67847706749842</v>
      </c>
      <c r="G148" s="110">
        <f t="shared" si="10"/>
        <v>0.23548473514331558</v>
      </c>
      <c r="H148" s="111">
        <f t="shared" si="11"/>
        <v>0.21924977918907385</v>
      </c>
      <c r="I148" s="8"/>
      <c r="J148" s="8"/>
      <c r="K148" s="11"/>
      <c r="L148" s="16"/>
      <c r="M148" s="16"/>
      <c r="N148" s="16"/>
      <c r="O148" s="16"/>
      <c r="P148" s="16"/>
      <c r="Q148" s="16"/>
      <c r="R148" s="16"/>
      <c r="S148" s="16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</row>
    <row r="149" spans="1:111" x14ac:dyDescent="0.25">
      <c r="A149" s="8"/>
      <c r="B149" s="8"/>
      <c r="C149" s="8"/>
      <c r="D149" s="8"/>
      <c r="E149" s="74">
        <f t="shared" si="13"/>
        <v>6.7999999999999838</v>
      </c>
      <c r="F149" s="107">
        <f t="shared" si="12"/>
        <v>238.95492955176124</v>
      </c>
      <c r="G149" s="110">
        <f t="shared" si="10"/>
        <v>0.23724285409736434</v>
      </c>
      <c r="H149" s="111">
        <f t="shared" si="11"/>
        <v>0.22067984330124069</v>
      </c>
      <c r="I149" s="8"/>
      <c r="J149" s="8"/>
      <c r="K149" s="11"/>
      <c r="L149" s="16"/>
      <c r="M149" s="16"/>
      <c r="N149" s="16"/>
      <c r="O149" s="16"/>
      <c r="P149" s="16"/>
      <c r="Q149" s="16"/>
      <c r="R149" s="16"/>
      <c r="S149" s="16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</row>
    <row r="150" spans="1:111" x14ac:dyDescent="0.25">
      <c r="A150" s="8"/>
      <c r="B150" s="8"/>
      <c r="C150" s="8"/>
      <c r="D150" s="8"/>
      <c r="E150" s="74">
        <f t="shared" si="13"/>
        <v>6.8499999999999837</v>
      </c>
      <c r="F150" s="107">
        <f t="shared" si="12"/>
        <v>239.22469189583941</v>
      </c>
      <c r="G150" s="110">
        <f t="shared" si="10"/>
        <v>0.23899462386655068</v>
      </c>
      <c r="H150" s="111">
        <f t="shared" si="11"/>
        <v>0.22210728803103608</v>
      </c>
      <c r="I150" s="8"/>
      <c r="J150" s="8"/>
      <c r="K150" s="11"/>
      <c r="L150" s="16"/>
      <c r="M150" s="16"/>
      <c r="N150" s="16"/>
      <c r="O150" s="16"/>
      <c r="P150" s="16"/>
      <c r="Q150" s="16"/>
      <c r="R150" s="16"/>
      <c r="S150" s="16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</row>
    <row r="151" spans="1:111" x14ac:dyDescent="0.25">
      <c r="A151" s="8"/>
      <c r="B151" s="8"/>
      <c r="C151" s="8"/>
      <c r="D151" s="8"/>
      <c r="E151" s="74">
        <f t="shared" si="13"/>
        <v>6.8999999999999835</v>
      </c>
      <c r="F151" s="107">
        <f t="shared" si="12"/>
        <v>239.48838026830489</v>
      </c>
      <c r="G151" s="110">
        <f t="shared" si="10"/>
        <v>0.24074048065536136</v>
      </c>
      <c r="H151" s="111">
        <f t="shared" si="11"/>
        <v>0.22353211817626173</v>
      </c>
      <c r="I151" s="8"/>
      <c r="J151" s="8"/>
      <c r="K151" s="11"/>
      <c r="L151" s="16"/>
      <c r="M151" s="16"/>
      <c r="N151" s="16"/>
      <c r="O151" s="16"/>
      <c r="P151" s="16"/>
      <c r="Q151" s="16"/>
      <c r="R151" s="16"/>
      <c r="S151" s="16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</row>
    <row r="152" spans="1:111" x14ac:dyDescent="0.25">
      <c r="A152" s="8"/>
      <c r="B152" s="8"/>
      <c r="C152" s="8"/>
      <c r="D152" s="8"/>
      <c r="E152" s="74">
        <f t="shared" si="13"/>
        <v>6.9499999999999833</v>
      </c>
      <c r="F152" s="107">
        <f t="shared" si="12"/>
        <v>239.74661090865723</v>
      </c>
      <c r="G152" s="110">
        <f t="shared" si="10"/>
        <v>0.24248087240672433</v>
      </c>
      <c r="H152" s="111">
        <f t="shared" si="11"/>
        <v>0.22495433852593139</v>
      </c>
      <c r="I152" s="8"/>
      <c r="J152" s="8"/>
      <c r="K152" s="11"/>
      <c r="L152" s="16"/>
      <c r="M152" s="16"/>
      <c r="N152" s="16"/>
      <c r="O152" s="16"/>
      <c r="P152" s="16"/>
      <c r="Q152" s="16"/>
      <c r="R152" s="16"/>
      <c r="S152" s="16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</row>
    <row r="153" spans="1:111" x14ac:dyDescent="0.25">
      <c r="A153" s="8"/>
      <c r="B153" s="8"/>
      <c r="C153" s="8"/>
      <c r="D153" s="8"/>
      <c r="E153" s="74">
        <f t="shared" si="13"/>
        <v>6.9999999999999831</v>
      </c>
      <c r="F153" s="107">
        <f t="shared" si="12"/>
        <v>239.99999999999861</v>
      </c>
      <c r="G153" s="110">
        <f t="shared" si="10"/>
        <v>0.24421625854427276</v>
      </c>
      <c r="H153" s="111">
        <f t="shared" si="11"/>
        <v>0.22637395386028691</v>
      </c>
      <c r="I153" s="8"/>
      <c r="J153" s="8"/>
      <c r="K153" s="11"/>
      <c r="L153" s="16"/>
      <c r="M153" s="16"/>
      <c r="N153" s="16"/>
      <c r="O153" s="16"/>
      <c r="P153" s="16"/>
      <c r="Q153" s="16"/>
      <c r="R153" s="16"/>
      <c r="S153" s="16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</row>
    <row r="154" spans="1:111" x14ac:dyDescent="0.25">
      <c r="A154" s="8"/>
      <c r="B154" s="8"/>
      <c r="C154" s="8"/>
      <c r="D154" s="8"/>
      <c r="E154" s="74">
        <f t="shared" si="13"/>
        <v>7.0499999999999829</v>
      </c>
      <c r="F154" s="107">
        <f t="shared" si="12"/>
        <v>240.24907268746131</v>
      </c>
      <c r="G154" s="110">
        <f t="shared" si="10"/>
        <v>0.24594702921233125</v>
      </c>
      <c r="H154" s="111">
        <f t="shared" si="11"/>
        <v>0.22779096895081463</v>
      </c>
      <c r="I154" s="8"/>
      <c r="J154" s="8"/>
      <c r="K154" s="11"/>
      <c r="L154" s="16"/>
      <c r="M154" s="16"/>
      <c r="N154" s="16"/>
      <c r="O154" s="16"/>
      <c r="P154" s="16"/>
      <c r="Q154" s="16"/>
      <c r="R154" s="16"/>
      <c r="S154" s="16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</row>
    <row r="155" spans="1:111" x14ac:dyDescent="0.25">
      <c r="A155" s="8"/>
      <c r="B155" s="8"/>
      <c r="C155" s="8"/>
      <c r="D155" s="8"/>
      <c r="E155" s="74">
        <f t="shared" si="13"/>
        <v>7.0999999999999828</v>
      </c>
      <c r="F155" s="107">
        <f t="shared" si="12"/>
        <v>240.49399072600386</v>
      </c>
      <c r="G155" s="110">
        <f t="shared" si="10"/>
        <v>0.24767326073390261</v>
      </c>
      <c r="H155" s="111">
        <f t="shared" si="11"/>
        <v>0.22920538856026107</v>
      </c>
      <c r="I155" s="8"/>
      <c r="J155" s="8"/>
      <c r="K155" s="11"/>
      <c r="L155" s="16"/>
      <c r="M155" s="16"/>
      <c r="N155" s="16"/>
      <c r="O155" s="16"/>
      <c r="P155" s="16"/>
      <c r="Q155" s="16"/>
      <c r="R155" s="16"/>
      <c r="S155" s="16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</row>
    <row r="156" spans="1:111" x14ac:dyDescent="0.25">
      <c r="A156" s="8"/>
      <c r="B156" s="8"/>
      <c r="C156" s="8"/>
      <c r="D156" s="8"/>
      <c r="E156" s="74">
        <f t="shared" si="13"/>
        <v>7.1499999999999826</v>
      </c>
      <c r="F156" s="107">
        <f t="shared" si="12"/>
        <v>240.7348239784688</v>
      </c>
      <c r="G156" s="110">
        <f t="shared" si="10"/>
        <v>0.24939495066663586</v>
      </c>
      <c r="H156" s="111">
        <f t="shared" si="11"/>
        <v>0.23061721744264885</v>
      </c>
      <c r="I156" s="8"/>
      <c r="J156" s="8"/>
      <c r="K156" s="11"/>
      <c r="L156" s="16"/>
      <c r="M156" s="16"/>
      <c r="N156" s="16"/>
      <c r="O156" s="16"/>
      <c r="P156" s="16"/>
      <c r="Q156" s="16"/>
      <c r="R156" s="16"/>
      <c r="S156" s="16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</row>
    <row r="157" spans="1:111" x14ac:dyDescent="0.25">
      <c r="A157" s="8"/>
      <c r="B157" s="8"/>
      <c r="C157" s="8"/>
      <c r="D157" s="8"/>
      <c r="E157" s="74">
        <f t="shared" si="13"/>
        <v>7.1999999999999824</v>
      </c>
      <c r="F157" s="107">
        <f t="shared" si="12"/>
        <v>240.97164315442043</v>
      </c>
      <c r="G157" s="110">
        <f t="shared" si="10"/>
        <v>0.25111209917446409</v>
      </c>
      <c r="H157" s="111">
        <f t="shared" si="11"/>
        <v>0.23202646034329333</v>
      </c>
      <c r="I157" s="8"/>
      <c r="J157" s="8"/>
      <c r="K157" s="11"/>
      <c r="L157" s="16"/>
      <c r="M157" s="16"/>
      <c r="N157" s="16"/>
      <c r="O157" s="16"/>
      <c r="P157" s="16"/>
      <c r="Q157" s="16"/>
      <c r="R157" s="16"/>
      <c r="S157" s="16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</row>
    <row r="158" spans="1:111" x14ac:dyDescent="0.25">
      <c r="A158" s="8"/>
      <c r="B158" s="8"/>
      <c r="C158" s="8"/>
      <c r="D158" s="8"/>
      <c r="E158" s="74">
        <f t="shared" si="13"/>
        <v>7.2499999999999822</v>
      </c>
      <c r="F158" s="107">
        <f t="shared" si="12"/>
        <v>241.20451867618743</v>
      </c>
      <c r="G158" s="110">
        <f t="shared" si="10"/>
        <v>0.25282470800074308</v>
      </c>
      <c r="H158" s="111">
        <f t="shared" si="11"/>
        <v>0.23343312199881761</v>
      </c>
      <c r="I158" s="8"/>
      <c r="J158" s="8"/>
      <c r="K158" s="11"/>
      <c r="L158" s="16"/>
      <c r="M158" s="16"/>
      <c r="N158" s="16"/>
      <c r="O158" s="16"/>
      <c r="P158" s="16"/>
      <c r="Q158" s="16"/>
      <c r="R158" s="16"/>
      <c r="S158" s="16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</row>
    <row r="159" spans="1:111" x14ac:dyDescent="0.25">
      <c r="A159" s="8"/>
      <c r="B159" s="8"/>
      <c r="C159" s="8"/>
      <c r="D159" s="8"/>
      <c r="E159" s="74">
        <f t="shared" si="13"/>
        <v>7.2999999999999821</v>
      </c>
      <c r="F159" s="107">
        <f t="shared" si="12"/>
        <v>241.43352118218633</v>
      </c>
      <c r="G159" s="110">
        <f t="shared" si="10"/>
        <v>0.25453278089802511</v>
      </c>
      <c r="H159" s="111">
        <f t="shared" si="11"/>
        <v>0.23483720713716905</v>
      </c>
      <c r="I159" s="8"/>
      <c r="J159" s="8"/>
      <c r="K159" s="11"/>
      <c r="L159" s="16"/>
      <c r="M159" s="16"/>
      <c r="N159" s="16"/>
      <c r="O159" s="16"/>
      <c r="P159" s="16"/>
      <c r="Q159" s="16"/>
      <c r="R159" s="16"/>
      <c r="S159" s="16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</row>
    <row r="160" spans="1:111" x14ac:dyDescent="0.25">
      <c r="A160" s="8"/>
      <c r="B160" s="8"/>
      <c r="C160" s="8"/>
      <c r="D160" s="8"/>
      <c r="E160" s="74">
        <f t="shared" si="13"/>
        <v>7.3499999999999819</v>
      </c>
      <c r="F160" s="107">
        <f t="shared" si="12"/>
        <v>241.65872064909621</v>
      </c>
      <c r="G160" s="110">
        <f t="shared" si="10"/>
        <v>0.25623632281217146</v>
      </c>
      <c r="H160" s="111">
        <f t="shared" si="11"/>
        <v>0.23623872047763528</v>
      </c>
      <c r="I160" s="8"/>
      <c r="J160" s="8"/>
      <c r="K160" s="11"/>
      <c r="L160" s="16"/>
      <c r="M160" s="16"/>
      <c r="N160" s="16"/>
      <c r="O160" s="16"/>
      <c r="P160" s="16"/>
      <c r="Q160" s="16"/>
      <c r="R160" s="16"/>
      <c r="S160" s="16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</row>
    <row r="161" spans="1:111" x14ac:dyDescent="0.25">
      <c r="A161" s="8"/>
      <c r="B161" s="8"/>
      <c r="C161" s="8"/>
      <c r="D161" s="8"/>
      <c r="E161" s="74">
        <f t="shared" si="13"/>
        <v>7.3999999999999817</v>
      </c>
      <c r="F161" s="107">
        <f t="shared" si="12"/>
        <v>241.8801877290594</v>
      </c>
      <c r="G161" s="110">
        <f t="shared" si="10"/>
        <v>0.25793534107216509</v>
      </c>
      <c r="H161" s="111">
        <f t="shared" si="11"/>
        <v>0.23763766673085973</v>
      </c>
      <c r="I161" s="8"/>
      <c r="J161" s="8"/>
      <c r="K161" s="11"/>
      <c r="L161" s="16"/>
      <c r="M161" s="16"/>
      <c r="N161" s="16"/>
      <c r="O161" s="16"/>
      <c r="P161" s="16"/>
      <c r="Q161" s="16"/>
      <c r="R161" s="16"/>
      <c r="S161" s="16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</row>
    <row r="162" spans="1:111" x14ac:dyDescent="0.25">
      <c r="A162" s="8"/>
      <c r="B162" s="8"/>
      <c r="C162" s="8"/>
      <c r="D162" s="8"/>
      <c r="E162" s="74">
        <f t="shared" si="13"/>
        <v>7.4499999999999815</v>
      </c>
      <c r="F162" s="107">
        <f t="shared" si="12"/>
        <v>242.09799284440462</v>
      </c>
      <c r="G162" s="110">
        <f t="shared" si="10"/>
        <v>0.25962984455155136</v>
      </c>
      <c r="H162" s="111">
        <f t="shared" si="11"/>
        <v>0.23903405059885741</v>
      </c>
      <c r="I162" s="8"/>
      <c r="J162" s="8"/>
      <c r="K162" s="11"/>
      <c r="L162" s="16"/>
      <c r="M162" s="16"/>
      <c r="N162" s="16"/>
      <c r="O162" s="16"/>
      <c r="P162" s="16"/>
      <c r="Q162" s="16"/>
      <c r="R162" s="16"/>
      <c r="S162" s="16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</row>
    <row r="163" spans="1:111" x14ac:dyDescent="0.25">
      <c r="A163" s="8"/>
      <c r="B163" s="8"/>
      <c r="C163" s="8"/>
      <c r="D163" s="8"/>
      <c r="E163" s="74">
        <f t="shared" si="13"/>
        <v>7.4999999999999813</v>
      </c>
      <c r="F163" s="107">
        <f t="shared" si="12"/>
        <v>242.31220658116339</v>
      </c>
      <c r="G163" s="110">
        <f t="shared" si="10"/>
        <v>0.26131984400700992</v>
      </c>
      <c r="H163" s="111">
        <f t="shared" si="11"/>
        <v>0.24042787677503097</v>
      </c>
      <c r="I163" s="8"/>
      <c r="J163" s="8"/>
      <c r="K163" s="11"/>
      <c r="L163" s="16"/>
      <c r="M163" s="16"/>
      <c r="N163" s="16"/>
      <c r="O163" s="16"/>
      <c r="P163" s="16"/>
      <c r="Q163" s="16"/>
      <c r="R163" s="16"/>
      <c r="S163" s="16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</row>
    <row r="164" spans="1:111" x14ac:dyDescent="0.25">
      <c r="A164" s="8"/>
      <c r="B164" s="8"/>
      <c r="C164" s="8"/>
      <c r="D164" s="8"/>
      <c r="E164" s="74">
        <f t="shared" si="13"/>
        <v>7.5499999999999812</v>
      </c>
      <c r="F164" s="107">
        <f t="shared" si="12"/>
        <v>242.52289902179214</v>
      </c>
      <c r="G164" s="110">
        <f t="shared" si="10"/>
        <v>0.26300535144292825</v>
      </c>
      <c r="H164" s="111">
        <f t="shared" si="11"/>
        <v>0.24181914994418641</v>
      </c>
      <c r="I164" s="8"/>
      <c r="J164" s="8"/>
      <c r="K164" s="11"/>
      <c r="L164" s="16"/>
      <c r="M164" s="16"/>
      <c r="N164" s="16"/>
      <c r="O164" s="16"/>
      <c r="P164" s="16"/>
      <c r="Q164" s="16"/>
      <c r="R164" s="16"/>
      <c r="S164" s="16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</row>
    <row r="165" spans="1:111" x14ac:dyDescent="0.25">
      <c r="A165" s="8"/>
      <c r="B165" s="8"/>
      <c r="C165" s="8"/>
      <c r="D165" s="8"/>
      <c r="E165" s="74">
        <f t="shared" si="13"/>
        <v>7.599999999999981</v>
      </c>
      <c r="F165" s="107">
        <f t="shared" si="12"/>
        <v>242.73014076504077</v>
      </c>
      <c r="G165" s="110">
        <f t="shared" si="10"/>
        <v>0.26468638103141684</v>
      </c>
      <c r="H165" s="111">
        <f t="shared" si="11"/>
        <v>0.24320787478254879</v>
      </c>
      <c r="I165" s="8"/>
      <c r="J165" s="8"/>
      <c r="K165" s="11"/>
      <c r="L165" s="16"/>
      <c r="M165" s="16"/>
      <c r="N165" s="16"/>
      <c r="O165" s="16"/>
      <c r="P165" s="16"/>
      <c r="Q165" s="16"/>
      <c r="R165" s="16"/>
      <c r="S165" s="16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</row>
    <row r="166" spans="1:111" x14ac:dyDescent="0.25">
      <c r="A166" s="8"/>
      <c r="B166" s="8"/>
      <c r="C166" s="8"/>
      <c r="D166" s="8"/>
      <c r="E166" s="74">
        <f t="shared" si="13"/>
        <v>7.6499999999999808</v>
      </c>
      <c r="F166" s="107">
        <f t="shared" si="12"/>
        <v>242.93400223323809</v>
      </c>
      <c r="G166" s="110">
        <f t="shared" si="10"/>
        <v>0.26636294845513908</v>
      </c>
      <c r="H166" s="111">
        <f t="shared" si="11"/>
        <v>0.24459405595777772</v>
      </c>
      <c r="I166" s="8"/>
      <c r="J166" s="8"/>
      <c r="K166" s="11"/>
      <c r="L166" s="16"/>
      <c r="M166" s="16"/>
      <c r="N166" s="16"/>
      <c r="O166" s="16"/>
      <c r="P166" s="16"/>
      <c r="Q166" s="16"/>
      <c r="R166" s="16"/>
      <c r="S166" s="16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</row>
    <row r="167" spans="1:111" x14ac:dyDescent="0.25">
      <c r="A167" s="8"/>
      <c r="B167" s="8"/>
      <c r="C167" s="8"/>
      <c r="D167" s="8"/>
      <c r="E167" s="74">
        <f t="shared" si="13"/>
        <v>7.6999999999999806</v>
      </c>
      <c r="F167" s="107">
        <f t="shared" si="12"/>
        <v>243.1345539640603</v>
      </c>
      <c r="G167" s="110">
        <f t="shared" si="10"/>
        <v>0.26803507115841207</v>
      </c>
      <c r="H167" s="111">
        <f t="shared" si="11"/>
        <v>0.24597769812898362</v>
      </c>
      <c r="I167" s="8"/>
      <c r="J167" s="8"/>
      <c r="K167" s="11"/>
      <c r="L167" s="16"/>
      <c r="M167" s="16"/>
      <c r="N167" s="16"/>
      <c r="O167" s="16"/>
      <c r="P167" s="16"/>
      <c r="Q167" s="16"/>
      <c r="R167" s="16"/>
      <c r="S167" s="16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</row>
    <row r="168" spans="1:111" x14ac:dyDescent="0.25">
      <c r="A168" s="8"/>
      <c r="B168" s="8"/>
      <c r="C168" s="8"/>
      <c r="D168" s="8"/>
      <c r="E168" s="74">
        <f t="shared" si="13"/>
        <v>7.7499999999999805</v>
      </c>
      <c r="F168" s="107">
        <f t="shared" si="12"/>
        <v>243.33186613768177</v>
      </c>
      <c r="G168" s="110">
        <f t="shared" si="10"/>
        <v>0.26970276788416492</v>
      </c>
      <c r="H168" s="111">
        <f t="shared" si="11"/>
        <v>0.24735880594674275</v>
      </c>
      <c r="I168" s="8"/>
      <c r="J168" s="8"/>
      <c r="K168" s="11"/>
      <c r="L168" s="16"/>
      <c r="M168" s="16"/>
      <c r="N168" s="16"/>
      <c r="O168" s="16"/>
      <c r="P168" s="16"/>
      <c r="Q168" s="16"/>
      <c r="R168" s="16"/>
      <c r="S168" s="16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</row>
    <row r="169" spans="1:111" x14ac:dyDescent="0.25">
      <c r="A169" s="8"/>
      <c r="B169" s="8"/>
      <c r="C169" s="8"/>
      <c r="D169" s="8"/>
      <c r="E169" s="74">
        <f t="shared" si="13"/>
        <v>7.7999999999999803</v>
      </c>
      <c r="F169" s="107">
        <f t="shared" si="12"/>
        <v>243.52600930348981</v>
      </c>
      <c r="G169" s="110">
        <f t="shared" si="10"/>
        <v>0.27136605933613667</v>
      </c>
      <c r="H169" s="111">
        <f t="shared" si="11"/>
        <v>0.24873738405311341</v>
      </c>
      <c r="I169" s="8"/>
      <c r="J169" s="8"/>
      <c r="K169" s="11"/>
      <c r="L169" s="16"/>
      <c r="M169" s="16"/>
      <c r="N169" s="16"/>
      <c r="O169" s="16"/>
      <c r="P169" s="16"/>
      <c r="Q169" s="16"/>
      <c r="R169" s="16"/>
      <c r="S169" s="16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</row>
    <row r="170" spans="1:111" x14ac:dyDescent="0.25">
      <c r="A170" s="8"/>
      <c r="B170" s="8"/>
      <c r="C170" s="8"/>
      <c r="D170" s="8"/>
      <c r="E170" s="74">
        <f t="shared" si="13"/>
        <v>7.8499999999999801</v>
      </c>
      <c r="F170" s="107">
        <f t="shared" si="12"/>
        <v>243.71705396553861</v>
      </c>
      <c r="G170" s="110">
        <f t="shared" si="10"/>
        <v>0.2730249677728751</v>
      </c>
      <c r="H170" s="111">
        <f t="shared" si="11"/>
        <v>0.25011343708165101</v>
      </c>
      <c r="I170" s="8"/>
      <c r="J170" s="8"/>
      <c r="K170" s="11"/>
      <c r="L170" s="16"/>
      <c r="M170" s="16"/>
      <c r="N170" s="16"/>
      <c r="O170" s="16"/>
      <c r="P170" s="16"/>
      <c r="Q170" s="16"/>
      <c r="R170" s="16"/>
      <c r="S170" s="16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</row>
    <row r="171" spans="1:111" x14ac:dyDescent="0.25">
      <c r="A171" s="8"/>
      <c r="B171" s="8"/>
      <c r="C171" s="8"/>
      <c r="D171" s="8"/>
      <c r="E171" s="74">
        <f t="shared" si="13"/>
        <v>7.8999999999999799</v>
      </c>
      <c r="F171" s="107">
        <f t="shared" si="12"/>
        <v>243.90507037200226</v>
      </c>
      <c r="G171" s="110">
        <f t="shared" si="10"/>
        <v>0.27467951678693314</v>
      </c>
      <c r="H171" s="111">
        <f t="shared" si="11"/>
        <v>0.2514869696574239</v>
      </c>
      <c r="I171" s="8"/>
      <c r="J171" s="8"/>
      <c r="K171" s="11"/>
      <c r="L171" s="16"/>
      <c r="M171" s="16"/>
      <c r="N171" s="16"/>
      <c r="O171" s="16"/>
      <c r="P171" s="16"/>
      <c r="Q171" s="16"/>
      <c r="R171" s="16"/>
      <c r="S171" s="16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</row>
    <row r="172" spans="1:111" x14ac:dyDescent="0.25">
      <c r="A172" s="8"/>
      <c r="B172" s="8"/>
      <c r="C172" s="8"/>
      <c r="D172" s="8"/>
      <c r="E172" s="74">
        <f t="shared" si="13"/>
        <v>7.9499999999999797</v>
      </c>
      <c r="F172" s="107">
        <f t="shared" si="12"/>
        <v>244.09012903789034</v>
      </c>
      <c r="G172" s="110">
        <f t="shared" si="10"/>
        <v>0.27632973178245579</v>
      </c>
      <c r="H172" s="111">
        <f t="shared" si="11"/>
        <v>0.25285798639702906</v>
      </c>
      <c r="I172" s="8"/>
      <c r="J172" s="8"/>
      <c r="K172" s="11"/>
      <c r="L172" s="16"/>
      <c r="M172" s="16"/>
      <c r="N172" s="16"/>
      <c r="O172" s="16"/>
      <c r="P172" s="16"/>
      <c r="Q172" s="16"/>
      <c r="R172" s="16"/>
      <c r="S172" s="16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</row>
    <row r="173" spans="1:111" x14ac:dyDescent="0.25">
      <c r="A173" s="8"/>
      <c r="B173" s="8"/>
      <c r="C173" s="8"/>
      <c r="D173" s="8"/>
      <c r="E173" s="74">
        <f t="shared" si="13"/>
        <v>7.9999999999999796</v>
      </c>
      <c r="F173" s="107">
        <f t="shared" si="12"/>
        <v>244.27230038553168</v>
      </c>
      <c r="G173" s="110">
        <f t="shared" si="10"/>
        <v>0.27797563961570326</v>
      </c>
      <c r="H173" s="111">
        <f t="shared" si="11"/>
        <v>0.25422649190860724</v>
      </c>
      <c r="I173" s="8"/>
      <c r="J173" s="8"/>
      <c r="K173" s="11"/>
      <c r="L173" s="16"/>
      <c r="M173" s="16"/>
      <c r="N173" s="16"/>
      <c r="O173" s="16"/>
      <c r="P173" s="16"/>
      <c r="Q173" s="16"/>
      <c r="R173" s="16"/>
      <c r="S173" s="16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</row>
    <row r="174" spans="1:111" x14ac:dyDescent="0.25">
      <c r="A174" s="8"/>
      <c r="B174" s="8"/>
      <c r="C174" s="8"/>
      <c r="D174" s="8"/>
      <c r="E174" s="74">
        <f t="shared" si="13"/>
        <v>8.0499999999999794</v>
      </c>
      <c r="F174" s="107">
        <f t="shared" si="12"/>
        <v>244.4516548776769</v>
      </c>
      <c r="G174" s="110">
        <f t="shared" si="10"/>
        <v>0.27961726870352832</v>
      </c>
      <c r="H174" s="111">
        <f t="shared" si="11"/>
        <v>0.25559249079185908</v>
      </c>
      <c r="I174" s="8"/>
      <c r="J174" s="8"/>
      <c r="K174" s="11"/>
      <c r="L174" s="16"/>
      <c r="M174" s="16"/>
      <c r="N174" s="16"/>
      <c r="O174" s="16"/>
      <c r="P174" s="16"/>
      <c r="Q174" s="16"/>
      <c r="R174" s="16"/>
      <c r="S174" s="16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</row>
    <row r="175" spans="1:111" x14ac:dyDescent="0.25">
      <c r="A175" s="8"/>
      <c r="B175" s="8"/>
      <c r="C175" s="8"/>
      <c r="D175" s="8"/>
      <c r="E175" s="74">
        <f t="shared" si="13"/>
        <v>8.0999999999999801</v>
      </c>
      <c r="F175" s="107">
        <f t="shared" si="12"/>
        <v>244.62826284611452</v>
      </c>
      <c r="G175" s="110">
        <f t="shared" si="10"/>
        <v>0.28125464883960849</v>
      </c>
      <c r="H175" s="111">
        <f t="shared" si="11"/>
        <v>0.2569559876380596</v>
      </c>
      <c r="I175" s="8"/>
      <c r="J175" s="8"/>
      <c r="K175" s="11"/>
      <c r="L175" s="16"/>
      <c r="M175" s="16"/>
      <c r="N175" s="16"/>
      <c r="O175" s="16"/>
      <c r="P175" s="16"/>
      <c r="Q175" s="16"/>
      <c r="R175" s="16"/>
      <c r="S175" s="16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</row>
    <row r="176" spans="1:111" x14ac:dyDescent="0.25">
      <c r="A176" s="8"/>
      <c r="B176" s="8"/>
      <c r="C176" s="8"/>
      <c r="D176" s="8"/>
      <c r="E176" s="74">
        <f t="shared" si="13"/>
        <v>8.1499999999999808</v>
      </c>
      <c r="F176" s="107">
        <f t="shared" si="12"/>
        <v>244.80219476354324</v>
      </c>
      <c r="G176" s="110">
        <f t="shared" si="10"/>
        <v>0.28288781143869568</v>
      </c>
      <c r="H176" s="111">
        <f t="shared" si="11"/>
        <v>0.25831698703007466</v>
      </c>
      <c r="I176" s="8"/>
      <c r="J176" s="8"/>
      <c r="K176" s="11"/>
      <c r="L176" s="16"/>
      <c r="M176" s="16"/>
      <c r="N176" s="16"/>
      <c r="O176" s="16"/>
      <c r="P176" s="16"/>
      <c r="Q176" s="16"/>
      <c r="R176" s="16"/>
      <c r="S176" s="16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</row>
    <row r="177" spans="1:111" x14ac:dyDescent="0.25">
      <c r="A177" s="8"/>
      <c r="B177" s="8"/>
      <c r="C177" s="8"/>
      <c r="D177" s="8"/>
      <c r="E177" s="74">
        <f t="shared" si="13"/>
        <v>8.1999999999999815</v>
      </c>
      <c r="F177" s="107">
        <f t="shared" si="12"/>
        <v>244.97352105229183</v>
      </c>
      <c r="G177" s="110">
        <f t="shared" si="10"/>
        <v>0.28451678933427826</v>
      </c>
      <c r="H177" s="111">
        <f t="shared" si="11"/>
        <v>0.25967549354237573</v>
      </c>
      <c r="I177" s="8"/>
      <c r="J177" s="8"/>
      <c r="K177" s="11"/>
      <c r="L177" s="16"/>
      <c r="M177" s="16"/>
      <c r="N177" s="16"/>
      <c r="O177" s="16"/>
      <c r="P177" s="16"/>
      <c r="Q177" s="16"/>
      <c r="R177" s="16"/>
      <c r="S177" s="16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</row>
    <row r="178" spans="1:111" x14ac:dyDescent="0.25">
      <c r="A178" s="8"/>
      <c r="B178" s="8"/>
      <c r="C178" s="8"/>
      <c r="D178" s="8"/>
      <c r="E178" s="74">
        <f t="shared" si="13"/>
        <v>8.2499999999999822</v>
      </c>
      <c r="F178" s="107">
        <f t="shared" si="12"/>
        <v>245.14231213783705</v>
      </c>
      <c r="G178" s="110">
        <f t="shared" si="10"/>
        <v>0.2861416168123383</v>
      </c>
      <c r="H178" s="111">
        <f t="shared" si="11"/>
        <v>0.26103151174105532</v>
      </c>
      <c r="I178" s="8"/>
      <c r="J178" s="8"/>
      <c r="K178" s="11"/>
      <c r="L178" s="16"/>
      <c r="M178" s="16"/>
      <c r="N178" s="16"/>
      <c r="O178" s="16"/>
      <c r="P178" s="16"/>
      <c r="Q178" s="16"/>
      <c r="R178" s="16"/>
      <c r="S178" s="16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</row>
    <row r="179" spans="1:111" x14ac:dyDescent="0.25">
      <c r="A179" s="8"/>
      <c r="B179" s="8"/>
      <c r="C179" s="8"/>
      <c r="D179" s="8"/>
      <c r="E179" s="74">
        <f t="shared" si="13"/>
        <v>8.2999999999999829</v>
      </c>
      <c r="F179" s="107">
        <f t="shared" si="12"/>
        <v>245.30863842752251</v>
      </c>
      <c r="G179" s="110">
        <f t="shared" si="10"/>
        <v>0.28776232957275127</v>
      </c>
      <c r="H179" s="111">
        <f t="shared" si="11"/>
        <v>0.26238504618384251</v>
      </c>
      <c r="I179" s="8"/>
      <c r="J179" s="8"/>
      <c r="K179" s="11"/>
      <c r="L179" s="16"/>
      <c r="M179" s="16"/>
      <c r="N179" s="16"/>
      <c r="O179" s="16"/>
      <c r="P179" s="16"/>
      <c r="Q179" s="16"/>
      <c r="R179" s="16"/>
      <c r="S179" s="16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</row>
    <row r="180" spans="1:111" x14ac:dyDescent="0.25">
      <c r="A180" s="8"/>
      <c r="B180" s="8"/>
      <c r="C180" s="8"/>
      <c r="D180" s="8"/>
      <c r="E180" s="74">
        <f t="shared" si="13"/>
        <v>8.3499999999999837</v>
      </c>
      <c r="F180" s="107">
        <f t="shared" si="12"/>
        <v>245.47257035576573</v>
      </c>
      <c r="G180" s="110">
        <f t="shared" si="10"/>
        <v>0.28937896475609881</v>
      </c>
      <c r="H180" s="111">
        <f t="shared" si="11"/>
        <v>0.26373610142011839</v>
      </c>
      <c r="I180" s="8"/>
      <c r="J180" s="8"/>
      <c r="K180" s="11"/>
      <c r="L180" s="16"/>
      <c r="M180" s="16"/>
      <c r="N180" s="16"/>
      <c r="O180" s="16"/>
      <c r="P180" s="16"/>
      <c r="Q180" s="16"/>
      <c r="R180" s="16"/>
      <c r="S180" s="16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</row>
    <row r="181" spans="1:111" x14ac:dyDescent="0.25">
      <c r="A181" s="8"/>
      <c r="B181" s="8"/>
      <c r="C181" s="8"/>
      <c r="D181" s="8"/>
      <c r="E181" s="74">
        <f t="shared" si="13"/>
        <v>8.3999999999999844</v>
      </c>
      <c r="F181" s="107">
        <f t="shared" si="12"/>
        <v>245.63417834489542</v>
      </c>
      <c r="G181" s="110">
        <f t="shared" si="10"/>
        <v>0.29099156088786171</v>
      </c>
      <c r="H181" s="111">
        <f t="shared" si="11"/>
        <v>0.26508468199093083</v>
      </c>
      <c r="I181" s="8"/>
      <c r="J181" s="8"/>
      <c r="K181" s="11"/>
      <c r="L181" s="16"/>
      <c r="M181" s="16"/>
      <c r="N181" s="16"/>
      <c r="O181" s="16"/>
      <c r="P181" s="16"/>
      <c r="Q181" s="16"/>
      <c r="R181" s="16"/>
      <c r="S181" s="16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</row>
    <row r="182" spans="1:111" x14ac:dyDescent="0.25">
      <c r="A182" s="8"/>
      <c r="B182" s="8"/>
      <c r="C182" s="8"/>
      <c r="D182" s="8"/>
      <c r="E182" s="74">
        <f t="shared" si="13"/>
        <v>8.4499999999999851</v>
      </c>
      <c r="F182" s="107">
        <f t="shared" si="12"/>
        <v>245.79353278714407</v>
      </c>
      <c r="G182" s="110">
        <f t="shared" si="10"/>
        <v>0.29260015784294879</v>
      </c>
      <c r="H182" s="111">
        <f t="shared" si="11"/>
        <v>0.26643079242901035</v>
      </c>
      <c r="I182" s="8"/>
      <c r="J182" s="8"/>
      <c r="K182" s="11"/>
      <c r="L182" s="16"/>
      <c r="M182" s="16"/>
      <c r="N182" s="16"/>
      <c r="O182" s="16"/>
      <c r="P182" s="16"/>
      <c r="Q182" s="16"/>
      <c r="R182" s="16"/>
      <c r="S182" s="16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</row>
    <row r="183" spans="1:111" x14ac:dyDescent="0.25">
      <c r="A183" s="8"/>
      <c r="B183" s="8"/>
      <c r="C183" s="8"/>
      <c r="D183" s="8"/>
      <c r="E183" s="74">
        <f t="shared" si="13"/>
        <v>8.4999999999999858</v>
      </c>
      <c r="F183" s="107">
        <f t="shared" si="12"/>
        <v>245.95070415735125</v>
      </c>
      <c r="G183" s="110">
        <f t="shared" si="10"/>
        <v>0.2942047969406566</v>
      </c>
      <c r="H183" s="111">
        <f t="shared" si="11"/>
        <v>0.26777443725878503</v>
      </c>
      <c r="I183" s="8"/>
      <c r="J183" s="8"/>
      <c r="K183" s="11"/>
      <c r="L183" s="16"/>
      <c r="M183" s="16"/>
      <c r="N183" s="16"/>
      <c r="O183" s="16"/>
      <c r="P183" s="16"/>
      <c r="Q183" s="16"/>
      <c r="R183" s="16"/>
      <c r="S183" s="16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</row>
    <row r="184" spans="1:111" x14ac:dyDescent="0.25">
      <c r="A184" s="8"/>
      <c r="B184" s="8"/>
      <c r="C184" s="8"/>
      <c r="D184" s="8"/>
      <c r="E184" s="74">
        <f t="shared" si="13"/>
        <v>8.5499999999999865</v>
      </c>
      <c r="F184" s="107">
        <f t="shared" si="12"/>
        <v>246.10576283307927</v>
      </c>
      <c r="G184" s="110">
        <f t="shared" si="10"/>
        <v>0.29580552074858502</v>
      </c>
      <c r="H184" s="111">
        <f t="shared" si="11"/>
        <v>0.26911562099639552</v>
      </c>
      <c r="I184" s="8"/>
      <c r="J184" s="8"/>
      <c r="K184" s="11"/>
      <c r="L184" s="16"/>
      <c r="M184" s="16"/>
      <c r="N184" s="16"/>
      <c r="O184" s="16"/>
      <c r="P184" s="16"/>
      <c r="Q184" s="16"/>
      <c r="R184" s="16"/>
      <c r="S184" s="16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</row>
    <row r="185" spans="1:111" x14ac:dyDescent="0.25">
      <c r="A185" s="8"/>
      <c r="B185" s="8"/>
      <c r="C185" s="8"/>
      <c r="D185" s="8"/>
      <c r="E185" s="74">
        <f t="shared" si="13"/>
        <v>8.5999999999999872</v>
      </c>
      <c r="F185" s="107">
        <f t="shared" si="12"/>
        <v>246.25877927827503</v>
      </c>
      <c r="G185" s="110">
        <f t="shared" si="10"/>
        <v>0.29740237324889274</v>
      </c>
      <c r="H185" s="111">
        <f t="shared" si="11"/>
        <v>0.2704543481497107</v>
      </c>
      <c r="I185" s="8"/>
      <c r="J185" s="8"/>
      <c r="K185" s="11"/>
      <c r="L185" s="16"/>
      <c r="M185" s="16"/>
      <c r="N185" s="16"/>
      <c r="O185" s="16"/>
      <c r="P185" s="16"/>
      <c r="Q185" s="16"/>
      <c r="R185" s="16"/>
      <c r="S185" s="16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</row>
    <row r="186" spans="1:111" x14ac:dyDescent="0.25">
      <c r="A186" s="8"/>
      <c r="B186" s="8"/>
      <c r="C186" s="8"/>
      <c r="D186" s="8"/>
      <c r="E186" s="74">
        <f t="shared" si="13"/>
        <v>8.6499999999999879</v>
      </c>
      <c r="F186" s="107">
        <f t="shared" si="12"/>
        <v>246.40982386672312</v>
      </c>
      <c r="G186" s="110">
        <f t="shared" si="10"/>
        <v>0.29899539964458355</v>
      </c>
      <c r="H186" s="111">
        <f t="shared" si="11"/>
        <v>0.27179062321834269</v>
      </c>
      <c r="I186" s="8"/>
      <c r="J186" s="8"/>
      <c r="K186" s="11"/>
      <c r="L186" s="16"/>
      <c r="M186" s="16"/>
      <c r="N186" s="16"/>
      <c r="O186" s="16"/>
      <c r="P186" s="16"/>
      <c r="Q186" s="16"/>
      <c r="R186" s="16"/>
      <c r="S186" s="16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</row>
    <row r="187" spans="1:111" x14ac:dyDescent="0.25">
      <c r="A187" s="8"/>
      <c r="B187" s="8"/>
      <c r="C187" s="8"/>
      <c r="D187" s="8"/>
      <c r="E187" s="74">
        <f t="shared" si="13"/>
        <v>8.6999999999999886</v>
      </c>
      <c r="F187" s="107">
        <f t="shared" si="12"/>
        <v>246.55896707672596</v>
      </c>
      <c r="G187" s="110">
        <f t="shared" si="10"/>
        <v>0.30058464653860872</v>
      </c>
      <c r="H187" s="111">
        <f t="shared" si="11"/>
        <v>0.27312445069366142</v>
      </c>
      <c r="I187" s="8"/>
      <c r="J187" s="8"/>
      <c r="K187" s="11"/>
      <c r="L187" s="16"/>
      <c r="M187" s="16"/>
      <c r="N187" s="16"/>
      <c r="O187" s="16"/>
      <c r="P187" s="16"/>
      <c r="Q187" s="16"/>
      <c r="R187" s="16"/>
      <c r="S187" s="16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</row>
    <row r="188" spans="1:111" x14ac:dyDescent="0.25">
      <c r="A188" s="8"/>
      <c r="B188" s="8"/>
      <c r="C188" s="8"/>
      <c r="D188" s="8"/>
      <c r="E188" s="74">
        <f t="shared" si="13"/>
        <v>8.7499999999999893</v>
      </c>
      <c r="F188" s="107">
        <f t="shared" si="12"/>
        <v>246.70627926821632</v>
      </c>
      <c r="G188" s="110">
        <f t="shared" si="10"/>
        <v>0.30217016169226585</v>
      </c>
      <c r="H188" s="111">
        <f t="shared" si="11"/>
        <v>0.27445583505881088</v>
      </c>
      <c r="I188" s="8"/>
      <c r="J188" s="8"/>
      <c r="K188" s="11"/>
      <c r="L188" s="16"/>
      <c r="M188" s="16"/>
      <c r="N188" s="16"/>
      <c r="O188" s="16"/>
      <c r="P188" s="16"/>
      <c r="Q188" s="16"/>
      <c r="R188" s="16"/>
      <c r="S188" s="16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</row>
    <row r="189" spans="1:111" x14ac:dyDescent="0.25">
      <c r="A189" s="8"/>
      <c r="B189" s="8"/>
      <c r="C189" s="8"/>
      <c r="D189" s="8"/>
      <c r="E189" s="74">
        <f t="shared" si="13"/>
        <v>8.7999999999999901</v>
      </c>
      <c r="F189" s="107">
        <f t="shared" si="12"/>
        <v>246.85183093284471</v>
      </c>
      <c r="G189" s="110">
        <f t="shared" si="10"/>
        <v>0.30375199426197741</v>
      </c>
      <c r="H189" s="111">
        <f t="shared" si="11"/>
        <v>0.27578478078872271</v>
      </c>
      <c r="I189" s="8"/>
      <c r="J189" s="8"/>
      <c r="K189" s="11"/>
      <c r="L189" s="16"/>
      <c r="M189" s="16"/>
      <c r="N189" s="16"/>
      <c r="O189" s="16"/>
      <c r="P189" s="16"/>
      <c r="Q189" s="16"/>
      <c r="R189" s="16"/>
      <c r="S189" s="16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</row>
    <row r="190" spans="1:111" x14ac:dyDescent="0.25">
      <c r="A190" s="8"/>
      <c r="B190" s="8"/>
      <c r="C190" s="8"/>
      <c r="D190" s="8"/>
      <c r="E190" s="74">
        <f t="shared" si="13"/>
        <v>8.8499999999999908</v>
      </c>
      <c r="F190" s="107">
        <f t="shared" si="12"/>
        <v>246.99569241769947</v>
      </c>
      <c r="G190" s="110">
        <f t="shared" si="10"/>
        <v>0.3053301945020821</v>
      </c>
      <c r="H190" s="111">
        <f t="shared" si="11"/>
        <v>0.27711129235013277</v>
      </c>
      <c r="I190" s="8"/>
      <c r="J190" s="8"/>
      <c r="K190" s="11"/>
      <c r="L190" s="16"/>
      <c r="M190" s="16"/>
      <c r="N190" s="16"/>
      <c r="O190" s="16"/>
      <c r="P190" s="16"/>
      <c r="Q190" s="16"/>
      <c r="R190" s="16"/>
      <c r="S190" s="16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</row>
    <row r="191" spans="1:111" x14ac:dyDescent="0.25">
      <c r="A191" s="8"/>
      <c r="B191" s="8"/>
      <c r="C191" s="8"/>
      <c r="D191" s="8"/>
      <c r="E191" s="74">
        <f t="shared" si="13"/>
        <v>8.8999999999999915</v>
      </c>
      <c r="F191" s="107">
        <f t="shared" si="12"/>
        <v>247.1379342267719</v>
      </c>
      <c r="G191" s="110">
        <f t="shared" si="10"/>
        <v>0.30690481405593129</v>
      </c>
      <c r="H191" s="111">
        <f t="shared" si="11"/>
        <v>0.27843537420159492</v>
      </c>
      <c r="I191" s="8"/>
      <c r="J191" s="8"/>
      <c r="K191" s="11"/>
      <c r="L191" s="16"/>
      <c r="M191" s="16"/>
      <c r="N191" s="16"/>
      <c r="O191" s="16"/>
      <c r="P191" s="16"/>
      <c r="Q191" s="16"/>
      <c r="R191" s="16"/>
      <c r="S191" s="16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</row>
    <row r="192" spans="1:111" x14ac:dyDescent="0.25">
      <c r="A192" s="8"/>
      <c r="B192" s="8"/>
      <c r="C192" s="8"/>
      <c r="D192" s="8"/>
      <c r="E192" s="74">
        <f t="shared" si="13"/>
        <v>8.9499999999999922</v>
      </c>
      <c r="F192" s="107">
        <f t="shared" si="12"/>
        <v>247.27862669531328</v>
      </c>
      <c r="G192" s="110">
        <f t="shared" si="10"/>
        <v>0.30847590560645333</v>
      </c>
      <c r="H192" s="111">
        <f t="shared" si="11"/>
        <v>0.27975703079349656</v>
      </c>
      <c r="I192" s="8"/>
      <c r="J192" s="8"/>
      <c r="K192" s="11"/>
      <c r="L192" s="16"/>
      <c r="M192" s="16"/>
      <c r="N192" s="16"/>
      <c r="O192" s="16"/>
      <c r="P192" s="16"/>
      <c r="Q192" s="16"/>
      <c r="R192" s="16"/>
      <c r="S192" s="16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</row>
    <row r="193" spans="1:111" x14ac:dyDescent="0.25">
      <c r="A193" s="8"/>
      <c r="B193" s="8"/>
      <c r="C193" s="8"/>
      <c r="D193" s="8"/>
      <c r="E193" s="74">
        <f t="shared" si="13"/>
        <v>8.9999999999999929</v>
      </c>
      <c r="F193" s="107">
        <f t="shared" si="12"/>
        <v>247.41784033864815</v>
      </c>
      <c r="G193" s="110">
        <f t="shared" si="10"/>
        <v>0.31004352321810902</v>
      </c>
      <c r="H193" s="111">
        <f t="shared" si="11"/>
        <v>0.28107626656807361</v>
      </c>
      <c r="I193" s="8"/>
      <c r="J193" s="8"/>
      <c r="K193" s="11"/>
      <c r="L193" s="16"/>
      <c r="M193" s="16"/>
      <c r="N193" s="16"/>
      <c r="O193" s="16"/>
      <c r="P193" s="16"/>
      <c r="Q193" s="16"/>
      <c r="R193" s="16"/>
      <c r="S193" s="16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</row>
    <row r="194" spans="1:111" x14ac:dyDescent="0.25">
      <c r="A194" s="8"/>
      <c r="B194" s="8"/>
      <c r="C194" s="8"/>
      <c r="D194" s="8"/>
      <c r="E194" s="74">
        <f t="shared" si="13"/>
        <v>9.0499999999999936</v>
      </c>
      <c r="F194" s="107">
        <f t="shared" si="12"/>
        <v>247.55564548119835</v>
      </c>
      <c r="G194" s="110">
        <f t="shared" si="10"/>
        <v>0.31160772193870501</v>
      </c>
      <c r="H194" s="111">
        <f t="shared" si="11"/>
        <v>0.28239308595942547</v>
      </c>
      <c r="I194" s="8"/>
      <c r="J194" s="8"/>
      <c r="K194" s="11"/>
      <c r="L194" s="16"/>
      <c r="M194" s="16"/>
      <c r="N194" s="16"/>
      <c r="O194" s="16"/>
      <c r="P194" s="16"/>
      <c r="Q194" s="16"/>
      <c r="R194" s="16"/>
      <c r="S194" s="16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</row>
    <row r="195" spans="1:111" x14ac:dyDescent="0.25">
      <c r="A195" s="8"/>
      <c r="B195" s="8"/>
      <c r="C195" s="8"/>
      <c r="D195" s="8"/>
      <c r="E195" s="74">
        <f t="shared" si="13"/>
        <v>9.0999999999999943</v>
      </c>
      <c r="F195" s="107">
        <f t="shared" si="12"/>
        <v>247.6921126486142</v>
      </c>
      <c r="G195" s="110">
        <f t="shared" si="10"/>
        <v>0.31316855818865452</v>
      </c>
      <c r="H195" s="111">
        <f t="shared" si="11"/>
        <v>0.28370749339352952</v>
      </c>
      <c r="I195" s="8"/>
      <c r="J195" s="8"/>
      <c r="K195" s="11"/>
      <c r="L195" s="16"/>
      <c r="M195" s="16"/>
      <c r="N195" s="16"/>
      <c r="O195" s="16"/>
      <c r="P195" s="16"/>
      <c r="Q195" s="16"/>
      <c r="R195" s="16"/>
      <c r="S195" s="16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</row>
    <row r="196" spans="1:111" x14ac:dyDescent="0.25">
      <c r="A196" s="8"/>
      <c r="B196" s="8"/>
      <c r="C196" s="8"/>
      <c r="D196" s="8"/>
      <c r="E196" s="74">
        <f t="shared" si="13"/>
        <v>9.149999999999995</v>
      </c>
      <c r="F196" s="107">
        <f t="shared" si="12"/>
        <v>247.82731215549538</v>
      </c>
      <c r="G196" s="110">
        <f t="shared" si="10"/>
        <v>0.31472608931761059</v>
      </c>
      <c r="H196" s="111">
        <f t="shared" si="11"/>
        <v>0.28501949328825649</v>
      </c>
      <c r="I196" s="8"/>
      <c r="J196" s="8"/>
      <c r="K196" s="11"/>
      <c r="L196" s="16"/>
      <c r="M196" s="16"/>
      <c r="N196" s="16"/>
      <c r="O196" s="16"/>
      <c r="P196" s="16"/>
      <c r="Q196" s="16"/>
      <c r="R196" s="16"/>
      <c r="S196" s="16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</row>
    <row r="197" spans="1:111" x14ac:dyDescent="0.25">
      <c r="A197" s="8"/>
      <c r="B197" s="8"/>
      <c r="C197" s="8"/>
      <c r="D197" s="8"/>
      <c r="E197" s="74">
        <f t="shared" si="13"/>
        <v>9.1999999999999957</v>
      </c>
      <c r="F197" s="107">
        <f t="shared" si="12"/>
        <v>247.96131453681068</v>
      </c>
      <c r="G197" s="110">
        <f t="shared" si="10"/>
        <v>0.31628037403738352</v>
      </c>
      <c r="H197" s="111">
        <f t="shared" si="11"/>
        <v>0.28632909005338503</v>
      </c>
      <c r="I197" s="8"/>
      <c r="J197" s="8"/>
      <c r="K197" s="11"/>
      <c r="L197" s="16"/>
      <c r="M197" s="16"/>
      <c r="N197" s="16"/>
      <c r="O197" s="16"/>
      <c r="P197" s="16"/>
      <c r="Q197" s="16"/>
      <c r="R197" s="16"/>
      <c r="S197" s="16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</row>
    <row r="198" spans="1:111" x14ac:dyDescent="0.25">
      <c r="A198" s="8"/>
      <c r="B198" s="8"/>
      <c r="C198" s="8"/>
      <c r="D198" s="8"/>
      <c r="E198" s="74">
        <f t="shared" si="13"/>
        <v>9.2499999999999964</v>
      </c>
      <c r="F198" s="107">
        <f t="shared" si="12"/>
        <v>248.09419009834497</v>
      </c>
      <c r="G198" s="110">
        <f t="shared" si="10"/>
        <v>0.31783147193705485</v>
      </c>
      <c r="H198" s="111">
        <f t="shared" si="11"/>
        <v>0.28763628809061648</v>
      </c>
      <c r="I198" s="8"/>
      <c r="J198" s="8"/>
      <c r="K198" s="11"/>
      <c r="L198" s="16"/>
      <c r="M198" s="16"/>
      <c r="N198" s="16"/>
      <c r="O198" s="16"/>
      <c r="P198" s="16"/>
      <c r="Q198" s="16"/>
      <c r="R198" s="16"/>
      <c r="S198" s="16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</row>
    <row r="199" spans="1:111" x14ac:dyDescent="0.25">
      <c r="A199" s="8"/>
      <c r="B199" s="8"/>
      <c r="C199" s="8"/>
      <c r="D199" s="8"/>
      <c r="E199" s="74">
        <f t="shared" si="13"/>
        <v>9.2999999999999972</v>
      </c>
      <c r="F199" s="107">
        <f t="shared" si="12"/>
        <v>248.22600935177095</v>
      </c>
      <c r="G199" s="110">
        <f t="shared" si="10"/>
        <v>0.31937944392246886</v>
      </c>
      <c r="H199" s="111">
        <f t="shared" si="11"/>
        <v>0.28894109179359018</v>
      </c>
      <c r="I199" s="8"/>
      <c r="J199" s="8"/>
      <c r="K199" s="11"/>
      <c r="L199" s="16"/>
      <c r="M199" s="16"/>
      <c r="N199" s="16"/>
      <c r="O199" s="16"/>
      <c r="P199" s="16"/>
      <c r="Q199" s="16"/>
      <c r="R199" s="16"/>
      <c r="S199" s="16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</row>
    <row r="200" spans="1:111" x14ac:dyDescent="0.25">
      <c r="A200" s="8"/>
      <c r="B200" s="8"/>
      <c r="C200" s="8"/>
      <c r="D200" s="8"/>
      <c r="E200" s="74">
        <f t="shared" si="13"/>
        <v>9.3499999999999979</v>
      </c>
      <c r="F200" s="107">
        <f t="shared" si="12"/>
        <v>248.35684268988786</v>
      </c>
      <c r="G200" s="110">
        <f t="shared" si="10"/>
        <v>0.32092435186030133</v>
      </c>
      <c r="H200" s="111">
        <f t="shared" si="11"/>
        <v>0.29024350554789746</v>
      </c>
      <c r="I200" s="8"/>
      <c r="J200" s="8"/>
      <c r="K200" s="11"/>
      <c r="L200" s="16"/>
      <c r="M200" s="16"/>
      <c r="N200" s="16"/>
      <c r="O200" s="16"/>
      <c r="P200" s="16"/>
      <c r="Q200" s="16"/>
      <c r="R200" s="16"/>
      <c r="S200" s="16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</row>
    <row r="201" spans="1:111" x14ac:dyDescent="0.25">
      <c r="A201" s="8"/>
      <c r="B201" s="8"/>
      <c r="C201" s="8"/>
      <c r="D201" s="8"/>
      <c r="E201" s="74">
        <f t="shared" si="13"/>
        <v>9.3999999999999986</v>
      </c>
      <c r="F201" s="107">
        <f t="shared" si="12"/>
        <v>248.48676053521319</v>
      </c>
      <c r="G201" s="110">
        <f t="shared" si="10"/>
        <v>0.32246625871824941</v>
      </c>
      <c r="H201" s="111">
        <f t="shared" si="11"/>
        <v>0.29154353373109676</v>
      </c>
      <c r="I201" s="8"/>
      <c r="J201" s="8"/>
      <c r="K201" s="11"/>
      <c r="L201" s="16"/>
      <c r="M201" s="16"/>
      <c r="N201" s="16"/>
      <c r="O201" s="16"/>
      <c r="P201" s="16"/>
      <c r="Q201" s="16"/>
      <c r="R201" s="16"/>
      <c r="S201" s="16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</row>
    <row r="202" spans="1:111" x14ac:dyDescent="0.25">
      <c r="A202" s="8"/>
      <c r="B202" s="8"/>
      <c r="C202" s="8"/>
      <c r="D202" s="8"/>
      <c r="E202" s="74">
        <f t="shared" si="13"/>
        <v>9.4499999999999993</v>
      </c>
      <c r="F202" s="107">
        <f t="shared" si="12"/>
        <v>248.61583331026458</v>
      </c>
      <c r="G202" s="110">
        <f t="shared" si="10"/>
        <v>0.32400522851833768</v>
      </c>
      <c r="H202" s="111">
        <f t="shared" si="11"/>
        <v>0.29284118071272869</v>
      </c>
      <c r="I202" s="8"/>
      <c r="J202" s="8"/>
      <c r="K202" s="11"/>
      <c r="L202" s="16"/>
      <c r="M202" s="16"/>
      <c r="N202" s="16"/>
      <c r="O202" s="16"/>
      <c r="P202" s="16"/>
      <c r="Q202" s="16"/>
      <c r="R202" s="16"/>
      <c r="S202" s="16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</row>
    <row r="203" spans="1:111" x14ac:dyDescent="0.25">
      <c r="A203" s="8"/>
      <c r="B203" s="8"/>
      <c r="C203" s="8"/>
      <c r="D203" s="8"/>
      <c r="E203" s="74">
        <f t="shared" si="13"/>
        <v>9.5</v>
      </c>
      <c r="F203" s="107">
        <f t="shared" si="12"/>
        <v>248.74413143755964</v>
      </c>
      <c r="G203" s="110">
        <f t="shared" si="10"/>
        <v>0.32554132632142607</v>
      </c>
      <c r="H203" s="111">
        <f t="shared" si="11"/>
        <v>0.29413645085432993</v>
      </c>
      <c r="I203" s="8"/>
      <c r="J203" s="8"/>
      <c r="K203" s="11"/>
      <c r="L203" s="16"/>
      <c r="M203" s="16"/>
      <c r="N203" s="16"/>
      <c r="O203" s="16"/>
      <c r="P203" s="16"/>
      <c r="Q203" s="16"/>
      <c r="R203" s="16"/>
      <c r="S203" s="16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</row>
    <row r="204" spans="1:111" x14ac:dyDescent="0.25">
      <c r="A204" s="8"/>
      <c r="B204" s="8"/>
      <c r="C204" s="8"/>
      <c r="D204" s="8"/>
      <c r="E204" s="74">
        <f t="shared" si="13"/>
        <v>9.5500000000000007</v>
      </c>
      <c r="F204" s="107">
        <f t="shared" si="12"/>
        <v>248.87172533961589</v>
      </c>
      <c r="G204" s="110">
        <f t="shared" ref="G204:G213" si="14">1-EXP(-E204*F204/(1-RecoveryRate)/10000)</f>
        <v>0.32707461821175954</v>
      </c>
      <c r="H204" s="111">
        <f t="shared" ref="H204:H213" si="15">1-EXP(-E204*fiveyrspread/(1-RecoveryRate)/10000)</f>
        <v>0.2954293485094488</v>
      </c>
      <c r="I204" s="8"/>
      <c r="J204" s="8"/>
      <c r="K204" s="11"/>
      <c r="L204" s="16"/>
      <c r="M204" s="16"/>
      <c r="N204" s="16"/>
      <c r="O204" s="16"/>
      <c r="P204" s="16"/>
      <c r="Q204" s="16"/>
      <c r="R204" s="16"/>
      <c r="S204" s="16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</row>
    <row r="205" spans="1:111" x14ac:dyDescent="0.25">
      <c r="A205" s="8"/>
      <c r="B205" s="8"/>
      <c r="C205" s="8"/>
      <c r="D205" s="8"/>
      <c r="E205" s="74">
        <f t="shared" si="13"/>
        <v>9.6000000000000014</v>
      </c>
      <c r="F205" s="107">
        <f t="shared" ref="F205:F213" si="16">CubicSpline($B$34:$B$38,$C$11:$C$15,E205)</f>
        <v>248.99868543895099</v>
      </c>
      <c r="G205" s="110">
        <f t="shared" si="14"/>
        <v>0.32860517128155708</v>
      </c>
      <c r="H205" s="111">
        <f t="shared" si="15"/>
        <v>0.29671987802365918</v>
      </c>
      <c r="I205" s="8"/>
      <c r="J205" s="8"/>
      <c r="K205" s="11"/>
      <c r="L205" s="16"/>
      <c r="M205" s="16"/>
      <c r="N205" s="16"/>
      <c r="O205" s="16"/>
      <c r="P205" s="16"/>
      <c r="Q205" s="16"/>
      <c r="R205" s="16"/>
      <c r="S205" s="16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</row>
    <row r="206" spans="1:111" x14ac:dyDescent="0.25">
      <c r="A206" s="8"/>
      <c r="B206" s="8"/>
      <c r="C206" s="8"/>
      <c r="D206" s="8"/>
      <c r="E206" s="74">
        <f t="shared" si="13"/>
        <v>9.6500000000000021</v>
      </c>
      <c r="F206" s="107">
        <f t="shared" si="16"/>
        <v>249.12508213996492</v>
      </c>
      <c r="G206" s="110">
        <f t="shared" si="14"/>
        <v>0.330133053596113</v>
      </c>
      <c r="H206" s="111">
        <f t="shared" si="15"/>
        <v>0.29800804373457512</v>
      </c>
      <c r="I206" s="8"/>
      <c r="J206" s="8"/>
      <c r="K206" s="11"/>
      <c r="L206" s="16"/>
      <c r="M206" s="16"/>
      <c r="N206" s="16"/>
      <c r="O206" s="16"/>
      <c r="P206" s="16"/>
      <c r="Q206" s="16"/>
      <c r="R206" s="16"/>
      <c r="S206" s="16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</row>
    <row r="207" spans="1:111" x14ac:dyDescent="0.25">
      <c r="A207" s="8"/>
      <c r="B207" s="8"/>
      <c r="C207" s="8"/>
      <c r="D207" s="8"/>
      <c r="E207" s="74">
        <f t="shared" si="13"/>
        <v>9.7000000000000028</v>
      </c>
      <c r="F207" s="107">
        <f t="shared" si="16"/>
        <v>249.25098590120569</v>
      </c>
      <c r="G207" s="110">
        <f t="shared" si="14"/>
        <v>0.33165833425624669</v>
      </c>
      <c r="H207" s="111">
        <f t="shared" si="15"/>
        <v>0.29929384997186603</v>
      </c>
      <c r="I207" s="8"/>
      <c r="J207" s="8"/>
      <c r="K207" s="11"/>
      <c r="L207" s="16"/>
      <c r="M207" s="16"/>
      <c r="N207" s="16"/>
      <c r="O207" s="16"/>
      <c r="P207" s="16"/>
      <c r="Q207" s="16"/>
      <c r="R207" s="16"/>
      <c r="S207" s="16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</row>
    <row r="208" spans="1:111" x14ac:dyDescent="0.25">
      <c r="A208" s="8"/>
      <c r="B208" s="8"/>
      <c r="C208" s="8"/>
      <c r="D208" s="8"/>
      <c r="E208" s="74">
        <f t="shared" si="13"/>
        <v>9.7500000000000036</v>
      </c>
      <c r="F208" s="107">
        <f t="shared" si="16"/>
        <v>249.37646712730952</v>
      </c>
      <c r="G208" s="110">
        <f t="shared" si="14"/>
        <v>0.33318108326672691</v>
      </c>
      <c r="H208" s="111">
        <f t="shared" si="15"/>
        <v>0.30057730105727098</v>
      </c>
      <c r="I208" s="8"/>
      <c r="J208" s="8"/>
      <c r="K208" s="11"/>
      <c r="L208" s="16"/>
      <c r="M208" s="16"/>
      <c r="N208" s="16"/>
      <c r="O208" s="16"/>
      <c r="P208" s="16"/>
      <c r="Q208" s="16"/>
      <c r="R208" s="16"/>
      <c r="S208" s="16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</row>
    <row r="209" spans="1:111" x14ac:dyDescent="0.25">
      <c r="A209" s="8"/>
      <c r="B209" s="8"/>
      <c r="C209" s="8"/>
      <c r="D209" s="8"/>
      <c r="E209" s="74">
        <f t="shared" si="13"/>
        <v>9.8000000000000043</v>
      </c>
      <c r="F209" s="107">
        <f t="shared" si="16"/>
        <v>249.50159624079396</v>
      </c>
      <c r="G209" s="110">
        <f t="shared" si="14"/>
        <v>0.33470137159814339</v>
      </c>
      <c r="H209" s="111">
        <f t="shared" si="15"/>
        <v>0.30185840130461261</v>
      </c>
      <c r="I209" s="8"/>
      <c r="J209" s="8"/>
      <c r="K209" s="11"/>
      <c r="L209" s="16"/>
      <c r="M209" s="16"/>
      <c r="N209" s="16"/>
      <c r="O209" s="16"/>
      <c r="P209" s="16"/>
      <c r="Q209" s="16"/>
      <c r="R209" s="16"/>
      <c r="S209" s="16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</row>
    <row r="210" spans="1:111" x14ac:dyDescent="0.25">
      <c r="A210" s="8"/>
      <c r="B210" s="8"/>
      <c r="C210" s="8"/>
      <c r="D210" s="8"/>
      <c r="E210" s="74">
        <f t="shared" ref="E210:E211" si="17">E209+0.05</f>
        <v>9.850000000000005</v>
      </c>
      <c r="F210" s="107">
        <f t="shared" si="16"/>
        <v>249.62644365480298</v>
      </c>
      <c r="G210" s="110">
        <f t="shared" si="14"/>
        <v>0.33621927114219219</v>
      </c>
      <c r="H210" s="111">
        <f t="shared" si="15"/>
        <v>0.30313715501981242</v>
      </c>
      <c r="I210" s="8"/>
      <c r="J210" s="8"/>
      <c r="K210" s="11"/>
      <c r="L210" s="16"/>
      <c r="M210" s="16"/>
      <c r="N210" s="16"/>
      <c r="O210" s="16"/>
      <c r="P210" s="16"/>
      <c r="Q210" s="16"/>
      <c r="R210" s="16"/>
      <c r="S210" s="16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</row>
    <row r="211" spans="1:111" x14ac:dyDescent="0.25">
      <c r="A211" s="8"/>
      <c r="B211" s="8"/>
      <c r="C211" s="8"/>
      <c r="D211" s="8"/>
      <c r="E211" s="74">
        <f t="shared" si="17"/>
        <v>9.9000000000000057</v>
      </c>
      <c r="F211" s="107">
        <f t="shared" si="16"/>
        <v>249.75107981056203</v>
      </c>
      <c r="G211" s="110">
        <f t="shared" si="14"/>
        <v>0.33773485473718035</v>
      </c>
      <c r="H211" s="111">
        <f t="shared" si="15"/>
        <v>0.30441356650090512</v>
      </c>
      <c r="I211" s="8"/>
      <c r="J211" s="8"/>
      <c r="K211" s="11"/>
      <c r="L211" s="16"/>
      <c r="M211" s="16"/>
      <c r="N211" s="16"/>
      <c r="O211" s="16"/>
      <c r="P211" s="16"/>
      <c r="Q211" s="16"/>
      <c r="R211" s="16"/>
      <c r="S211" s="16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</row>
    <row r="212" spans="1:111" x14ac:dyDescent="0.25">
      <c r="A212" s="8"/>
      <c r="B212" s="8"/>
      <c r="C212" s="8"/>
      <c r="D212" s="8"/>
      <c r="E212" s="74">
        <f t="shared" ref="E212:E213" si="18">E211+0.05</f>
        <v>9.9500000000000064</v>
      </c>
      <c r="F212" s="107">
        <f t="shared" si="16"/>
        <v>249.87557511655194</v>
      </c>
      <c r="G212" s="110">
        <f t="shared" si="14"/>
        <v>0.33924819608652435</v>
      </c>
      <c r="H212" s="111">
        <f t="shared" si="15"/>
        <v>0.30568764003805249</v>
      </c>
      <c r="I212" s="8"/>
      <c r="J212" s="8"/>
      <c r="K212" s="11"/>
      <c r="L212" s="16"/>
      <c r="M212" s="16"/>
      <c r="N212" s="16"/>
      <c r="O212" s="16"/>
      <c r="P212" s="16"/>
      <c r="Q212" s="16"/>
      <c r="R212" s="16"/>
      <c r="S212" s="16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</row>
    <row r="213" spans="1:111" ht="13.8" thickBot="1" x14ac:dyDescent="0.3">
      <c r="A213" s="8"/>
      <c r="B213" s="8"/>
      <c r="C213" s="8"/>
      <c r="D213" s="8"/>
      <c r="E213" s="75">
        <f t="shared" si="18"/>
        <v>10.000000000000007</v>
      </c>
      <c r="F213" s="112">
        <f t="shared" si="16"/>
        <v>250.00000000000003</v>
      </c>
      <c r="G213" s="113">
        <f t="shared" si="14"/>
        <v>0.34075936979955657</v>
      </c>
      <c r="H213" s="114">
        <f t="shared" si="15"/>
        <v>0.30695937991355871</v>
      </c>
      <c r="I213" s="8"/>
      <c r="J213" s="8"/>
      <c r="K213" s="11"/>
      <c r="L213" s="16"/>
      <c r="M213" s="16"/>
      <c r="N213" s="16"/>
      <c r="O213" s="16"/>
      <c r="P213" s="16"/>
      <c r="Q213" s="16"/>
      <c r="R213" s="16"/>
      <c r="S213" s="16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</row>
    <row r="214" spans="1:111" x14ac:dyDescent="0.25">
      <c r="A214" s="8"/>
      <c r="B214" s="8"/>
      <c r="C214" s="8"/>
      <c r="D214" s="8"/>
      <c r="E214" s="73"/>
      <c r="F214" s="8"/>
      <c r="G214" s="8"/>
      <c r="H214" s="8"/>
      <c r="I214" s="8"/>
      <c r="J214" s="8"/>
      <c r="K214" s="11"/>
      <c r="L214" s="16"/>
      <c r="M214" s="16"/>
      <c r="N214" s="16"/>
      <c r="O214" s="16"/>
      <c r="P214" s="16"/>
      <c r="Q214" s="16"/>
      <c r="R214" s="16"/>
      <c r="S214" s="16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</row>
    <row r="215" spans="1:111" x14ac:dyDescent="0.25">
      <c r="A215" s="8"/>
      <c r="B215" s="8"/>
      <c r="C215" s="8"/>
      <c r="D215" s="8"/>
      <c r="E215" s="73"/>
      <c r="F215" s="8"/>
      <c r="G215" s="8"/>
      <c r="H215" s="8"/>
      <c r="I215" s="8"/>
      <c r="J215" s="8"/>
      <c r="K215" s="11"/>
      <c r="L215" s="16"/>
      <c r="M215" s="16"/>
      <c r="N215" s="16"/>
      <c r="O215" s="16"/>
      <c r="P215" s="16"/>
      <c r="Q215" s="16"/>
      <c r="R215" s="16"/>
      <c r="S215" s="16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</row>
    <row r="216" spans="1:111" x14ac:dyDescent="0.25">
      <c r="A216" s="8"/>
      <c r="B216" s="8"/>
      <c r="C216" s="8"/>
      <c r="D216" s="8"/>
      <c r="E216" s="73"/>
      <c r="F216" s="8"/>
      <c r="G216" s="8"/>
      <c r="H216" s="8"/>
      <c r="I216" s="8"/>
      <c r="J216" s="8"/>
      <c r="K216" s="11"/>
      <c r="L216" s="16"/>
      <c r="M216" s="16"/>
      <c r="N216" s="16"/>
      <c r="O216" s="16"/>
      <c r="P216" s="16"/>
      <c r="Q216" s="16"/>
      <c r="R216" s="16"/>
      <c r="S216" s="16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</row>
    <row r="217" spans="1:111" x14ac:dyDescent="0.25">
      <c r="A217" s="8"/>
      <c r="B217" s="8"/>
      <c r="C217" s="8"/>
      <c r="D217" s="8"/>
      <c r="E217" s="73"/>
      <c r="F217" s="8"/>
      <c r="G217" s="8"/>
      <c r="H217" s="8"/>
      <c r="I217" s="8"/>
      <c r="J217" s="8"/>
      <c r="K217" s="11"/>
      <c r="L217" s="16"/>
      <c r="M217" s="16"/>
      <c r="N217" s="16"/>
      <c r="O217" s="16"/>
      <c r="P217" s="16"/>
      <c r="Q217" s="16"/>
      <c r="R217" s="16"/>
      <c r="S217" s="16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</row>
    <row r="218" spans="1:111" x14ac:dyDescent="0.25">
      <c r="A218" s="8"/>
      <c r="B218" s="8"/>
      <c r="C218" s="8"/>
      <c r="D218" s="8"/>
      <c r="E218" s="73"/>
      <c r="F218" s="8"/>
      <c r="G218" s="8"/>
      <c r="H218" s="8"/>
      <c r="I218" s="8"/>
      <c r="J218" s="8"/>
      <c r="K218" s="11"/>
      <c r="L218" s="16"/>
      <c r="M218" s="16"/>
      <c r="N218" s="16"/>
      <c r="O218" s="16"/>
      <c r="P218" s="16"/>
      <c r="Q218" s="16"/>
      <c r="R218" s="16"/>
      <c r="S218" s="16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</row>
    <row r="219" spans="1:111" x14ac:dyDescent="0.25">
      <c r="A219" s="8"/>
      <c r="B219" s="8"/>
      <c r="C219" s="8"/>
      <c r="D219" s="8"/>
      <c r="E219" s="73"/>
      <c r="F219" s="8"/>
      <c r="G219" s="8"/>
      <c r="H219" s="8"/>
      <c r="I219" s="8"/>
      <c r="J219" s="8"/>
      <c r="K219" s="11"/>
      <c r="L219" s="16"/>
      <c r="M219" s="16"/>
      <c r="N219" s="16"/>
      <c r="O219" s="16"/>
      <c r="P219" s="16"/>
      <c r="Q219" s="16"/>
      <c r="R219" s="16"/>
      <c r="S219" s="16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</row>
    <row r="220" spans="1:111" x14ac:dyDescent="0.25">
      <c r="A220" s="8"/>
      <c r="B220" s="8"/>
      <c r="C220" s="8"/>
      <c r="D220" s="8"/>
      <c r="E220" s="73"/>
      <c r="F220" s="8"/>
      <c r="G220" s="8"/>
      <c r="H220" s="8"/>
      <c r="I220" s="8"/>
      <c r="J220" s="8"/>
      <c r="K220" s="11"/>
      <c r="L220" s="16"/>
      <c r="M220" s="16"/>
      <c r="N220" s="16"/>
      <c r="O220" s="16"/>
      <c r="P220" s="16"/>
      <c r="Q220" s="16"/>
      <c r="R220" s="16"/>
      <c r="S220" s="16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</row>
    <row r="221" spans="1:111" x14ac:dyDescent="0.25">
      <c r="A221" s="8"/>
      <c r="B221" s="8"/>
      <c r="C221" s="8"/>
      <c r="D221" s="8"/>
      <c r="E221" s="73"/>
      <c r="F221" s="8"/>
      <c r="G221" s="8"/>
      <c r="H221" s="8"/>
      <c r="I221" s="8"/>
      <c r="J221" s="8"/>
      <c r="K221" s="11"/>
      <c r="L221" s="16"/>
      <c r="M221" s="16"/>
      <c r="N221" s="16"/>
      <c r="O221" s="16"/>
      <c r="P221" s="16"/>
      <c r="Q221" s="16"/>
      <c r="R221" s="16"/>
      <c r="S221" s="16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</row>
    <row r="222" spans="1:111" x14ac:dyDescent="0.25">
      <c r="A222" s="8"/>
      <c r="B222" s="8"/>
      <c r="C222" s="8"/>
      <c r="D222" s="8"/>
      <c r="E222" s="73"/>
      <c r="F222" s="8"/>
      <c r="G222" s="8"/>
      <c r="H222" s="8"/>
      <c r="I222" s="8"/>
      <c r="J222" s="8"/>
      <c r="K222" s="11"/>
      <c r="L222" s="16"/>
      <c r="M222" s="16"/>
      <c r="N222" s="16"/>
      <c r="O222" s="16"/>
      <c r="P222" s="16"/>
      <c r="Q222" s="16"/>
      <c r="R222" s="16"/>
      <c r="S222" s="16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</row>
    <row r="223" spans="1:111" x14ac:dyDescent="0.25">
      <c r="A223" s="8"/>
      <c r="B223" s="8"/>
      <c r="C223" s="8"/>
      <c r="D223" s="8"/>
      <c r="E223" s="73"/>
      <c r="F223" s="8"/>
      <c r="G223" s="8"/>
      <c r="H223" s="8"/>
      <c r="I223" s="8"/>
      <c r="J223" s="8"/>
      <c r="K223" s="11"/>
      <c r="L223" s="16"/>
      <c r="M223" s="16"/>
      <c r="N223" s="16"/>
      <c r="O223" s="16"/>
      <c r="P223" s="16"/>
      <c r="Q223" s="16"/>
      <c r="R223" s="16"/>
      <c r="S223" s="16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</row>
    <row r="224" spans="1:111" x14ac:dyDescent="0.25">
      <c r="A224" s="8"/>
      <c r="B224" s="8"/>
      <c r="C224" s="8"/>
      <c r="D224" s="8"/>
      <c r="E224" s="73"/>
      <c r="F224" s="8"/>
      <c r="G224" s="8"/>
      <c r="H224" s="8"/>
      <c r="I224" s="8"/>
      <c r="J224" s="8"/>
      <c r="K224" s="11"/>
      <c r="L224" s="16"/>
      <c r="M224" s="16"/>
      <c r="N224" s="16"/>
      <c r="O224" s="16"/>
      <c r="P224" s="16"/>
      <c r="Q224" s="16"/>
      <c r="R224" s="16"/>
      <c r="S224" s="16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</row>
    <row r="225" spans="1:111" x14ac:dyDescent="0.25">
      <c r="A225" s="8"/>
      <c r="B225" s="8"/>
      <c r="C225" s="8"/>
      <c r="D225" s="8"/>
      <c r="E225" s="73"/>
      <c r="F225" s="8"/>
      <c r="G225" s="8"/>
      <c r="H225" s="8"/>
      <c r="I225" s="8"/>
      <c r="J225" s="8"/>
      <c r="K225" s="11"/>
      <c r="L225" s="16"/>
      <c r="M225" s="16"/>
      <c r="N225" s="16"/>
      <c r="O225" s="16"/>
      <c r="P225" s="16"/>
      <c r="Q225" s="16"/>
      <c r="R225" s="16"/>
      <c r="S225" s="16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</row>
    <row r="226" spans="1:111" x14ac:dyDescent="0.25">
      <c r="A226" s="8"/>
      <c r="B226" s="8"/>
      <c r="C226" s="8"/>
      <c r="D226" s="8"/>
      <c r="E226" s="73"/>
      <c r="F226" s="8"/>
      <c r="G226" s="8"/>
      <c r="H226" s="8"/>
      <c r="I226" s="8"/>
      <c r="J226" s="8"/>
      <c r="K226" s="11"/>
      <c r="L226" s="16"/>
      <c r="M226" s="16"/>
      <c r="N226" s="16"/>
      <c r="O226" s="16"/>
      <c r="P226" s="16"/>
      <c r="Q226" s="16"/>
      <c r="R226" s="16"/>
      <c r="S226" s="16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</row>
    <row r="227" spans="1:111" x14ac:dyDescent="0.25">
      <c r="A227" s="8"/>
      <c r="B227" s="8"/>
      <c r="C227" s="8"/>
      <c r="D227" s="8"/>
      <c r="E227" s="73"/>
      <c r="F227" s="8"/>
      <c r="G227" s="8"/>
      <c r="H227" s="8"/>
      <c r="I227" s="8"/>
      <c r="J227" s="8"/>
      <c r="K227" s="11"/>
      <c r="L227" s="16"/>
      <c r="M227" s="16"/>
      <c r="N227" s="16"/>
      <c r="O227" s="16"/>
      <c r="P227" s="16"/>
      <c r="Q227" s="16"/>
      <c r="R227" s="16"/>
      <c r="S227" s="16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</row>
    <row r="228" spans="1:111" x14ac:dyDescent="0.25">
      <c r="A228" s="8"/>
      <c r="B228" s="8"/>
      <c r="C228" s="8"/>
      <c r="D228" s="8"/>
      <c r="E228" s="73"/>
      <c r="F228" s="8"/>
      <c r="G228" s="8"/>
      <c r="H228" s="8"/>
      <c r="I228" s="8"/>
      <c r="J228" s="8"/>
      <c r="K228" s="11"/>
      <c r="L228" s="16"/>
      <c r="M228" s="16"/>
      <c r="N228" s="16"/>
      <c r="O228" s="16"/>
      <c r="P228" s="16"/>
      <c r="Q228" s="16"/>
      <c r="R228" s="16"/>
      <c r="S228" s="16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</row>
    <row r="229" spans="1:111" x14ac:dyDescent="0.25">
      <c r="A229" s="8"/>
      <c r="B229" s="8"/>
      <c r="C229" s="8"/>
      <c r="D229" s="8"/>
      <c r="E229" s="73"/>
      <c r="F229" s="8"/>
      <c r="G229" s="8"/>
      <c r="H229" s="8"/>
      <c r="I229" s="8"/>
      <c r="J229" s="8"/>
      <c r="K229" s="11"/>
      <c r="L229" s="16"/>
      <c r="M229" s="16"/>
      <c r="N229" s="16"/>
      <c r="O229" s="16"/>
      <c r="P229" s="16"/>
      <c r="Q229" s="16"/>
      <c r="R229" s="16"/>
      <c r="S229" s="16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</row>
    <row r="230" spans="1:111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11"/>
      <c r="L230" s="16"/>
      <c r="M230" s="16"/>
      <c r="N230" s="16"/>
      <c r="O230" s="16"/>
      <c r="P230" s="16"/>
      <c r="Q230" s="16"/>
      <c r="R230" s="16"/>
      <c r="S230" s="16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</row>
    <row r="231" spans="1:111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11"/>
      <c r="L231" s="16"/>
      <c r="M231" s="16"/>
      <c r="N231" s="16"/>
      <c r="O231" s="16"/>
      <c r="P231" s="16"/>
      <c r="Q231" s="16"/>
      <c r="R231" s="16"/>
      <c r="S231" s="16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</row>
    <row r="232" spans="1:111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11"/>
      <c r="L232" s="16"/>
      <c r="M232" s="16"/>
      <c r="N232" s="16"/>
      <c r="O232" s="16"/>
      <c r="P232" s="16"/>
      <c r="Q232" s="16"/>
      <c r="R232" s="16"/>
      <c r="S232" s="16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</row>
    <row r="233" spans="1:111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11"/>
      <c r="L233" s="16"/>
      <c r="M233" s="16"/>
      <c r="N233" s="16"/>
      <c r="O233" s="16"/>
      <c r="P233" s="16"/>
      <c r="Q233" s="16"/>
      <c r="R233" s="16"/>
      <c r="S233" s="16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</row>
    <row r="234" spans="1:111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11"/>
      <c r="L234" s="16"/>
      <c r="M234" s="16"/>
      <c r="N234" s="16"/>
      <c r="O234" s="16"/>
      <c r="P234" s="16"/>
      <c r="Q234" s="16"/>
      <c r="R234" s="16"/>
      <c r="S234" s="16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</row>
    <row r="235" spans="1:111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11"/>
      <c r="L235" s="16"/>
      <c r="M235" s="16"/>
      <c r="N235" s="16"/>
      <c r="O235" s="16"/>
      <c r="P235" s="16"/>
      <c r="Q235" s="16"/>
      <c r="R235" s="16"/>
      <c r="S235" s="16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</row>
    <row r="236" spans="1:111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11"/>
      <c r="L236" s="16"/>
      <c r="M236" s="16"/>
      <c r="N236" s="16"/>
      <c r="O236" s="16"/>
      <c r="P236" s="16"/>
      <c r="Q236" s="16"/>
      <c r="R236" s="16"/>
      <c r="S236" s="16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</row>
    <row r="237" spans="1:111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11"/>
      <c r="L237" s="16"/>
      <c r="M237" s="16"/>
      <c r="N237" s="16"/>
      <c r="O237" s="16"/>
      <c r="P237" s="16"/>
      <c r="Q237" s="16"/>
      <c r="R237" s="16"/>
      <c r="S237" s="16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</row>
    <row r="238" spans="1:111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11"/>
      <c r="L238" s="16"/>
      <c r="M238" s="16"/>
      <c r="N238" s="16"/>
      <c r="O238" s="16"/>
      <c r="P238" s="16"/>
      <c r="Q238" s="16"/>
      <c r="R238" s="16"/>
      <c r="S238" s="16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</row>
    <row r="239" spans="1:111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11"/>
      <c r="L239" s="16"/>
      <c r="M239" s="16"/>
      <c r="N239" s="16"/>
      <c r="O239" s="16"/>
      <c r="P239" s="16"/>
      <c r="Q239" s="16"/>
      <c r="R239" s="16"/>
      <c r="S239" s="16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</row>
    <row r="240" spans="1:111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11"/>
      <c r="L240" s="16"/>
      <c r="M240" s="16"/>
      <c r="N240" s="16"/>
      <c r="O240" s="16"/>
      <c r="P240" s="16"/>
      <c r="Q240" s="16"/>
      <c r="R240" s="16"/>
      <c r="S240" s="16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</row>
    <row r="241" spans="1:111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11"/>
      <c r="L241" s="16"/>
      <c r="M241" s="16"/>
      <c r="N241" s="16"/>
      <c r="O241" s="16"/>
      <c r="P241" s="16"/>
      <c r="Q241" s="16"/>
      <c r="R241" s="16"/>
      <c r="S241" s="16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</row>
    <row r="242" spans="1:111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11"/>
      <c r="L242" s="16"/>
      <c r="M242" s="16"/>
      <c r="N242" s="16"/>
      <c r="O242" s="16"/>
      <c r="P242" s="16"/>
      <c r="Q242" s="16"/>
      <c r="R242" s="16"/>
      <c r="S242" s="16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</row>
    <row r="243" spans="1:111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11"/>
      <c r="L243" s="16"/>
      <c r="M243" s="16"/>
      <c r="N243" s="16"/>
      <c r="O243" s="16"/>
      <c r="P243" s="16"/>
      <c r="Q243" s="16"/>
      <c r="R243" s="16"/>
      <c r="S243" s="16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</row>
    <row r="244" spans="1:111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11"/>
      <c r="L244" s="16"/>
      <c r="M244" s="16"/>
      <c r="N244" s="16"/>
      <c r="O244" s="16"/>
      <c r="P244" s="16"/>
      <c r="Q244" s="16"/>
      <c r="R244" s="16"/>
      <c r="S244" s="16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</row>
    <row r="245" spans="1:111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11"/>
      <c r="L245" s="16"/>
      <c r="M245" s="16"/>
      <c r="N245" s="16"/>
      <c r="O245" s="16"/>
      <c r="P245" s="16"/>
      <c r="Q245" s="16"/>
      <c r="R245" s="16"/>
      <c r="S245" s="16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</row>
    <row r="246" spans="1:111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11"/>
      <c r="L246" s="16"/>
      <c r="M246" s="16"/>
      <c r="N246" s="16"/>
      <c r="O246" s="16"/>
      <c r="P246" s="16"/>
      <c r="Q246" s="16"/>
      <c r="R246" s="16"/>
      <c r="S246" s="16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</row>
    <row r="247" spans="1:111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11"/>
      <c r="L247" s="16"/>
      <c r="M247" s="16"/>
      <c r="N247" s="16"/>
      <c r="O247" s="16"/>
      <c r="P247" s="16"/>
      <c r="Q247" s="16"/>
      <c r="R247" s="16"/>
      <c r="S247" s="16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</row>
    <row r="248" spans="1:111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11"/>
      <c r="L248" s="16"/>
      <c r="M248" s="16"/>
      <c r="N248" s="16"/>
      <c r="O248" s="16"/>
      <c r="P248" s="16"/>
      <c r="Q248" s="16"/>
      <c r="R248" s="16"/>
      <c r="S248" s="16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</row>
    <row r="249" spans="1:111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11"/>
      <c r="L249" s="16"/>
      <c r="M249" s="16"/>
      <c r="N249" s="16"/>
      <c r="O249" s="16"/>
      <c r="P249" s="16"/>
      <c r="Q249" s="16"/>
      <c r="R249" s="16"/>
      <c r="S249" s="16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</row>
    <row r="250" spans="1:111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11"/>
      <c r="L250" s="16"/>
      <c r="M250" s="16"/>
      <c r="N250" s="16"/>
      <c r="O250" s="16"/>
      <c r="P250" s="16"/>
      <c r="Q250" s="16"/>
      <c r="R250" s="16"/>
      <c r="S250" s="16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</row>
    <row r="251" spans="1:111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11"/>
      <c r="L251" s="16"/>
      <c r="M251" s="16"/>
      <c r="N251" s="16"/>
      <c r="O251" s="16"/>
      <c r="P251" s="16"/>
      <c r="Q251" s="16"/>
      <c r="R251" s="16"/>
      <c r="S251" s="16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</row>
    <row r="252" spans="1:111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11"/>
      <c r="L252" s="16"/>
      <c r="M252" s="16"/>
      <c r="N252" s="16"/>
      <c r="O252" s="16"/>
      <c r="P252" s="16"/>
      <c r="Q252" s="16"/>
      <c r="R252" s="16"/>
      <c r="S252" s="16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</row>
    <row r="253" spans="1:111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11"/>
      <c r="L253" s="16"/>
      <c r="M253" s="16"/>
      <c r="N253" s="16"/>
      <c r="O253" s="16"/>
      <c r="P253" s="16"/>
      <c r="Q253" s="16"/>
      <c r="R253" s="16"/>
      <c r="S253" s="16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</row>
    <row r="254" spans="1:11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11"/>
      <c r="L254" s="16"/>
      <c r="M254" s="16"/>
      <c r="N254" s="16"/>
      <c r="O254" s="16"/>
      <c r="P254" s="16"/>
      <c r="Q254" s="16"/>
      <c r="R254" s="16"/>
      <c r="S254" s="16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</row>
    <row r="255" spans="1:11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11"/>
      <c r="L255" s="16"/>
      <c r="M255" s="16"/>
      <c r="N255" s="16"/>
      <c r="O255" s="16"/>
      <c r="P255" s="16"/>
      <c r="Q255" s="16"/>
      <c r="R255" s="16"/>
      <c r="S255" s="16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</row>
    <row r="256" spans="1:11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11"/>
      <c r="L256" s="16"/>
      <c r="M256" s="16"/>
      <c r="N256" s="16"/>
      <c r="O256" s="16"/>
      <c r="P256" s="16"/>
      <c r="Q256" s="16"/>
      <c r="R256" s="16"/>
      <c r="S256" s="16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</row>
    <row r="257" spans="1:11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11"/>
      <c r="L257" s="16"/>
      <c r="M257" s="16"/>
      <c r="N257" s="16"/>
      <c r="O257" s="16"/>
      <c r="P257" s="16"/>
      <c r="Q257" s="16"/>
      <c r="R257" s="16"/>
      <c r="S257" s="16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</row>
    <row r="258" spans="1:11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11"/>
      <c r="L258" s="16"/>
      <c r="M258" s="16"/>
      <c r="N258" s="16"/>
      <c r="O258" s="16"/>
      <c r="P258" s="16"/>
      <c r="Q258" s="16"/>
      <c r="R258" s="16"/>
      <c r="S258" s="16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</row>
    <row r="259" spans="1:11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11"/>
      <c r="L259" s="16"/>
      <c r="M259" s="16"/>
      <c r="N259" s="16"/>
      <c r="O259" s="16"/>
      <c r="P259" s="16"/>
      <c r="Q259" s="16"/>
      <c r="R259" s="16"/>
      <c r="S259" s="16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</row>
    <row r="260" spans="1:11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11"/>
      <c r="L260" s="16"/>
      <c r="M260" s="16"/>
      <c r="N260" s="16"/>
      <c r="O260" s="16"/>
      <c r="P260" s="16"/>
      <c r="Q260" s="16"/>
      <c r="R260" s="16"/>
      <c r="S260" s="16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</row>
    <row r="261" spans="1:11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11"/>
      <c r="L261" s="16"/>
      <c r="M261" s="16"/>
      <c r="N261" s="16"/>
      <c r="O261" s="16"/>
      <c r="P261" s="16"/>
      <c r="Q261" s="16"/>
      <c r="R261" s="16"/>
      <c r="S261" s="16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</row>
    <row r="262" spans="1:11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</row>
    <row r="263" spans="1:11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</row>
    <row r="264" spans="1:11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17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</row>
    <row r="265" spans="1:11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17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</row>
    <row r="266" spans="1:11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17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</row>
    <row r="267" spans="1:11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17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</row>
    <row r="268" spans="1:11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17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</row>
    <row r="269" spans="1:11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17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</row>
    <row r="270" spans="1:11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17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</row>
    <row r="271" spans="1:11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17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</row>
    <row r="272" spans="1:11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17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</row>
    <row r="273" spans="1:11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17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</row>
    <row r="274" spans="1:111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17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</row>
    <row r="275" spans="1:111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17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</row>
    <row r="276" spans="1:111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17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</row>
    <row r="277" spans="1:111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17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</row>
    <row r="278" spans="1:111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17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</row>
    <row r="279" spans="1:111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17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</row>
    <row r="280" spans="1:111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17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</row>
    <row r="281" spans="1:111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17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</row>
    <row r="282" spans="1:111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17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</row>
    <row r="283" spans="1:111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17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</row>
    <row r="284" spans="1:111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17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</row>
    <row r="285" spans="1:111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17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</row>
    <row r="286" spans="1:111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17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</row>
    <row r="287" spans="1:111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17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</row>
    <row r="288" spans="1:111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17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</row>
    <row r="289" spans="1:111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17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</row>
    <row r="290" spans="1:111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17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</row>
    <row r="291" spans="1:111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17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</row>
    <row r="292" spans="1:111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17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</row>
    <row r="293" spans="1:111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17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</row>
    <row r="294" spans="1:111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17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</row>
    <row r="295" spans="1:111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17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</row>
    <row r="296" spans="1:111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17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</row>
    <row r="297" spans="1:111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17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</row>
    <row r="298" spans="1:111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17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</row>
    <row r="299" spans="1:111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17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</row>
    <row r="300" spans="1:111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17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</row>
    <row r="301" spans="1:111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17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</row>
    <row r="302" spans="1:111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17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</row>
    <row r="303" spans="1:111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17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</row>
    <row r="304" spans="1:111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17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</row>
    <row r="305" spans="1:111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17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</row>
    <row r="306" spans="1:111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17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</row>
    <row r="307" spans="1:111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17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</row>
    <row r="308" spans="1:111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17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</row>
    <row r="309" spans="1:111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17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</row>
    <row r="310" spans="1:111" x14ac:dyDescent="0.25">
      <c r="K310" s="3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</row>
    <row r="311" spans="1:111" x14ac:dyDescent="0.25">
      <c r="K311" s="3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</row>
    <row r="312" spans="1:111" x14ac:dyDescent="0.25">
      <c r="K312" s="3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</row>
    <row r="313" spans="1:111" x14ac:dyDescent="0.25">
      <c r="K313" s="3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</row>
    <row r="314" spans="1:111" x14ac:dyDescent="0.25">
      <c r="K314" s="3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</row>
    <row r="315" spans="1:111" x14ac:dyDescent="0.25">
      <c r="K315" s="3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</row>
    <row r="316" spans="1:111" x14ac:dyDescent="0.25">
      <c r="K316" s="3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</row>
    <row r="317" spans="1:111" x14ac:dyDescent="0.25">
      <c r="K317" s="3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</row>
    <row r="318" spans="1:111" x14ac:dyDescent="0.25">
      <c r="K318" s="3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</row>
    <row r="319" spans="1:111" x14ac:dyDescent="0.25">
      <c r="K319" s="3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</row>
    <row r="320" spans="1:111" x14ac:dyDescent="0.25">
      <c r="K320" s="3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</row>
    <row r="321" spans="11:111" x14ac:dyDescent="0.25">
      <c r="K321" s="3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</row>
    <row r="322" spans="11:111" x14ac:dyDescent="0.25">
      <c r="K322" s="3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</row>
    <row r="323" spans="11:111" x14ac:dyDescent="0.25">
      <c r="K323" s="3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</row>
    <row r="324" spans="11:111" x14ac:dyDescent="0.25">
      <c r="K324" s="3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</row>
    <row r="325" spans="11:111" x14ac:dyDescent="0.25">
      <c r="K325" s="3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</row>
    <row r="326" spans="11:111" x14ac:dyDescent="0.25">
      <c r="K326" s="3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</row>
    <row r="327" spans="11:111" x14ac:dyDescent="0.25">
      <c r="K327" s="3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</row>
    <row r="328" spans="11:111" x14ac:dyDescent="0.25">
      <c r="K328" s="3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</row>
    <row r="329" spans="11:111" x14ac:dyDescent="0.25">
      <c r="K329" s="3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</row>
    <row r="330" spans="11:111" x14ac:dyDescent="0.25">
      <c r="K330" s="3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</row>
    <row r="331" spans="11:111" x14ac:dyDescent="0.25">
      <c r="K331" s="3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</row>
    <row r="332" spans="11:111" x14ac:dyDescent="0.25">
      <c r="K332" s="3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</row>
    <row r="333" spans="11:111" x14ac:dyDescent="0.25">
      <c r="K333" s="3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</row>
    <row r="334" spans="11:111" x14ac:dyDescent="0.25">
      <c r="K334" s="3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</row>
    <row r="335" spans="11:111" x14ac:dyDescent="0.25">
      <c r="K335" s="3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</row>
    <row r="336" spans="11:111" x14ac:dyDescent="0.25">
      <c r="K336" s="3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</row>
    <row r="337" spans="11:111" x14ac:dyDescent="0.25">
      <c r="K337" s="3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</row>
    <row r="338" spans="11:111" x14ac:dyDescent="0.25">
      <c r="K338" s="3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</row>
    <row r="339" spans="11:111" x14ac:dyDescent="0.25">
      <c r="K339" s="3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</row>
    <row r="340" spans="11:111" x14ac:dyDescent="0.25">
      <c r="K340" s="3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</row>
    <row r="341" spans="11:111" x14ac:dyDescent="0.25">
      <c r="K341" s="3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</row>
    <row r="342" spans="11:111" x14ac:dyDescent="0.25">
      <c r="K342" s="3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</row>
    <row r="343" spans="11:111" x14ac:dyDescent="0.25">
      <c r="K343" s="3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</row>
    <row r="344" spans="11:111" x14ac:dyDescent="0.25">
      <c r="K344" s="3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</row>
    <row r="345" spans="11:111" x14ac:dyDescent="0.25">
      <c r="K345" s="3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</row>
    <row r="346" spans="11:111" x14ac:dyDescent="0.25">
      <c r="K346" s="3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</row>
    <row r="347" spans="11:111" x14ac:dyDescent="0.25">
      <c r="K347" s="3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</row>
    <row r="348" spans="11:111" x14ac:dyDescent="0.25">
      <c r="K348" s="3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</row>
    <row r="349" spans="11:111" x14ac:dyDescent="0.25">
      <c r="K349" s="3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</row>
    <row r="350" spans="11:111" x14ac:dyDescent="0.25">
      <c r="K350" s="3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</row>
    <row r="351" spans="11:111" x14ac:dyDescent="0.25">
      <c r="K351" s="3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</row>
    <row r="352" spans="11:111" x14ac:dyDescent="0.25">
      <c r="K352" s="3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</row>
    <row r="353" spans="11:111" x14ac:dyDescent="0.25">
      <c r="K353" s="3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</row>
    <row r="354" spans="11:111" x14ac:dyDescent="0.25">
      <c r="K354" s="3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</row>
    <row r="355" spans="11:111" x14ac:dyDescent="0.25">
      <c r="K355" s="3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</row>
    <row r="356" spans="11:111" x14ac:dyDescent="0.25">
      <c r="K356" s="3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</row>
    <row r="357" spans="11:111" x14ac:dyDescent="0.25">
      <c r="K357" s="3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</row>
    <row r="358" spans="11:111" x14ac:dyDescent="0.25">
      <c r="K358" s="3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</row>
    <row r="359" spans="11:111" x14ac:dyDescent="0.25">
      <c r="K359" s="3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</row>
    <row r="360" spans="11:111" x14ac:dyDescent="0.25">
      <c r="K360" s="3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</row>
    <row r="361" spans="11:111" x14ac:dyDescent="0.25">
      <c r="K361" s="3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</row>
    <row r="362" spans="11:111" x14ac:dyDescent="0.25">
      <c r="K362" s="3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</row>
    <row r="363" spans="11:111" x14ac:dyDescent="0.25">
      <c r="K363" s="3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</row>
    <row r="364" spans="11:111" x14ac:dyDescent="0.25">
      <c r="K364" s="3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</row>
    <row r="365" spans="11:111" x14ac:dyDescent="0.25">
      <c r="K365" s="3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</row>
    <row r="366" spans="11:111" x14ac:dyDescent="0.25">
      <c r="K366" s="3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</row>
    <row r="367" spans="11:111" x14ac:dyDescent="0.25">
      <c r="K367" s="3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</row>
    <row r="368" spans="11:111" x14ac:dyDescent="0.25">
      <c r="K368" s="3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</row>
    <row r="369" spans="11:111" x14ac:dyDescent="0.25">
      <c r="K369" s="3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</row>
    <row r="370" spans="11:111" x14ac:dyDescent="0.25">
      <c r="K370" s="3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</row>
    <row r="371" spans="11:111" x14ac:dyDescent="0.25">
      <c r="K371" s="3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</row>
    <row r="372" spans="11:111" x14ac:dyDescent="0.25">
      <c r="K372" s="3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</row>
    <row r="373" spans="11:111" x14ac:dyDescent="0.25">
      <c r="K373" s="3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</row>
    <row r="374" spans="11:111" x14ac:dyDescent="0.25">
      <c r="K374" s="3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</row>
    <row r="375" spans="11:111" x14ac:dyDescent="0.25">
      <c r="K375" s="3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</row>
    <row r="376" spans="11:111" x14ac:dyDescent="0.25">
      <c r="K376" s="3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</row>
    <row r="377" spans="11:111" x14ac:dyDescent="0.25">
      <c r="K377" s="3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</row>
    <row r="378" spans="11:111" x14ac:dyDescent="0.25">
      <c r="K378" s="3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</row>
    <row r="379" spans="11:111" x14ac:dyDescent="0.25">
      <c r="K379" s="3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</row>
    <row r="380" spans="11:111" x14ac:dyDescent="0.25">
      <c r="K380" s="3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</row>
    <row r="381" spans="11:111" x14ac:dyDescent="0.25">
      <c r="K381" s="3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</row>
    <row r="382" spans="11:111" x14ac:dyDescent="0.25">
      <c r="K382" s="3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</row>
    <row r="383" spans="11:111" x14ac:dyDescent="0.25">
      <c r="K383" s="3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</row>
    <row r="384" spans="11:111" x14ac:dyDescent="0.25">
      <c r="K384" s="3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</row>
    <row r="385" spans="11:111" x14ac:dyDescent="0.25">
      <c r="K385" s="3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</row>
    <row r="386" spans="11:111" x14ac:dyDescent="0.25">
      <c r="K386" s="3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</row>
    <row r="387" spans="11:111" x14ac:dyDescent="0.25">
      <c r="K387" s="3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</row>
    <row r="388" spans="11:111" x14ac:dyDescent="0.25">
      <c r="K388" s="3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</row>
    <row r="1048576" spans="2:2" x14ac:dyDescent="0.25">
      <c r="B1048576" s="22"/>
    </row>
  </sheetData>
  <mergeCells count="2">
    <mergeCell ref="B9:C9"/>
    <mergeCell ref="G9:H9"/>
  </mergeCells>
  <pageMargins left="0.75" right="0.75" top="1" bottom="1" header="0.5" footer="0.5"/>
  <pageSetup paperSize="9" orientation="portrait" horizontalDpi="200" verticalDpi="200" copies="0" r:id="rId1"/>
  <headerFooter alignWithMargins="0"/>
  <ignoredErrors>
    <ignoredError sqref="H12 F1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Spreadsheet12.1</vt:lpstr>
      <vt:lpstr>Spreadsheet12.2</vt:lpstr>
      <vt:lpstr>Spreadsheet12.1!Collateral</vt:lpstr>
      <vt:lpstr>Spreadsheet12.2!Collateral</vt:lpstr>
      <vt:lpstr>Spreadsheet12.1!CollateralisedExposure</vt:lpstr>
      <vt:lpstr>Spreadsheet12.2!CollateralisedExposure</vt:lpstr>
      <vt:lpstr>CreditCurve</vt:lpstr>
      <vt:lpstr>Spreadsheet12.1!Exposure</vt:lpstr>
      <vt:lpstr>Spreadsheet12.2!Exposure</vt:lpstr>
      <vt:lpstr>fiveyrspread</vt:lpstr>
      <vt:lpstr>Spreadsheet12.1!HazardRate1</vt:lpstr>
      <vt:lpstr>Spreadsheet12.1!HazardRate2</vt:lpstr>
      <vt:lpstr>Spreadsheet12.1!HazardRate3</vt:lpstr>
      <vt:lpstr>Spreadsheet12.1!HazardRate4</vt:lpstr>
      <vt:lpstr>Spreadsheet12.1!HazardRate5</vt:lpstr>
      <vt:lpstr>HazardRates</vt:lpstr>
      <vt:lpstr>Spreadsheet12.1!IRate</vt:lpstr>
      <vt:lpstr>MTMVals</vt:lpstr>
      <vt:lpstr>Spreadsheet12.1!PathNum</vt:lpstr>
      <vt:lpstr>Spreadsheet12.1!Recovery</vt:lpstr>
      <vt:lpstr>RecoveryRate</vt:lpstr>
    </vt:vector>
  </TitlesOfParts>
  <Company>Home Use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</cp:lastModifiedBy>
  <dcterms:created xsi:type="dcterms:W3CDTF">2009-11-27T11:14:55Z</dcterms:created>
  <dcterms:modified xsi:type="dcterms:W3CDTF">2015-09-03T13:36:24Z</dcterms:modified>
</cp:coreProperties>
</file>