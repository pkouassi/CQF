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\Documents\CRBook3rd\Exercises\"/>
    </mc:Choice>
  </mc:AlternateContent>
  <bookViews>
    <workbookView xWindow="240" yWindow="168" windowWidth="11352" windowHeight="7872"/>
  </bookViews>
  <sheets>
    <sheet name="Spreadsheet15.1" sheetId="7" r:id="rId1"/>
  </sheets>
  <functionGroups builtInGroupCount="18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LS1">#REF!</definedName>
    <definedName name="_LS2">#REF!</definedName>
    <definedName name="_mu1">#REF!</definedName>
    <definedName name="_mu2">#REF!</definedName>
    <definedName name="_Mu3">#REF!</definedName>
    <definedName name="_nd1">[1]Spreadsheet8.2!$F$11</definedName>
    <definedName name="_nd2">[1]Spreadsheet8.2!$F$12</definedName>
    <definedName name="_PV1">#REF!</definedName>
    <definedName name="_PV2">#REF!</definedName>
    <definedName name="_RDV01">[2]CancellableCDS!#REF!</definedName>
    <definedName name="_Rho1">[2]CDOPricer!$Q$15</definedName>
    <definedName name="_Rho2">[2]CDOPricer!$Q$16</definedName>
    <definedName name="_Val1">[3]CVA!$J$3</definedName>
    <definedName name="_Val2">[3]CVA!$J$4</definedName>
    <definedName name="_Val3">[3]CVA!$J$5</definedName>
    <definedName name="_VaR10">#REF!</definedName>
    <definedName name="_VAR2">#REF!</definedName>
    <definedName name="_VAR3">#REF!</definedName>
    <definedName name="_vd1">#REF!</definedName>
    <definedName name="_vd2">#REF!</definedName>
    <definedName name="_vvd1">[4]TreePricer!$C$26</definedName>
    <definedName name="_wd1">[4]TreePricer!$C$27</definedName>
    <definedName name="_xd1">[5]HedgingSimulation!$C$14</definedName>
    <definedName name="_xd2">[5]HedgingSimulation!$C$15</definedName>
    <definedName name="AccrCell">#REF!</definedName>
    <definedName name="AccrChoice">#REF!</definedName>
    <definedName name="AccruedCell">#REF!</definedName>
    <definedName name="AccruedChoice">#REF!</definedName>
    <definedName name="AccruedInterest">'[6]Bond Price with Excel'!$B$24</definedName>
    <definedName name="AccruedOptions">#REF!</definedName>
    <definedName name="AccruedOrNot">#REF!</definedName>
    <definedName name="AccruedPrem">#REF!</definedName>
    <definedName name="AccruedYesNo">#REF!</definedName>
    <definedName name="Accured">#REF!</definedName>
    <definedName name="ActIntensity1">[7]CVA!#REF!</definedName>
    <definedName name="ActIntensity2">[7]CVA!#REF!</definedName>
    <definedName name="ActMat">#REF!</definedName>
    <definedName name="Actual_Rating_11">#REF!</definedName>
    <definedName name="AgentRec">[3]CVA!#REF!</definedName>
    <definedName name="AllRandomNumbers">#REF!</definedName>
    <definedName name="Alpha" localSheetId="0">Spreadsheet15.1!#REF!</definedName>
    <definedName name="Alpha">#REF!</definedName>
    <definedName name="AlphaEPE">[3]Portfolio!$J$9</definedName>
    <definedName name="AlphaParam">#REF!</definedName>
    <definedName name="AmortChoice">#REF!</definedName>
    <definedName name="Amortisation">#REF!</definedName>
    <definedName name="AmortisedTime">#REF!</definedName>
    <definedName name="Amortising">#REF!</definedName>
    <definedName name="Amortizing">#REF!</definedName>
    <definedName name="AmortOrNot">#REF!</definedName>
    <definedName name="amount1">[8]SimpleCovarianceWithWeights!$J$3</definedName>
    <definedName name="amount2">[8]SimpleCovarianceWithWeights!$K$3</definedName>
    <definedName name="AmountToLiquidate">#REF!</definedName>
    <definedName name="AnalyticalDeltas">#REF!</definedName>
    <definedName name="Annuity">'[2]Bond-CDS Basis'!$C$19</definedName>
    <definedName name="Asset2">[9]MonteCarlo!#REF!</definedName>
    <definedName name="AssetCorrelation">[3]Portfolio!$J$11</definedName>
    <definedName name="AssetMC">[9]MonteCarlo!$C$3</definedName>
    <definedName name="AssetPrice">#REF!</definedName>
    <definedName name="AssetVal">#REF!</definedName>
    <definedName name="AssetValue">#REF!</definedName>
    <definedName name="Assetvol">[10]CreditGrades!$C$14</definedName>
    <definedName name="AssetVolatility">#REF!</definedName>
    <definedName name="At">[10]CreditGrades!$C$15</definedName>
    <definedName name="Attach">[2]CDOPricer!$C$17</definedName>
    <definedName name="Attach2">#REF!</definedName>
    <definedName name="AvDefProb">[3]Portfolio!#REF!</definedName>
    <definedName name="AvRecovery">[10]Portfolio!#REF!</definedName>
    <definedName name="AvSpread">[11]IndexBasis!$I$10</definedName>
    <definedName name="AvSpread2">#REF!</definedName>
    <definedName name="Barrier">[5]OptionPricer!$C$20</definedName>
    <definedName name="BaseCorrel1">#REF!</definedName>
    <definedName name="BaseCorrel2">#REF!</definedName>
    <definedName name="BaseCorrelComb">#REF!</definedName>
    <definedName name="BaseCorrelCurve">#REF!</definedName>
    <definedName name="BaseCorrelEUR">#REF!</definedName>
    <definedName name="BaseCorrelUS">#REF!</definedName>
    <definedName name="BaseCorrEuro">#REF!</definedName>
    <definedName name="BaseCorrUS">#REF!</definedName>
    <definedName name="Basis">#REF!</definedName>
    <definedName name="Basis1">#REF!</definedName>
    <definedName name="Basis2">#REF!</definedName>
    <definedName name="BasisChoices">#REF!</definedName>
    <definedName name="BasisIndex">#REF!</definedName>
    <definedName name="BasisTable1">#REF!</definedName>
    <definedName name="BasisTable2">#REF!</definedName>
    <definedName name="BasketMaturity">[2]BasketPricer!$C$14</definedName>
    <definedName name="BasketPV">#REF!</definedName>
    <definedName name="BasketSize">[2]BasketPricer!$C$15</definedName>
    <definedName name="BasketType">#REF!</definedName>
    <definedName name="bBasis">#REF!</definedName>
    <definedName name="bBasisIndex">#REF!</definedName>
    <definedName name="BCorrel">#REF!</definedName>
    <definedName name="Beta">#REF!</definedName>
    <definedName name="bFreq">#REF!</definedName>
    <definedName name="bFreqIndex">#REF!</definedName>
    <definedName name="BID">#REF!</definedName>
    <definedName name="bilateral_penalty">#REF!</definedName>
    <definedName name="bilaterla_penalty">#REF!</definedName>
    <definedName name="blank_ref_cell">#REF!</definedName>
    <definedName name="bMatDate">#REF!</definedName>
    <definedName name="Bond_Data_11">#REF!</definedName>
    <definedName name="BondCoupon">'[2]Bond-CDS Basis'!$C$13</definedName>
    <definedName name="BondDeltaApprox">#REF!</definedName>
    <definedName name="BondDeltaApprox2">#REF!</definedName>
    <definedName name="BondDuration">#REF!</definedName>
    <definedName name="BondMaturity">'[2]Bond-CDS Basis'!$Q$9</definedName>
    <definedName name="BondPrice">#REF!</definedName>
    <definedName name="BondPrice_11">#REF!</definedName>
    <definedName name="BondPriceNow">#REF!</definedName>
    <definedName name="BondRecovery">'[2]Bond-CDS Basis'!$C$14</definedName>
    <definedName name="bRecovery">#REF!</definedName>
    <definedName name="BumpType">#REF!</definedName>
    <definedName name="BuyFrom">#REF!</definedName>
    <definedName name="CalChoices">#REF!</definedName>
    <definedName name="CalChoose">#REF!</definedName>
    <definedName name="CalcOptions">#REF!</definedName>
    <definedName name="CalcTypeIndex">#REF!</definedName>
    <definedName name="CalcTypeOption">#REF!</definedName>
    <definedName name="CalculationType">#REF!</definedName>
    <definedName name="CalibChoice">#REF!</definedName>
    <definedName name="CalibChoices">#REF!</definedName>
    <definedName name="calibopencol">OFFSET([0]!LGMChoice,2,0,[0]!NumLGMChoices,1)</definedName>
    <definedName name="calibopencol1">OFFSET([0]!LGMChoice,2,0,[0]!NumLGMChoices,1)</definedName>
    <definedName name="CalibPoints">#REF!</definedName>
    <definedName name="Calibration">#REF!</definedName>
    <definedName name="CalibrationChoices">#REF!</definedName>
    <definedName name="CalibrationMode">#REF!</definedName>
    <definedName name="CalibrationResults">#REF!</definedName>
    <definedName name="CalibrationType">#REF!</definedName>
    <definedName name="CalibType">#REF!</definedName>
    <definedName name="CaliCell">#REF!</definedName>
    <definedName name="CaliChoice">#REF!</definedName>
    <definedName name="CallPut">#REF!</definedName>
    <definedName name="CallRetYesNo">[3]CollateralMarginCall!$C$14</definedName>
    <definedName name="CallYesNo">#REF!</definedName>
    <definedName name="CallYesNo2">#REF!</definedName>
    <definedName name="CancellableCDSPrem">[2]CancellableCDS!$F$18</definedName>
    <definedName name="CancelOption">[2]CancellableCDS!$F$22</definedName>
    <definedName name="cBasis">#REF!</definedName>
    <definedName name="cBasisIndex">#REF!</definedName>
    <definedName name="CCY">#REF!</definedName>
    <definedName name="CDOCorrel">#REF!</definedName>
    <definedName name="CDODef">#REF!</definedName>
    <definedName name="CDODef2">#REF!</definedName>
    <definedName name="CDOMaturity">[2]CDOPricer!$C$12</definedName>
    <definedName name="CDOPrem">#REF!</definedName>
    <definedName name="CDOPrem2">#REF!</definedName>
    <definedName name="CDOPV">#REF!</definedName>
    <definedName name="CDOPV2">#REF!</definedName>
    <definedName name="CDSCurve">[2]CMDS!$B$15</definedName>
    <definedName name="CDSMarket">#REF!</definedName>
    <definedName name="CDSMaturities">[2]CMDS!$B$16:$B$26</definedName>
    <definedName name="CDSMaturity">[2]SimpleSpreadCDSPricer!$C$15</definedName>
    <definedName name="CDSPrem">#REF!</definedName>
    <definedName name="CDSPremium">[2]CancellableCDS!$F$17</definedName>
    <definedName name="CDSPV">#REF!</definedName>
    <definedName name="CDSQuotes">[2]CMDS!$C$16:$C$26</definedName>
    <definedName name="cFreq">#REF!</definedName>
    <definedName name="cFreqIndex">#REF!</definedName>
    <definedName name="CholeskyInverse">#REF!</definedName>
    <definedName name="CholeskyMatrix">#REF!</definedName>
    <definedName name="CleanPrice">'[6]Bond Price with Excel'!$B$23</definedName>
    <definedName name="cMatDate">#REF!</definedName>
    <definedName name="CMDSMaturity">[2]CMDS!$C$12</definedName>
    <definedName name="CntrptyDefProb">[3]CDSCntrptyRisk!$C$14</definedName>
    <definedName name="CntrptyLGD">Spreadsheet15.1!$D$13</definedName>
    <definedName name="CntrptyRec" localSheetId="0">Spreadsheet15.1!#REF!</definedName>
    <definedName name="CntrptyRec">[3]CVA!#REF!</definedName>
    <definedName name="CntrptySpread">Spreadsheet15.1!$D$12</definedName>
    <definedName name="Collateral">#REF!</definedName>
    <definedName name="CollateralChoice">#REF!</definedName>
    <definedName name="CollateralChoices">#REF!</definedName>
    <definedName name="CollateralHeld">[3]CollateralMarginCall!$C$9</definedName>
    <definedName name="CollateralHeld2">#REF!</definedName>
    <definedName name="CollateralisedExposure">#REF!</definedName>
    <definedName name="CollateralMultiplier">#REF!</definedName>
    <definedName name="CollateralRequired">[3]CollateralMarginCall!$C$13</definedName>
    <definedName name="CollateralRequired2">#REF!</definedName>
    <definedName name="CollateralThreshold">#REF!</definedName>
    <definedName name="CollateralType">#REF!</definedName>
    <definedName name="CompoundCorrel">#REF!</definedName>
    <definedName name="ComputCreditPort">#REF!</definedName>
    <definedName name="ConfidenceAlpha">[3]Portfolio!$J$8</definedName>
    <definedName name="Constaints">#REF!</definedName>
    <definedName name="Constant">[5]CoherentRiskMeasuresExample!$I$7</definedName>
    <definedName name="Constr">#REF!</definedName>
    <definedName name="ConstTerm">[9]MonteCarlo!$F$6</definedName>
    <definedName name="CopulaCorrelation">[3]CDSCntrptyRisk!$C$9</definedName>
    <definedName name="CorP">#REF!</definedName>
    <definedName name="Corr">#REF!</definedName>
    <definedName name="CorrectionTerm">'[3]Impact of PV'!$C$22</definedName>
    <definedName name="CORRECTPASSWORD">#REF!</definedName>
    <definedName name="Correl">[1]Spreadsheet8.2!$C$16</definedName>
    <definedName name="Correlation">[1]Spreadsheet8.4!$C$16</definedName>
    <definedName name="Correlation_Matrix_11">#REF!</definedName>
    <definedName name="Correlation2">[1]Spreadsheet8.4!$C$17</definedName>
    <definedName name="CorrelationMatrix">#REF!</definedName>
    <definedName name="CorrelAttach">#REF!</definedName>
    <definedName name="CorrelAttach2">#REF!</definedName>
    <definedName name="CorrelBump">#REF!</definedName>
    <definedName name="CorrelDetach">#REF!</definedName>
    <definedName name="CorrelDetach2">#REF!</definedName>
    <definedName name="CorrelExpColl">#REF!</definedName>
    <definedName name="CorrelLowerTranche">#REF!</definedName>
    <definedName name="CorrelScenario">#REF!</definedName>
    <definedName name="CorrelUpperTranche">#REF!</definedName>
    <definedName name="Countries">#REF!</definedName>
    <definedName name="Country_Key">#REF!</definedName>
    <definedName name="Country_Name">#REF!</definedName>
    <definedName name="Country_Rating">#REF!</definedName>
    <definedName name="Country_Region">#REF!</definedName>
    <definedName name="Coup">[6]YieldExample!$C$4</definedName>
    <definedName name="Coupon">'[6]Bond Price with Excel'!$B$12</definedName>
    <definedName name="CouponsPerYear">'[6]Bond Price with Excel'!$B$15</definedName>
    <definedName name="CovarianceMatrix">#REF!</definedName>
    <definedName name="CovarianceMatrixInverse">[6]MeanVariance!$G$11:$J$14</definedName>
    <definedName name="CPCHOICES">#REF!</definedName>
    <definedName name="cpIndex">#REF!</definedName>
    <definedName name="cRecovery">#REF!</definedName>
    <definedName name="CREDIT_STAMP">"DSPricer"</definedName>
    <definedName name="CreditCurveStart">#REF!</definedName>
    <definedName name="CreditModel">#REF!</definedName>
    <definedName name="CreditModelType">#REF!</definedName>
    <definedName name="CreditTau">#REF!</definedName>
    <definedName name="CreditVol">#REF!</definedName>
    <definedName name="Currency">#REF!</definedName>
    <definedName name="currency_mismatch_penalty">#REF!</definedName>
    <definedName name="CurrentEquity">[4]TradingStrategy!$C$8</definedName>
    <definedName name="CurrentExposure">#REF!</definedName>
    <definedName name="CurrentSpread">[4]TradingStrategy!$C$9</definedName>
    <definedName name="CurrentStock">[4]TreePricer!$C$14</definedName>
    <definedName name="CURVE_INDEX">#REF!</definedName>
    <definedName name="CURVE_LIST">#REF!</definedName>
    <definedName name="CVAApprox">#REF!</definedName>
    <definedName name="DailyVol">#REF!</definedName>
    <definedName name="DailyVol2">#REF!</definedName>
    <definedName name="DailyVolatility">#REF!</definedName>
    <definedName name="DateToday">#REF!</definedName>
    <definedName name="DayCount">'[6]Bond Price with Excel'!#REF!</definedName>
    <definedName name="DaysToLiquidation">#REF!</definedName>
    <definedName name="DealTerm">#REF!</definedName>
    <definedName name="Debt">[10]Merton!$C$17</definedName>
    <definedName name="DebtPerShare">#REF!</definedName>
    <definedName name="DefaultBarrier">#REF!</definedName>
    <definedName name="DefaultLoss">#REF!</definedName>
    <definedName name="DefaultPayoff">'[2]Bond-CDS Basis'!$C$21</definedName>
    <definedName name="DefaultTime">#REF!</definedName>
    <definedName name="DefaultTimes">#REF!</definedName>
    <definedName name="DefComp">#REF!</definedName>
    <definedName name="DefEventLoss">#REF!</definedName>
    <definedName name="DefLegLowerTranche">#REF!</definedName>
    <definedName name="DefLegUpperTranche">#REF!</definedName>
    <definedName name="DefProb">[1]Spreadsheet8.2!$F$13</definedName>
    <definedName name="DefProb1">#REF!</definedName>
    <definedName name="DefProb2">#REF!</definedName>
    <definedName name="DefProb3">#REF!</definedName>
    <definedName name="DefProb4">#REF!</definedName>
    <definedName name="DefProb5">#REF!</definedName>
    <definedName name="DefProbs">OFFSET(#REF!,0,#REF!,#REF!,1)</definedName>
    <definedName name="DefThreshold">#REF!</definedName>
    <definedName name="DefTimesOut">#REF!</definedName>
    <definedName name="delay">#REF!</definedName>
    <definedName name="deliveredvol">[5]HedgingSimulation!$G$8</definedName>
    <definedName name="Delta">#REF!</definedName>
    <definedName name="DeltaApprox2">#REF!</definedName>
    <definedName name="DeltaBump">#REF!</definedName>
    <definedName name="DeltaShift">#REF!</definedName>
    <definedName name="DeltaStart">#REF!</definedName>
    <definedName name="Detach">[2]CDOPricer!$C$18</definedName>
    <definedName name="Detach2">#REF!</definedName>
    <definedName name="DFSCurve">#REF!</definedName>
    <definedName name="DFSSheets">#REF!</definedName>
    <definedName name="DirtyPrice">'[6]Bond Price with Excel'!$B$25</definedName>
    <definedName name="DividendYield">#REF!</definedName>
    <definedName name="DivYield">#REF!</definedName>
    <definedName name="DL">#REF!</definedName>
    <definedName name="DperS">#REF!</definedName>
    <definedName name="dPV">#REF!</definedName>
    <definedName name="Draws">[5]BinomialVsNormal!$C$7</definedName>
    <definedName name="Drift">#REF!</definedName>
    <definedName name="drift2">[5]HedgingSimulation!$G$7</definedName>
    <definedName name="Dt">[9]MonteCarlo!$F$5</definedName>
    <definedName name="DTDays">#REF!</definedName>
    <definedName name="DTMarketPrem">#REF!</definedName>
    <definedName name="Dump">[3]MonteCarlo!$N$2</definedName>
    <definedName name="Duration">'[6]Bond Price with Excel'!$B$27</definedName>
    <definedName name="DurationIndex">#REF!</definedName>
    <definedName name="DVAApprox">#REF!</definedName>
    <definedName name="Dval">[10]CreditGrades!$C$10</definedName>
    <definedName name="EE" localSheetId="0">Spreadsheet15.1!#REF!</definedName>
    <definedName name="EE">#REF!</definedName>
    <definedName name="EL">#REF!</definedName>
    <definedName name="EL_E2">#REF!</definedName>
    <definedName name="ELBaseTranche1">#REF!</definedName>
    <definedName name="ELBaseTranche2">#REF!</definedName>
    <definedName name="end_date">#REF!</definedName>
    <definedName name="EndDate">#REF!</definedName>
    <definedName name="ENE">#REF!</definedName>
    <definedName name="EPE" localSheetId="0">Spreadsheet15.1!#REF!</definedName>
    <definedName name="EPE">#REF!</definedName>
    <definedName name="EPEs">[3]Portfolio!$G$8</definedName>
    <definedName name="Equity">[10]Merton!$C$16</definedName>
    <definedName name="EquityPrice">#REF!</definedName>
    <definedName name="EquityVol">#REF!</definedName>
    <definedName name="Error1">#REF!</definedName>
    <definedName name="Errors">[3]CDSStripper!$H$9</definedName>
    <definedName name="EstBeta">#REF!</definedName>
    <definedName name="EURExpLoss">#REF!</definedName>
    <definedName name="EuropeWeight">#REF!</definedName>
    <definedName name="EuropeWeightOveride">#REF!</definedName>
    <definedName name="ExcessReturn">#REF!</definedName>
    <definedName name="ExchangeNotional">#REF!</definedName>
    <definedName name="ExerciseFreq">#REF!</definedName>
    <definedName name="ExerciseOptions">#REF!</definedName>
    <definedName name="ExerciseType">#REF!</definedName>
    <definedName name="ExerFreqChoice">#REF!</definedName>
    <definedName name="ExerTypeIndex">#REF!</definedName>
    <definedName name="Expiry">#REF!</definedName>
    <definedName name="ExpLoss">#REF!</definedName>
    <definedName name="ExpLoss1">#REF!</definedName>
    <definedName name="ExpLoss2">#REF!</definedName>
    <definedName name="Exposure">#REF!</definedName>
    <definedName name="Exposure2">#REF!</definedName>
    <definedName name="ExposurePaths">#REF!</definedName>
    <definedName name="ExposurePaths2">#REF!</definedName>
    <definedName name="Exposures">[3]Portfolio!$E$8</definedName>
    <definedName name="ExposureStart">#REF!</definedName>
    <definedName name="ExposureVol">[3]CollateralMarginCall!$G$6</definedName>
    <definedName name="ExpRetVector">[6]MeanVariance!$D$3:$D$6</definedName>
    <definedName name="external_costs">#REF!</definedName>
    <definedName name="EXTRAINFO">#REF!</definedName>
    <definedName name="FaceValue">[10]Merton!$C$6</definedName>
    <definedName name="FairCDSPrem">[2]SimpleSpreadCDSPricer!$C$12</definedName>
    <definedName name="FairPremium">#REF!</definedName>
    <definedName name="FFChoice">#REF!</definedName>
    <definedName name="FinalIssCurveRange">OFFSET(#REF!,1,0,#REF!,1)</definedName>
    <definedName name="FinalTotIssCurveRange">#REF!</definedName>
    <definedName name="FirmValue">[10]Merton!$C$7</definedName>
    <definedName name="FirstAnalDelta">#REF!</definedName>
    <definedName name="FirstBondMat">#REF!</definedName>
    <definedName name="FirstCalcDelta">#REF!</definedName>
    <definedName name="FirstDefDate">#REF!</definedName>
    <definedName name="FirstDeltaDispl">#REF!</definedName>
    <definedName name="FirstExerciseDate">#REF!</definedName>
    <definedName name="FirstLiborRate1">#REF!</definedName>
    <definedName name="FirstLiborRate2">#REF!</definedName>
    <definedName name="FirstMaturity">#REF!</definedName>
    <definedName name="FirstMaxLoss">#REF!</definedName>
    <definedName name="FirstMinLoss">#REF!</definedName>
    <definedName name="FirstNotional">#REF!</definedName>
    <definedName name="FirstPrem">#REF!</definedName>
    <definedName name="FirstQCDDelta">[12]CDO!#REF!</definedName>
    <definedName name="FirstRho">#REF!</definedName>
    <definedName name="FirstSeed">#REF!</definedName>
    <definedName name="FirstSeeed">#REF!</definedName>
    <definedName name="FirstSwapDate">#REF!</definedName>
    <definedName name="FirstTenor">#REF!</definedName>
    <definedName name="FirstToDefault">#REF!</definedName>
    <definedName name="FitCorrmat">#REF!</definedName>
    <definedName name="Fixed_Rate">#REF!</definedName>
    <definedName name="FixedBasis">#REF!</definedName>
    <definedName name="FixedFreq">#REF!</definedName>
    <definedName name="FixedOrFloat">#REF!</definedName>
    <definedName name="FixedOrNot">#REF!</definedName>
    <definedName name="FlaotRefRateChoiceIndex">#REF!</definedName>
    <definedName name="FloatBasis">#REF!</definedName>
    <definedName name="FloatFreq">#REF!</definedName>
    <definedName name="FloatRate">#REF!</definedName>
    <definedName name="FloatRefRateChoice">#REF!</definedName>
    <definedName name="FloatRefRateChoiceIndex">#REF!</definedName>
    <definedName name="Floor">#REF!</definedName>
    <definedName name="Freq">#REF!</definedName>
    <definedName name="Freq1">#REF!</definedName>
    <definedName name="Freq2">#REF!</definedName>
    <definedName name="FreqChoices">#REF!</definedName>
    <definedName name="FreqIndex">#REF!</definedName>
    <definedName name="FreqTable1">#REF!</definedName>
    <definedName name="FreqTable2">#REF!</definedName>
    <definedName name="FundingSpread">Spreadsheet15.1!$D$10</definedName>
    <definedName name="FVMDef">#REF!</definedName>
    <definedName name="FVMMarketPrem">#REF!</definedName>
    <definedName name="FVMPrem">#REF!</definedName>
    <definedName name="FVMPV">#REF!</definedName>
    <definedName name="FVMResults">#REF!</definedName>
    <definedName name="Fwd">[1]Spreadsheet8.2!$F$10</definedName>
    <definedName name="FXVol">#REF!</definedName>
    <definedName name="Gamma">[6]MeanVariance!$O$23</definedName>
    <definedName name="gamma2">[6]MeanVariance!$C$32</definedName>
    <definedName name="GaussC">[2]CDOPricer!$Q$14</definedName>
    <definedName name="GI">#REF!</definedName>
    <definedName name="Global_Local">#REF!</definedName>
    <definedName name="GlobalRec">[2]CDOPricer!$C$11</definedName>
    <definedName name="Gone">#REF!</definedName>
    <definedName name="Greeks">#REF!</definedName>
    <definedName name="GuessYield">[6]YieldExample!$C$3</definedName>
    <definedName name="HazardRae">[13]Survival!#REF!</definedName>
    <definedName name="HazardRage">[13]Survival!#REF!</definedName>
    <definedName name="HazardRate">[1]Spreadsheet8.4!#REF!</definedName>
    <definedName name="HazardRate1">Spreadsheet15.1!#REF!</definedName>
    <definedName name="HazardRate1_I">Spreadsheet15.1!#REF!</definedName>
    <definedName name="HazardRate2">Spreadsheet15.1!#REF!</definedName>
    <definedName name="HazardRate2_I">Spreadsheet15.1!#REF!</definedName>
    <definedName name="HazardRate3">Spreadsheet15.1!#REF!</definedName>
    <definedName name="HazardRate3_I">Spreadsheet15.1!#REF!</definedName>
    <definedName name="HazardRate4">Spreadsheet15.1!#REF!</definedName>
    <definedName name="HazardRate4_I">Spreadsheet15.1!#REF!</definedName>
    <definedName name="HazardRate5">Spreadsheet15.1!#REF!</definedName>
    <definedName name="HazardRate5_I">Spreadsheet15.1!#REF!</definedName>
    <definedName name="HazardRates">[3]CDSStripper!$C$9</definedName>
    <definedName name="HedgeAmount">[4]TradingStrategy!$C$10</definedName>
    <definedName name="HedgingFreq">#REF!</definedName>
    <definedName name="HistHigh">#REF!</definedName>
    <definedName name="HistLow">#REF!</definedName>
    <definedName name="Histogram1Output">#REF!</definedName>
    <definedName name="Histogram2Output">#REF!</definedName>
    <definedName name="HistoricalError">#REF!</definedName>
    <definedName name="HistStart">#REF!</definedName>
    <definedName name="HistWeight">#REF!</definedName>
    <definedName name="HR">[2]CancellableCDS!#REF!</definedName>
    <definedName name="IA">[7]CollateralMarginCall!#REF!</definedName>
    <definedName name="ImpliedVolatility">[5]HedgingSimulation!$C$10</definedName>
    <definedName name="IndependentAmount">[3]CollateralMarginCall!$C$7</definedName>
    <definedName name="IndependentAmount2">[3]CollateralMarginCall!$D$7</definedName>
    <definedName name="Index">#REF!</definedName>
    <definedName name="IndexELEur">#REF!</definedName>
    <definedName name="IndexELUS">#REF!</definedName>
    <definedName name="IndexExpLossEUR">#REF!</definedName>
    <definedName name="IndexExpLossUS">#REF!</definedName>
    <definedName name="IndexLevels">#REF!</definedName>
    <definedName name="IndexPV">#REF!</definedName>
    <definedName name="IndexRiskyLevel">#REF!</definedName>
    <definedName name="IndexStart">#REF!</definedName>
    <definedName name="Industry_Description">#REF!</definedName>
    <definedName name="Industry_Lookup_Table">#REF!</definedName>
    <definedName name="Industry_Number">#REF!</definedName>
    <definedName name="InitialCollateral">#REF!</definedName>
    <definedName name="InitialExposure">#REF!</definedName>
    <definedName name="InitialPV">'[14]Sheet1 (2)'!$D$4</definedName>
    <definedName name="INST_TYPE">#REF!</definedName>
    <definedName name="InstitutionRec">Spreadsheet15.1!#REF!</definedName>
    <definedName name="InstitutionRecovery">#REF!</definedName>
    <definedName name="InstitutionSpread">Spreadsheet15.1!#REF!</definedName>
    <definedName name="InstName">#REF!</definedName>
    <definedName name="IntegrationPoints">[2]CDOPricer!$C$15</definedName>
    <definedName name="IntegrationPoints2">#REF!</definedName>
    <definedName name="Intensity">#REF!</definedName>
    <definedName name="IntensityCntrpty" localSheetId="0">Spreadsheet15.1!$J$13</definedName>
    <definedName name="IntensityCntrpty">[3]CVA!$D$8</definedName>
    <definedName name="IntensitySystemic">[3]CVA!#REF!</definedName>
    <definedName name="IntensityUs">[3]CVA!#REF!</definedName>
    <definedName name="InterCorrel">[12]CDO!#REF!</definedName>
    <definedName name="Interest_Rate">[2]CDOPricer!$C$14</definedName>
    <definedName name="InterestR">[4]TreePricer!$C$18</definedName>
    <definedName name="InterestRate">'[2]Bond-CDS Basis'!$C$11</definedName>
    <definedName name="InterestRateNow">#REF!</definedName>
    <definedName name="InterpType">[15]BaseCorrelation!$C$16</definedName>
    <definedName name="Interval">#REF!</definedName>
    <definedName name="IntPoints">#REF!</definedName>
    <definedName name="IntRate">[1]Spreadsheet8.2!$C$14</definedName>
    <definedName name="iNumUnderlyings">#REF!</definedName>
    <definedName name="IR">[5]OptionPricer!$C$9</definedName>
    <definedName name="IRate" localSheetId="0">Spreadsheet15.1!#REF!</definedName>
    <definedName name="IRate">[3]CVA!$C$13</definedName>
    <definedName name="IRate1">#REF!</definedName>
    <definedName name="IRate2">#REF!</definedName>
    <definedName name="IRate3">#REF!</definedName>
    <definedName name="IRate4">#REF!</definedName>
    <definedName name="IRate5">#REF!</definedName>
    <definedName name="IRMC">[9]MonteCarlo!$C$5</definedName>
    <definedName name="IRModel">#REF!</definedName>
    <definedName name="IRModelType">#REF!</definedName>
    <definedName name="IRTau">#REF!</definedName>
    <definedName name="IRVol">#REF!</definedName>
    <definedName name="IssCurveRangeCopy">OFFSET(#REF!,1+#REF!,0,#REF!,1)</definedName>
    <definedName name="ISSUE_DATE">#REF!</definedName>
    <definedName name="ISSUER">#REF!</definedName>
    <definedName name="Issuer_Curve_cell">#REF!</definedName>
    <definedName name="ISSUER_INDEX">#REF!</definedName>
    <definedName name="ISSUER_LIST">#REF!</definedName>
    <definedName name="ISSUER_MAPPINGS">#REF!</definedName>
    <definedName name="IssuerCurves">OFFSET(#REF!,0,0,#REF!,1)</definedName>
    <definedName name="iter">#REF!</definedName>
    <definedName name="JumpFreq">#REF!</definedName>
    <definedName name="JumpSize">#REF!</definedName>
    <definedName name="Knockout">#REF!</definedName>
    <definedName name="Knockout2">#REF!</definedName>
    <definedName name="kurtosis">#REF!</definedName>
    <definedName name="Label">#REF!</definedName>
    <definedName name="Lamba">[10]CreditGrades!$C$8</definedName>
    <definedName name="lambda">#REF!</definedName>
    <definedName name="lamda">#REF!</definedName>
    <definedName name="lamda2">[5]ExponentialDampingEstimate!$C$6</definedName>
    <definedName name="lamda3">[5]ExponentialDampingEstimate!$C$6</definedName>
    <definedName name="LASTCPN_RATE">#REF!</definedName>
    <definedName name="LastExerciseDate">#REF!</definedName>
    <definedName name="Lbar">[10]CreditGrades!$C$7</definedName>
    <definedName name="LengthBCCurve">#REF!</definedName>
    <definedName name="LengthBCEur">#REF!</definedName>
    <definedName name="LengthBCUS">#REF!</definedName>
    <definedName name="Leverage">#REF!</definedName>
    <definedName name="LGD">#REF!</definedName>
    <definedName name="LGM_STAMP">"LGM"</definedName>
    <definedName name="LGMChoice">#REF!</definedName>
    <definedName name="LGMopencol">OFFSET([0]!LGMChoice,2,0,[0]!NumLGMChoices,1)</definedName>
    <definedName name="LiborRateChoice">#REF!</definedName>
    <definedName name="LiborRateCol">OFFSET(#REF!,0,0,#REF!,1)</definedName>
    <definedName name="LiborRateCol1">OFFSET(#REF!,0,0,#REF!,1)</definedName>
    <definedName name="littled">[10]CreditGrades!$C$16</definedName>
    <definedName name="LOAD_MKT">#REF!</definedName>
    <definedName name="LookUnderlying">#REF!</definedName>
    <definedName name="LossBins">#REF!</definedName>
    <definedName name="LossGivenDefault">[10]Merton!$C$25</definedName>
    <definedName name="LossonLiquidation">#REF!</definedName>
    <definedName name="Lower">[8]SimpleIntegration!$C$2</definedName>
    <definedName name="LowerBaseTrancheAttach">#REF!</definedName>
    <definedName name="LowerTrancheEURCorrel">#REF!</definedName>
    <definedName name="LowerTrancheUSCorrel">#REF!</definedName>
    <definedName name="LTBorrowings">#REF!</definedName>
    <definedName name="LTMean">#REF!</definedName>
    <definedName name="MAN_IP">#REF!</definedName>
    <definedName name="MAN_MKT">#REF!</definedName>
    <definedName name="ManualMarket">#REF!</definedName>
    <definedName name="Mapset">#REF!</definedName>
    <definedName name="Mapsets_count_cell">#REF!</definedName>
    <definedName name="MargEPE">'[3]Impact of PV'!$C$19</definedName>
    <definedName name="MargEPE1">[3]EPEAllocation!$C$22</definedName>
    <definedName name="MargEPE2">[3]EPEAllocation!$D$22</definedName>
    <definedName name="MargPayoff">[2]CDOPricer!$L$14</definedName>
    <definedName name="Market">#REF!</definedName>
    <definedName name="MarketChoice">#REF!</definedName>
    <definedName name="MarketChoiceCell">#REF!</definedName>
    <definedName name="marketcountcol">#REF!</definedName>
    <definedName name="MarketId">#REF!</definedName>
    <definedName name="MarketPrem">#REF!</definedName>
    <definedName name="MarketSheet">#REF!</definedName>
    <definedName name="Mat">[10]CreditGrades!$C$11</definedName>
    <definedName name="MatDate">#REF!</definedName>
    <definedName name="Maturity">[1]Spreadsheet8.2!$C$13</definedName>
    <definedName name="Maturity_11">#REF!</definedName>
    <definedName name="maturity_mismatch_penalty">#REF!</definedName>
    <definedName name="Maturity2">#REF!</definedName>
    <definedName name="MaturityDate">'[6]Bond Price with Excel'!$B$16</definedName>
    <definedName name="MaturityMC">[9]MonteCarlo!$C$6</definedName>
    <definedName name="MaxBinLoss">#REF!</definedName>
    <definedName name="MaxDefaults">#REF!</definedName>
    <definedName name="MaxLossStart">#REF!</definedName>
    <definedName name="MCDefLeg">[2]CDOPricer!$C$22</definedName>
    <definedName name="MCorTree">#REF!</definedName>
    <definedName name="MCOutput">[3]MonteCarlo!$J$8</definedName>
    <definedName name="MCPaths">[3]CollateralMarginCall!$G$9</definedName>
    <definedName name="MCPremLeg">[2]CDOPricer!$C$23</definedName>
    <definedName name="MCSims">[3]MonteCarlo!$C$8</definedName>
    <definedName name="Mean">#REF!</definedName>
    <definedName name="Mean1">[8]SimpleCovarianceWithWeights!$C$6</definedName>
    <definedName name="Mean2">[8]SimpleCovarianceWithWeights!$C$7</definedName>
    <definedName name="MeanExposure">[3]Netting!$D$8</definedName>
    <definedName name="MeanReturn">#REF!</definedName>
    <definedName name="MeanRev">#REF!</definedName>
    <definedName name="MertonMaturity">[15]Merton!$C$13</definedName>
    <definedName name="MinAmountInput">#REF!</definedName>
    <definedName name="MinDefaults">#REF!</definedName>
    <definedName name="MinimumTransferAmount">[3]CollateralMarginCall!$C$10</definedName>
    <definedName name="MinimumTransferAmount2">[3]CollateralMarginCall!$D$10</definedName>
    <definedName name="MinLossStart">#REF!</definedName>
    <definedName name="MinorityInterest">#REF!</definedName>
    <definedName name="MKT">#REF!</definedName>
    <definedName name="mktid">#REF!</definedName>
    <definedName name="MktPriceCell">#REF!</definedName>
    <definedName name="MnL">#REF!</definedName>
    <definedName name="ModelChoiceInt">#REF!</definedName>
    <definedName name="ModelNameMod">#REF!</definedName>
    <definedName name="ModifiedDuration">'[6]Bond Price with Excel'!#REF!</definedName>
    <definedName name="MTMVals">[2]ImpliedDefProb!$K$11</definedName>
    <definedName name="Mu" localSheetId="0">Spreadsheet15.1!#REF!</definedName>
    <definedName name="Mu">#REF!</definedName>
    <definedName name="mu1a">[5]TwoAssetsEfficientFrontier!$C$7</definedName>
    <definedName name="mu2a">[5]TwoAssetsEfficientFrontier!$C$8</definedName>
    <definedName name="Mult1">[3]EPEAllocation!$H$7</definedName>
    <definedName name="Mult2">[3]EPEAllocation!$I$7</definedName>
    <definedName name="Multiplier">[5]CoherentRiskMeasuresExample!$I$8</definedName>
    <definedName name="MxL">#REF!</definedName>
    <definedName name="NAME">#REF!</definedName>
    <definedName name="NameInDef">#REF!</definedName>
    <definedName name="NbBond">#REF!</definedName>
    <definedName name="NbParam">#REF!</definedName>
    <definedName name="NbPoints">#REF!</definedName>
    <definedName name="NewEstimate">[3]CDSStripper!$L$10</definedName>
    <definedName name="NextCouponDate">'[6]Bond Price with Excel'!$B$19</definedName>
    <definedName name="non_utilisation_relief">#REF!</definedName>
    <definedName name="Notional">#REF!</definedName>
    <definedName name="Notional_11">#REF!</definedName>
    <definedName name="Notionals">#REF!</definedName>
    <definedName name="NUM_CURVES">#REF!</definedName>
    <definedName name="NUM_ISSUERS">#REF!</definedName>
    <definedName name="NUM_MAPPINGS">#REF!</definedName>
    <definedName name="NUM_QUOTES">#REF!</definedName>
    <definedName name="NumBonds">#REF!</definedName>
    <definedName name="NumCalibInstruments">#REF!</definedName>
    <definedName name="NumCalls">#REF!</definedName>
    <definedName name="NumCoupons">#REF!</definedName>
    <definedName name="NumDeltas">#REF!</definedName>
    <definedName name="NumExercises">#REF!</definedName>
    <definedName name="NumFactors">#REF!</definedName>
    <definedName name="NumFloatCoupons">#REF!</definedName>
    <definedName name="NumInstruments">#REF!</definedName>
    <definedName name="NumLGMChoices">#REF!</definedName>
    <definedName name="NumMarketChoices">#REF!</definedName>
    <definedName name="NumNames">[2]CDOPricer!$C$13</definedName>
    <definedName name="NumNames2">#REF!</definedName>
    <definedName name="NumPremiums">#REF!</definedName>
    <definedName name="NumRatings">#REF!</definedName>
    <definedName name="NumRefRateChoices">#REF!</definedName>
    <definedName name="NumReqTnors">#REF!</definedName>
    <definedName name="NumSims">#REF!</definedName>
    <definedName name="NumSimulations">[2]CDOPricer!$C$19</definedName>
    <definedName name="NumSteps">[4]TreePricer!$C$10</definedName>
    <definedName name="NumTenors">#REF!</definedName>
    <definedName name="NumTranches">#REF!</definedName>
    <definedName name="NumUnderlyings">#REF!</definedName>
    <definedName name="Obligor_Group">#REF!</definedName>
    <definedName name="Obligor_Location">#REF!</definedName>
    <definedName name="Obligor_Name">#REF!</definedName>
    <definedName name="OFFER">#REF!</definedName>
    <definedName name="OptComp">#REF!</definedName>
    <definedName name="OptionData">[4]OptionPriceTree!$A$1</definedName>
    <definedName name="OptionDelta">#REF!</definedName>
    <definedName name="OptionDeltaApprox">#REF!</definedName>
    <definedName name="OptionImpVol">#REF!</definedName>
    <definedName name="OptionIR">#REF!</definedName>
    <definedName name="OptionMaturity">[2]CancellableCDS!$C$12</definedName>
    <definedName name="OptionPayoff">[4]TreePricer!$C$9</definedName>
    <definedName name="OptionPrem">#REF!</definedName>
    <definedName name="OptionPrice">[4]TreePricer!$C$22</definedName>
    <definedName name="OptionPVMC">#REF!</definedName>
    <definedName name="OptionSpot">#REF!</definedName>
    <definedName name="OptionStrike">#REF!</definedName>
    <definedName name="OptionType">#REF!</definedName>
    <definedName name="OptionTypeCell">#REF!</definedName>
    <definedName name="OptionValue">#REF!</definedName>
    <definedName name="Original_Obl_Loc">#REF!</definedName>
    <definedName name="OtherLTLiab">#REF!</definedName>
    <definedName name="OtherSTLIab">#REF!</definedName>
    <definedName name="Output">'[3]Impact of PV'!$B$25</definedName>
    <definedName name="OutputGI">#REF!</definedName>
    <definedName name="OverwriteBaseCorrel">#REF!</definedName>
    <definedName name="Param">[7]MonteCarlo!#REF!</definedName>
    <definedName name="Param1">[7]MonteCarlo!#REF!</definedName>
    <definedName name="Param2">#REF!</definedName>
    <definedName name="PartyLGD">Spreadsheet15.1!$D$14</definedName>
    <definedName name="PartySpread">Spreadsheet15.1!$D$11</definedName>
    <definedName name="PASSWORD">#REF!</definedName>
    <definedName name="PayDateCell">#REF!</definedName>
    <definedName name="PayFrac">#REF!</definedName>
    <definedName name="PayFreq">#REF!</definedName>
    <definedName name="Payoff">[2]CDOPricer!$K$14</definedName>
    <definedName name="PayoffRef">#REF!</definedName>
    <definedName name="Payoffs">OFFSET(#REF!,0,0,#REF!,1)</definedName>
    <definedName name="PayRec">#REF!</definedName>
    <definedName name="Percentile">[5]CoherentRiskMeasuresExample!$I$9</definedName>
    <definedName name="PercPriceImpact">#REF!</definedName>
    <definedName name="PFE" localSheetId="0">Spreadsheet15.1!#REF!</definedName>
    <definedName name="PFE">#REF!</definedName>
    <definedName name="Points">[8]SimpleIntegration!$C$4</definedName>
    <definedName name="PortExpLoss">#REF!</definedName>
    <definedName name="PortfolioMTM">[3]CollateralMarginCall!$C$6</definedName>
    <definedName name="Positions">#REF!</definedName>
    <definedName name="PostInterval">[3]CollateralMarginCall!$G$7</definedName>
    <definedName name="PreferredEquity">#REF!</definedName>
    <definedName name="Prem1">#REF!</definedName>
    <definedName name="Prem2">#REF!</definedName>
    <definedName name="PremComp">#REF!</definedName>
    <definedName name="Premium">#REF!</definedName>
    <definedName name="PremiumDateCell">#REF!</definedName>
    <definedName name="PremiumModel">#REF!</definedName>
    <definedName name="PremiumPaid">#REF!</definedName>
    <definedName name="PremiumPaid2">#REF!</definedName>
    <definedName name="PremiumStart">#REF!</definedName>
    <definedName name="PremLeg2">#REF!</definedName>
    <definedName name="Price">[6]YieldExample!$C$2</definedName>
    <definedName name="PrincingError">#REF!</definedName>
    <definedName name="Prob">[5]BinomialVsNormal!$C$6</definedName>
    <definedName name="ProductType">#REF!</definedName>
    <definedName name="PVDef">#REF!</definedName>
    <definedName name="PVDef2">#REF!</definedName>
    <definedName name="PVPrem">#REF!</definedName>
    <definedName name="PVPrem2">#REF!</definedName>
    <definedName name="Quantile">#REF!</definedName>
    <definedName name="QuantoMkt">#REF!</definedName>
    <definedName name="RandomNumberRange">#REF!</definedName>
    <definedName name="RandomNumbers">#REF!</definedName>
    <definedName name="RanNums">[16]RandomNumbers!$B$4</definedName>
    <definedName name="RanNums2">[16]RandomNumbers!$H$4</definedName>
    <definedName name="rate">'[17]Class Problems'!$H$39</definedName>
    <definedName name="Rate2">#REF!</definedName>
    <definedName name="Rating">#REF!</definedName>
    <definedName name="Rating_11">#REF!</definedName>
    <definedName name="RatingT1">#REF!</definedName>
    <definedName name="RatingT2">#REF!</definedName>
    <definedName name="RatingT3">#REF!</definedName>
    <definedName name="RatingTable">#REF!</definedName>
    <definedName name="RBasis">#REF!</definedName>
    <definedName name="RBondStrike">#REF!</definedName>
    <definedName name="RCalibWeight">#REF!</definedName>
    <definedName name="Rec">#REF!</definedName>
    <definedName name="RecCntrpty">[1]Spreadsheet8.4!$C$14</definedName>
    <definedName name="RecFrac">#REF!</definedName>
    <definedName name="RecFreq">#REF!</definedName>
    <definedName name="RecInstitution">[1]Spreadsheet8.4!$C$15</definedName>
    <definedName name="Recovery">#REF!</definedName>
    <definedName name="Recovery_Pricing">#REF!</definedName>
    <definedName name="Recovery_Stripping">#REF!</definedName>
    <definedName name="Recovery2">#REF!</definedName>
    <definedName name="RecoveryPercent">[10]Merton!$C$24</definedName>
    <definedName name="RecoveryR">#REF!</definedName>
    <definedName name="RecoveryRate">[2]BasketMC!$C$11</definedName>
    <definedName name="recovrate">#REF!</definedName>
    <definedName name="RecovRate_11">#REF!</definedName>
    <definedName name="RecPayCell">#REF!</definedName>
    <definedName name="RecRate">[2]SimpleSpreadCDSPricer!$C$14</definedName>
    <definedName name="Redemption">'[6]Bond Price with Excel'!$B$58</definedName>
    <definedName name="ref_currency">#REF!</definedName>
    <definedName name="RefDefProb">[3]CDSCntrptyRisk!$C$13</definedName>
    <definedName name="RefRate">#REF!</definedName>
    <definedName name="RefRateCell">#REF!</definedName>
    <definedName name="RefRateChoiceCell">#REF!</definedName>
    <definedName name="RefRec">#REF!</definedName>
    <definedName name="Region">#REF!</definedName>
    <definedName name="repoCurve">#REF!</definedName>
    <definedName name="ReqCorrMat">#REF!</definedName>
    <definedName name="RescaleEL">#REF!</definedName>
    <definedName name="RescaleRatio">#REF!</definedName>
    <definedName name="Reserve">#REF!</definedName>
    <definedName name="result_11">#REF!</definedName>
    <definedName name="Result1">[3]CVA!$J$6</definedName>
    <definedName name="Result2">[3]CVA!$K$6</definedName>
    <definedName name="Results">#REF!</definedName>
    <definedName name="RetPV">#REF!</definedName>
    <definedName name="RetPV2">#REF!</definedName>
    <definedName name="Return">#REF!</definedName>
    <definedName name="RExerFrontierBounds">OFFSET([0]!ExerRatesBoundsTopCell,0,0,[0]!NumExercises,1)</definedName>
    <definedName name="RFwdVols">OFFSET([0]!FwdVolRangeTopCell,0,0,[0]!NumExercises,[0]!NumExercises)</definedName>
    <definedName name="rho">#REF!</definedName>
    <definedName name="Rhos">#REF!</definedName>
    <definedName name="RhoTerm">#REF!</definedName>
    <definedName name="RISKY_MARKET">#REF!</definedName>
    <definedName name="RiskyAnnuity">[2]SimpleSpreadCDSPricer!$C$19</definedName>
    <definedName name="RiskyInsDef">#REF!</definedName>
    <definedName name="RiskyInsParRate">#REF!</definedName>
    <definedName name="RiskyInsPrem">#REF!</definedName>
    <definedName name="RiskyInsPV">#REF!</definedName>
    <definedName name="RiskyLevel">#REF!</definedName>
    <definedName name="RiskyLevels">#REF!</definedName>
    <definedName name="RiskyMarket">#REF!</definedName>
    <definedName name="RL">#REF!</definedName>
    <definedName name="RLBaseTranche1">#REF!</definedName>
    <definedName name="RLBaseTranche2">#REF!</definedName>
    <definedName name="RLevel">[11]BlackModel!$D$10</definedName>
    <definedName name="RLevel2">#REF!</definedName>
    <definedName name="Rounding">[3]CollateralMarginCall!$C$11</definedName>
    <definedName name="Rounding2">#REF!</definedName>
    <definedName name="sA">[6]MeanVariance!$O$17</definedName>
    <definedName name="sB">[6]MeanVariance!$O$18</definedName>
    <definedName name="sC">[6]MeanVariance!$O$19</definedName>
    <definedName name="ScenarioOutput">#REF!</definedName>
    <definedName name="Scenarios">#REF!</definedName>
    <definedName name="sD">[6]MeanVariance!$O$20</definedName>
    <definedName name="secondcurrency">#REF!</definedName>
    <definedName name="Seed">[3]MonteCarlo!$C$9</definedName>
    <definedName name="Seed2">[3]CollateralMarginCall!$G$8</definedName>
    <definedName name="SET_DATE">#REF!</definedName>
    <definedName name="SettleDate">'[6]Bond Price with Excel'!$B$14</definedName>
    <definedName name="SharesOutstanding">#REF!</definedName>
    <definedName name="ShiftAmount">#REF!</definedName>
    <definedName name="ShowPath">#REF!</definedName>
    <definedName name="ShowPaths">[4]TreePricer!$C$11</definedName>
    <definedName name="Sigma" localSheetId="0">Spreadsheet15.1!#REF!</definedName>
    <definedName name="Sigma">#REF!</definedName>
    <definedName name="sigma1">#REF!</definedName>
    <definedName name="sigma2">#REF!</definedName>
    <definedName name="Sigma3">#REF!</definedName>
    <definedName name="SigmaVector">[6]MeanVariance!$E$3:$E$6</definedName>
    <definedName name="SigmaVolume">#REF!</definedName>
    <definedName name="SimCount">[2]CDOPricer!$K$11</definedName>
    <definedName name="Sims">[9]MonteCarlo!$F$4</definedName>
    <definedName name="SimulationResults">[4]HedgingSimulation!$R$4</definedName>
    <definedName name="Simulations">#REF!</definedName>
    <definedName name="SizeCouponSchedule">#REF!</definedName>
    <definedName name="SOURCE">#REF!</definedName>
    <definedName name="SourceCell">#REF!</definedName>
    <definedName name="SplinePointsa">#REF!</definedName>
    <definedName name="Spot">[1]Spreadsheet8.2!$C$10</definedName>
    <definedName name="SprdInstitution">[1]Spreadsheet8.4!$C$13</definedName>
    <definedName name="Spread">#REF!</definedName>
    <definedName name="SpreadAgent">[7]CVA!#REF!</definedName>
    <definedName name="SpreadCntrpty" localSheetId="0">Spreadsheet15.1!#REF!</definedName>
    <definedName name="SpreadCntrpty">[1]Spreadsheet8.4!$C$12</definedName>
    <definedName name="SpreadInstitution">#REF!</definedName>
    <definedName name="SpreadLowerTranche">#REF!</definedName>
    <definedName name="SpreadMulti">#REF!</definedName>
    <definedName name="SpreadRef">[3]CDSCntrptyRisk!$C$7</definedName>
    <definedName name="SpreadScenario">#REF!</definedName>
    <definedName name="SpreadSys">[7]CVA!#REF!</definedName>
    <definedName name="SpreadUpperTranche">#REF!</definedName>
    <definedName name="SQrtTerm">#REF!</definedName>
    <definedName name="Sstar">[10]CreditGrades!$C$6</definedName>
    <definedName name="start_date">#REF!</definedName>
    <definedName name="StartCopyCell">#REF!</definedName>
    <definedName name="StartCouponSchedule">#REF!</definedName>
    <definedName name="Starting_Point">#REF!</definedName>
    <definedName name="STBorrowings">#REF!</definedName>
    <definedName name="StdDev">#REF!</definedName>
    <definedName name="StdDevExposure">[3]Netting!$D$9</definedName>
    <definedName name="StdExposures">[3]Portfolio!$F$8</definedName>
    <definedName name="Steps">[9]MonteCarlo!$F$3</definedName>
    <definedName name="StepSize">#REF!</definedName>
    <definedName name="StepsPerHedge">#REF!</definedName>
    <definedName name="Stock">[5]OptionPricer!$C$7</definedName>
    <definedName name="StockData">[4]UnderlyingValueTree!$A$1</definedName>
    <definedName name="StockPrice">#REF!</definedName>
    <definedName name="StockVol">[4]CreditGrades!$C$9</definedName>
    <definedName name="Strike">[1]Spreadsheet8.2!$C$11</definedName>
    <definedName name="StrikeMC">[9]MonteCarlo!$C$4</definedName>
    <definedName name="SttDev">#REF!</definedName>
    <definedName name="Study_Period">#REF!</definedName>
    <definedName name="SurvProb">[18]BlackModel!#REF!</definedName>
    <definedName name="SVol">[10]CreditGrades!$C$9</definedName>
    <definedName name="SwapChoices">#REF!</definedName>
    <definedName name="SwapChoices3">#REF!</definedName>
    <definedName name="SwapPayments">#REF!</definedName>
    <definedName name="SwapRate">#REF!</definedName>
    <definedName name="SwapRateVol">#REF!</definedName>
    <definedName name="SwapType">#REF!</definedName>
    <definedName name="TargetReturn">[6]MeanVariance!$J$18</definedName>
    <definedName name="TargetSpread">#REF!</definedName>
    <definedName name="TargSpread">#REF!</definedName>
    <definedName name="Tau">#REF!</definedName>
    <definedName name="TENOR">#REF!</definedName>
    <definedName name="Tenors">#REF!</definedName>
    <definedName name="TenorToShift">#REF!</definedName>
    <definedName name="TenYearFactor">#REF!</definedName>
    <definedName name="term">#REF!</definedName>
    <definedName name="ThisDefLeg">[2]CDOPricer!$G$11</definedName>
    <definedName name="ThisMaturity">#REF!</definedName>
    <definedName name="ThisPremLeg">[2]CDOPricer!$G$12</definedName>
    <definedName name="Threshold">[1]Spreadsheet8.2!$F$14</definedName>
    <definedName name="Threshold1">#REF!</definedName>
    <definedName name="Threshold2">[3]CollateralMarginCall!$D$8</definedName>
    <definedName name="Threshold3">#REF!</definedName>
    <definedName name="Threshold4">#REF!</definedName>
    <definedName name="Threshold5">#REF!</definedName>
    <definedName name="ThresholdInput">#REF!</definedName>
    <definedName name="Thresholds">[3]Portfolio!$D$8</definedName>
    <definedName name="Ticker">#REF!</definedName>
    <definedName name="tier_one_ratio">#REF!</definedName>
    <definedName name="Time">#REF!</definedName>
    <definedName name="Time2">#REF!</definedName>
    <definedName name="TimeHorizon">#REF!</definedName>
    <definedName name="TimeIntPoints">#REF!</definedName>
    <definedName name="timestep">[5]HedgingSimulation!$G$9</definedName>
    <definedName name="tmat">#REF!</definedName>
    <definedName name="tmat2">#REF!</definedName>
    <definedName name="tmat3">#REF!</definedName>
    <definedName name="tmat4">#REF!</definedName>
    <definedName name="TMTopLeft">#REF!</definedName>
    <definedName name="TODAY">#REF!</definedName>
    <definedName name="Total_Facilities">#REF!</definedName>
    <definedName name="TotalCommonEquity">#REF!</definedName>
    <definedName name="TotalExposure">[3]CollateralMarginCall!$C$12</definedName>
    <definedName name="TotalMargEPE">[3]EPEAllocation!$C$23</definedName>
    <definedName name="TotalNot">#REF!</definedName>
    <definedName name="TotalPnL">[4]HedgingSimulation!$L$10</definedName>
    <definedName name="TotalPV">#REF!</definedName>
    <definedName name="TotalRequiredCollateralisation2">#REF!</definedName>
    <definedName name="TotalRequiredCollaterlisation">#REF!</definedName>
    <definedName name="TotIssCurveRange">#REF!</definedName>
    <definedName name="TotZeroCurveRange">#REF!</definedName>
    <definedName name="TrancheDefLeg">#REF!</definedName>
    <definedName name="TrancheEL">#REF!</definedName>
    <definedName name="TrancheNot">#REF!</definedName>
    <definedName name="TrancheNotional">#REF!</definedName>
    <definedName name="TranchePremiums">#REF!</definedName>
    <definedName name="TranchePremLeg">#REF!</definedName>
    <definedName name="TrancheRL">#REF!</definedName>
    <definedName name="transaction_notional_Amont">#REF!</definedName>
    <definedName name="Transition_Matrix">#REF!</definedName>
    <definedName name="TreeStep">#REF!</definedName>
    <definedName name="type">#REF!</definedName>
    <definedName name="typeasset">#REF!</definedName>
    <definedName name="TypeChoices">#REF!</definedName>
    <definedName name="typeIndex">#REF!</definedName>
    <definedName name="Typeofswap">#REF!</definedName>
    <definedName name="U1CMT">#REF!</definedName>
    <definedName name="Uncertainty_of_Barrier">#REF!</definedName>
    <definedName name="UnitVector">[6]MeanVariance!$L$3:$L$6</definedName>
    <definedName name="Unwind">#REF!</definedName>
    <definedName name="UnwindCost">#REF!</definedName>
    <definedName name="Upper">[8]SimpleIntegration!$C$3</definedName>
    <definedName name="UpperBaseTrancheAttach">#REF!</definedName>
    <definedName name="UpperTrancheEURCorrel">#REF!</definedName>
    <definedName name="UpperTrancheUSCorrel">#REF!</definedName>
    <definedName name="UseApprox">[2]ImpliedDefProb!$C$14</definedName>
    <definedName name="UseCouponSchedule">#REF!</definedName>
    <definedName name="UseMigrationLoss">#REF!</definedName>
    <definedName name="USExpLoss">#REF!</definedName>
    <definedName name="Val1A">[7]CVA!#REF!</definedName>
    <definedName name="Val2A">[3]CVA!$I$4</definedName>
    <definedName name="Val3A">[3]CVA!$I$5</definedName>
    <definedName name="ValueDate">#REF!</definedName>
    <definedName name="VaR">#REF!</definedName>
    <definedName name="Variables">#REF!</definedName>
    <definedName name="Variance">#REF!</definedName>
    <definedName name="VarianceBarrier">#REF!</definedName>
    <definedName name="vnot">'[17]Class Problems'!$G$39</definedName>
    <definedName name="Vol">[1]Spreadsheet8.2!$C$12</definedName>
    <definedName name="Volatilities">#REF!</definedName>
    <definedName name="Volatility">#REF!</definedName>
    <definedName name="VolatilityOfPosition">#REF!</definedName>
    <definedName name="VolCollateral">#REF!</definedName>
    <definedName name="volCurve">#REF!</definedName>
    <definedName name="volCurve2">#REF!</definedName>
    <definedName name="VolExposure">#REF!</definedName>
    <definedName name="VolMC">[9]MonteCarlo!$C$7</definedName>
    <definedName name="VolSqrtDt">[9]MonteCarlo!$F$7</definedName>
    <definedName name="Volume">#REF!</definedName>
    <definedName name="VolumeToLiquidate">#REF!</definedName>
    <definedName name="WADP">#REF!</definedName>
    <definedName name="WeBuyFrom">#REF!</definedName>
    <definedName name="WeightEUR">#REF!</definedName>
    <definedName name="Weights">#REF!</definedName>
    <definedName name="WeightVector">[6]MeanVariance!$C$3:$C$6</definedName>
    <definedName name="WeightVector1">[6]MeanVariance!$G$18:$G$21</definedName>
    <definedName name="WeightVector2">[6]MeanVariance!$K$18:$K$21</definedName>
    <definedName name="WestMarket">#REF!</definedName>
    <definedName name="Workbook">#REF!</definedName>
    <definedName name="Worksheet_List">#REF!</definedName>
    <definedName name="X2OverS">[5]OptionPricer!$C$21</definedName>
    <definedName name="xx">#REF!</definedName>
    <definedName name="YearToMaturity">'[6]Bond Price with Excel'!$B$18</definedName>
    <definedName name="Yield">'[6]Bond Price with Excel'!$B$13</definedName>
    <definedName name="YieldCurveId">#REF!</definedName>
    <definedName name="YieldCurveName">#REF!</definedName>
    <definedName name="zeroCurve">#REF!</definedName>
    <definedName name="ZeroCurveRange">OFFSET(#REF!,1,0,#REF!,1)</definedName>
  </definedNames>
  <calcPr calcId="152511"/>
</workbook>
</file>

<file path=xl/calcChain.xml><?xml version="1.0" encoding="utf-8"?>
<calcChain xmlns="http://schemas.openxmlformats.org/spreadsheetml/2006/main">
  <c r="C18" i="7" l="1"/>
  <c r="C21" i="7"/>
  <c r="E19" i="7" l="1"/>
  <c r="G208" i="7"/>
  <c r="F208" i="7"/>
  <c r="G207" i="7"/>
  <c r="F207" i="7"/>
  <c r="G206" i="7"/>
  <c r="F206" i="7"/>
  <c r="G205" i="7"/>
  <c r="F205" i="7"/>
  <c r="G204" i="7"/>
  <c r="F204" i="7"/>
  <c r="G203" i="7"/>
  <c r="F203" i="7"/>
  <c r="G202" i="7"/>
  <c r="F202" i="7"/>
  <c r="G201" i="7"/>
  <c r="F201" i="7"/>
  <c r="G200" i="7"/>
  <c r="F200" i="7"/>
  <c r="G199" i="7"/>
  <c r="F199" i="7"/>
  <c r="G198" i="7"/>
  <c r="F198" i="7"/>
  <c r="G197" i="7"/>
  <c r="F197" i="7"/>
  <c r="G196" i="7"/>
  <c r="F196" i="7"/>
  <c r="G195" i="7"/>
  <c r="F195" i="7"/>
  <c r="G194" i="7"/>
  <c r="F194" i="7"/>
  <c r="G193" i="7"/>
  <c r="F193" i="7"/>
  <c r="G192" i="7"/>
  <c r="F192" i="7"/>
  <c r="G191" i="7"/>
  <c r="F191" i="7"/>
  <c r="G190" i="7"/>
  <c r="F190" i="7"/>
  <c r="G189" i="7"/>
  <c r="F189" i="7"/>
  <c r="G188" i="7"/>
  <c r="F188" i="7"/>
  <c r="G187" i="7"/>
  <c r="F187" i="7"/>
  <c r="G186" i="7"/>
  <c r="F186" i="7"/>
  <c r="G185" i="7"/>
  <c r="F185" i="7"/>
  <c r="G184" i="7"/>
  <c r="F184" i="7"/>
  <c r="G183" i="7"/>
  <c r="F183" i="7"/>
  <c r="G182" i="7"/>
  <c r="F182" i="7"/>
  <c r="G181" i="7"/>
  <c r="F181" i="7"/>
  <c r="G180" i="7"/>
  <c r="F180" i="7"/>
  <c r="G179" i="7"/>
  <c r="F179" i="7"/>
  <c r="G178" i="7"/>
  <c r="F178" i="7"/>
  <c r="G177" i="7"/>
  <c r="F177" i="7"/>
  <c r="G176" i="7"/>
  <c r="F176" i="7"/>
  <c r="G175" i="7"/>
  <c r="F175" i="7"/>
  <c r="G174" i="7"/>
  <c r="F174" i="7"/>
  <c r="G173" i="7"/>
  <c r="F173" i="7"/>
  <c r="G172" i="7"/>
  <c r="F172" i="7"/>
  <c r="G171" i="7"/>
  <c r="F171" i="7"/>
  <c r="G170" i="7"/>
  <c r="F170" i="7"/>
  <c r="G169" i="7"/>
  <c r="F169" i="7"/>
  <c r="G168" i="7"/>
  <c r="F168" i="7"/>
  <c r="G167" i="7"/>
  <c r="F167" i="7"/>
  <c r="G166" i="7"/>
  <c r="F166" i="7"/>
  <c r="G165" i="7"/>
  <c r="F165" i="7"/>
  <c r="G164" i="7"/>
  <c r="F164" i="7"/>
  <c r="G163" i="7"/>
  <c r="F163" i="7"/>
  <c r="G162" i="7"/>
  <c r="F162" i="7"/>
  <c r="G161" i="7"/>
  <c r="F161" i="7"/>
  <c r="G160" i="7"/>
  <c r="F160" i="7"/>
  <c r="G159" i="7"/>
  <c r="F159" i="7"/>
  <c r="G158" i="7"/>
  <c r="F158" i="7"/>
  <c r="G157" i="7"/>
  <c r="F157" i="7"/>
  <c r="G156" i="7"/>
  <c r="F156" i="7"/>
  <c r="G155" i="7"/>
  <c r="F155" i="7"/>
  <c r="G154" i="7"/>
  <c r="F154" i="7"/>
  <c r="G153" i="7"/>
  <c r="F153" i="7"/>
  <c r="G152" i="7"/>
  <c r="F152" i="7"/>
  <c r="G151" i="7"/>
  <c r="F151" i="7"/>
  <c r="G150" i="7"/>
  <c r="F150" i="7"/>
  <c r="G149" i="7"/>
  <c r="F149" i="7"/>
  <c r="G148" i="7"/>
  <c r="F148" i="7"/>
  <c r="G147" i="7"/>
  <c r="F147" i="7"/>
  <c r="G146" i="7"/>
  <c r="F146" i="7"/>
  <c r="G145" i="7"/>
  <c r="F145" i="7"/>
  <c r="G144" i="7"/>
  <c r="F144" i="7"/>
  <c r="G143" i="7"/>
  <c r="F143" i="7"/>
  <c r="G142" i="7"/>
  <c r="F142" i="7"/>
  <c r="G141" i="7"/>
  <c r="F141" i="7"/>
  <c r="G140" i="7"/>
  <c r="F140" i="7"/>
  <c r="G139" i="7"/>
  <c r="F139" i="7"/>
  <c r="G138" i="7"/>
  <c r="F138" i="7"/>
  <c r="G137" i="7"/>
  <c r="F137" i="7"/>
  <c r="G136" i="7"/>
  <c r="F136" i="7"/>
  <c r="G135" i="7"/>
  <c r="F135" i="7"/>
  <c r="G134" i="7"/>
  <c r="F134" i="7"/>
  <c r="G133" i="7"/>
  <c r="F133" i="7"/>
  <c r="G132" i="7"/>
  <c r="F132" i="7"/>
  <c r="G131" i="7"/>
  <c r="F131" i="7"/>
  <c r="G130" i="7"/>
  <c r="F130" i="7"/>
  <c r="G129" i="7"/>
  <c r="F129" i="7"/>
  <c r="G128" i="7"/>
  <c r="F128" i="7"/>
  <c r="G127" i="7"/>
  <c r="F127" i="7"/>
  <c r="G126" i="7"/>
  <c r="F126" i="7"/>
  <c r="G125" i="7"/>
  <c r="F125" i="7"/>
  <c r="G124" i="7"/>
  <c r="F124" i="7"/>
  <c r="G123" i="7"/>
  <c r="F123" i="7"/>
  <c r="G122" i="7"/>
  <c r="F122" i="7"/>
  <c r="G121" i="7"/>
  <c r="F121" i="7"/>
  <c r="G120" i="7"/>
  <c r="F120" i="7"/>
  <c r="G119" i="7"/>
  <c r="F119" i="7"/>
  <c r="G118" i="7"/>
  <c r="F118" i="7"/>
  <c r="G117" i="7"/>
  <c r="F117" i="7"/>
  <c r="G116" i="7"/>
  <c r="F116" i="7"/>
  <c r="G115" i="7"/>
  <c r="F115" i="7"/>
  <c r="G114" i="7"/>
  <c r="F114" i="7"/>
  <c r="G113" i="7"/>
  <c r="F113" i="7"/>
  <c r="G112" i="7"/>
  <c r="F112" i="7"/>
  <c r="G111" i="7"/>
  <c r="F111" i="7"/>
  <c r="G110" i="7"/>
  <c r="F110" i="7"/>
  <c r="G109" i="7"/>
  <c r="F109" i="7"/>
  <c r="G108" i="7"/>
  <c r="F108" i="7"/>
  <c r="G107" i="7"/>
  <c r="F107" i="7"/>
  <c r="G106" i="7"/>
  <c r="F106" i="7"/>
  <c r="G105" i="7"/>
  <c r="F105" i="7"/>
  <c r="G104" i="7"/>
  <c r="F104" i="7"/>
  <c r="G103" i="7"/>
  <c r="F103" i="7"/>
  <c r="G102" i="7"/>
  <c r="F102" i="7"/>
  <c r="G101" i="7"/>
  <c r="F101" i="7"/>
  <c r="G100" i="7"/>
  <c r="F100" i="7"/>
  <c r="G99" i="7"/>
  <c r="F99" i="7"/>
  <c r="G98" i="7"/>
  <c r="F98" i="7"/>
  <c r="G97" i="7"/>
  <c r="F97" i="7"/>
  <c r="G96" i="7"/>
  <c r="F96" i="7"/>
  <c r="G95" i="7"/>
  <c r="F95" i="7"/>
  <c r="G94" i="7"/>
  <c r="F94" i="7"/>
  <c r="G93" i="7"/>
  <c r="F93" i="7"/>
  <c r="G92" i="7"/>
  <c r="F92" i="7"/>
  <c r="G91" i="7"/>
  <c r="F91" i="7"/>
  <c r="G90" i="7"/>
  <c r="F90" i="7"/>
  <c r="G89" i="7"/>
  <c r="F89" i="7"/>
  <c r="G88" i="7"/>
  <c r="F88" i="7"/>
  <c r="G87" i="7"/>
  <c r="F87" i="7"/>
  <c r="G86" i="7"/>
  <c r="F86" i="7"/>
  <c r="G85" i="7"/>
  <c r="F85" i="7"/>
  <c r="G84" i="7"/>
  <c r="F84" i="7"/>
  <c r="G83" i="7"/>
  <c r="F83" i="7"/>
  <c r="G82" i="7"/>
  <c r="F82" i="7"/>
  <c r="G81" i="7"/>
  <c r="F81" i="7"/>
  <c r="G80" i="7"/>
  <c r="F80" i="7"/>
  <c r="G79" i="7"/>
  <c r="F79" i="7"/>
  <c r="G78" i="7"/>
  <c r="F78" i="7"/>
  <c r="G77" i="7"/>
  <c r="F77" i="7"/>
  <c r="G76" i="7"/>
  <c r="F76" i="7"/>
  <c r="G75" i="7"/>
  <c r="F75" i="7"/>
  <c r="G74" i="7"/>
  <c r="F74" i="7"/>
  <c r="G73" i="7"/>
  <c r="F73" i="7"/>
  <c r="G72" i="7"/>
  <c r="F72" i="7"/>
  <c r="G71" i="7"/>
  <c r="F71" i="7"/>
  <c r="G70" i="7"/>
  <c r="F70" i="7"/>
  <c r="G69" i="7"/>
  <c r="F69" i="7"/>
  <c r="G68" i="7"/>
  <c r="F68" i="7"/>
  <c r="G67" i="7"/>
  <c r="F67" i="7"/>
  <c r="G66" i="7"/>
  <c r="F66" i="7"/>
  <c r="G65" i="7"/>
  <c r="F65" i="7"/>
  <c r="G64" i="7"/>
  <c r="F64" i="7"/>
  <c r="G63" i="7"/>
  <c r="F63" i="7"/>
  <c r="G62" i="7"/>
  <c r="F62" i="7"/>
  <c r="G61" i="7"/>
  <c r="F61" i="7"/>
  <c r="G60" i="7"/>
  <c r="F60" i="7"/>
  <c r="G59" i="7"/>
  <c r="F59" i="7"/>
  <c r="G58" i="7"/>
  <c r="F58" i="7"/>
  <c r="G57" i="7"/>
  <c r="F57" i="7"/>
  <c r="G56" i="7"/>
  <c r="F56" i="7"/>
  <c r="G55" i="7"/>
  <c r="F55" i="7"/>
  <c r="G54" i="7"/>
  <c r="F54" i="7"/>
  <c r="G53" i="7"/>
  <c r="F53" i="7"/>
  <c r="G52" i="7"/>
  <c r="F52" i="7"/>
  <c r="G51" i="7"/>
  <c r="F51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G39" i="7"/>
  <c r="F39" i="7"/>
  <c r="G38" i="7"/>
  <c r="F38" i="7"/>
  <c r="G37" i="7"/>
  <c r="F37" i="7"/>
  <c r="G36" i="7"/>
  <c r="F36" i="7"/>
  <c r="G35" i="7"/>
  <c r="F35" i="7"/>
  <c r="G34" i="7"/>
  <c r="F34" i="7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E18" i="7" s="1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E28" i="7" l="1"/>
  <c r="E32" i="7"/>
  <c r="E36" i="7"/>
  <c r="E40" i="7"/>
  <c r="E48" i="7"/>
  <c r="E52" i="7"/>
  <c r="E56" i="7"/>
  <c r="E60" i="7"/>
  <c r="E64" i="7"/>
  <c r="E68" i="7"/>
  <c r="E72" i="7"/>
  <c r="E76" i="7"/>
  <c r="E80" i="7"/>
  <c r="E84" i="7"/>
  <c r="E88" i="7"/>
  <c r="E92" i="7"/>
  <c r="E96" i="7"/>
  <c r="E100" i="7"/>
  <c r="E104" i="7"/>
  <c r="E108" i="7"/>
  <c r="E112" i="7"/>
  <c r="E140" i="7"/>
  <c r="E144" i="7"/>
  <c r="E148" i="7"/>
  <c r="E152" i="7"/>
  <c r="E156" i="7"/>
  <c r="E160" i="7"/>
  <c r="E164" i="7"/>
  <c r="E168" i="7"/>
  <c r="E172" i="7"/>
  <c r="E176" i="7"/>
  <c r="E180" i="7"/>
  <c r="E184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27" i="7"/>
  <c r="E31" i="7"/>
  <c r="E35" i="7"/>
  <c r="E39" i="7"/>
  <c r="E43" i="7"/>
  <c r="E47" i="7"/>
  <c r="E51" i="7"/>
  <c r="E55" i="7"/>
  <c r="E59" i="7"/>
  <c r="E63" i="7"/>
  <c r="E67" i="7"/>
  <c r="E71" i="7"/>
  <c r="E75" i="7"/>
  <c r="E79" i="7"/>
  <c r="E83" i="7"/>
  <c r="E87" i="7"/>
  <c r="E91" i="7"/>
  <c r="E95" i="7"/>
  <c r="E99" i="7"/>
  <c r="E103" i="7"/>
  <c r="E107" i="7"/>
  <c r="E111" i="7"/>
  <c r="E115" i="7"/>
  <c r="E119" i="7"/>
  <c r="E123" i="7"/>
  <c r="E127" i="7"/>
  <c r="E131" i="7"/>
  <c r="E135" i="7"/>
  <c r="E139" i="7"/>
  <c r="E143" i="7"/>
  <c r="E147" i="7"/>
  <c r="E151" i="7"/>
  <c r="E155" i="7"/>
  <c r="E159" i="7"/>
  <c r="E163" i="7"/>
  <c r="E167" i="7"/>
  <c r="E171" i="7"/>
  <c r="E175" i="7"/>
  <c r="E179" i="7"/>
  <c r="E183" i="7"/>
  <c r="E187" i="7"/>
  <c r="E191" i="7"/>
  <c r="E195" i="7"/>
  <c r="E199" i="7"/>
  <c r="E203" i="7"/>
  <c r="E207" i="7"/>
  <c r="E188" i="7"/>
  <c r="E192" i="7"/>
  <c r="E196" i="7"/>
  <c r="E204" i="7"/>
  <c r="E208" i="7"/>
  <c r="E44" i="7"/>
  <c r="E116" i="7"/>
  <c r="E120" i="7"/>
  <c r="E124" i="7"/>
  <c r="E128" i="7"/>
  <c r="E132" i="7"/>
  <c r="E136" i="7"/>
  <c r="E200" i="7"/>
  <c r="E29" i="7"/>
  <c r="E33" i="7"/>
  <c r="E37" i="7"/>
  <c r="E41" i="7"/>
  <c r="E45" i="7"/>
  <c r="E49" i="7"/>
  <c r="E53" i="7"/>
  <c r="E57" i="7"/>
  <c r="E61" i="7"/>
  <c r="E65" i="7"/>
  <c r="E69" i="7"/>
  <c r="E73" i="7"/>
  <c r="E77" i="7"/>
  <c r="E81" i="7"/>
  <c r="E85" i="7"/>
  <c r="E89" i="7"/>
  <c r="E93" i="7"/>
  <c r="E97" i="7"/>
  <c r="E101" i="7"/>
  <c r="E105" i="7"/>
  <c r="E109" i="7"/>
  <c r="E113" i="7"/>
  <c r="E117" i="7"/>
  <c r="E121" i="7"/>
  <c r="E125" i="7"/>
  <c r="E129" i="7"/>
  <c r="E133" i="7"/>
  <c r="E137" i="7"/>
  <c r="E141" i="7"/>
  <c r="E145" i="7"/>
  <c r="E149" i="7"/>
  <c r="E153" i="7"/>
  <c r="E157" i="7"/>
  <c r="E161" i="7"/>
  <c r="E165" i="7"/>
  <c r="E169" i="7"/>
  <c r="E173" i="7"/>
  <c r="E177" i="7"/>
  <c r="E181" i="7"/>
  <c r="E185" i="7"/>
  <c r="E189" i="7"/>
  <c r="E193" i="7"/>
  <c r="E197" i="7"/>
  <c r="E201" i="7"/>
  <c r="E205" i="7"/>
  <c r="E78" i="7"/>
  <c r="E82" i="7"/>
  <c r="E86" i="7"/>
  <c r="E90" i="7"/>
  <c r="E94" i="7"/>
  <c r="E98" i="7"/>
  <c r="E102" i="7"/>
  <c r="E106" i="7"/>
  <c r="E110" i="7"/>
  <c r="E114" i="7"/>
  <c r="E118" i="7"/>
  <c r="E122" i="7"/>
  <c r="E126" i="7"/>
  <c r="E130" i="7"/>
  <c r="E134" i="7"/>
  <c r="E138" i="7"/>
  <c r="E142" i="7"/>
  <c r="E146" i="7"/>
  <c r="E150" i="7"/>
  <c r="E154" i="7"/>
  <c r="E158" i="7"/>
  <c r="E162" i="7"/>
  <c r="E166" i="7"/>
  <c r="E170" i="7"/>
  <c r="E174" i="7"/>
  <c r="E178" i="7"/>
  <c r="E182" i="7"/>
  <c r="E186" i="7"/>
  <c r="E190" i="7"/>
  <c r="E194" i="7"/>
  <c r="E198" i="7"/>
  <c r="E202" i="7"/>
  <c r="E206" i="7"/>
  <c r="E20" i="7" l="1"/>
  <c r="E21" i="7" s="1"/>
  <c r="C19" i="7"/>
  <c r="C20" i="7" l="1"/>
</calcChain>
</file>

<file path=xl/comments1.xml><?xml version="1.0" encoding="utf-8"?>
<comments xmlns="http://schemas.openxmlformats.org/spreadsheetml/2006/main">
  <authors>
    <author>Jon</author>
    <author>Jon Gregory</author>
    <author>jon</author>
  </authors>
  <commentList>
    <comment ref="B20" authorId="0" shapeId="0">
      <text>
        <r>
          <rPr>
            <b/>
            <sz val="9"/>
            <color indexed="81"/>
            <rFont val="Tahoma"/>
            <family val="2"/>
          </rPr>
          <t>FVA calculated using 100% LGD and default probability approach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FVA using formula 15.2 (relevant for flat funding spreads as used in this example)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4" authorId="1" shapeId="0">
      <text>
        <r>
          <rPr>
            <b/>
            <sz val="8"/>
            <color indexed="81"/>
            <rFont val="Tahoma"/>
            <family val="2"/>
          </rPr>
          <t>Discounting expected exposure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4" authorId="2" shapeId="0">
      <text>
        <r>
          <rPr>
            <b/>
            <sz val="9"/>
            <color indexed="81"/>
            <rFont val="Tahoma"/>
            <family val="2"/>
          </rPr>
          <t>discounted negative expected exposure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<sst xmlns="http://schemas.openxmlformats.org/spreadsheetml/2006/main" count="25" uniqueCount="22">
  <si>
    <t>Parameters</t>
  </si>
  <si>
    <t>EE</t>
  </si>
  <si>
    <t>CVA</t>
  </si>
  <si>
    <t>DVA</t>
  </si>
  <si>
    <t>NEE</t>
  </si>
  <si>
    <t>Calculations</t>
  </si>
  <si>
    <t>Party Spread</t>
  </si>
  <si>
    <t>Counterparty Spread</t>
  </si>
  <si>
    <t>Counterparty LGD</t>
  </si>
  <si>
    <t>FCA</t>
  </si>
  <si>
    <t>FBA</t>
  </si>
  <si>
    <t>FVA</t>
  </si>
  <si>
    <t>EFV</t>
  </si>
  <si>
    <t>Interval</t>
  </si>
  <si>
    <t>Funding spread</t>
  </si>
  <si>
    <t>Party LGD</t>
  </si>
  <si>
    <t>CVA, DVA, FVA</t>
  </si>
  <si>
    <t>Surv Zero LGD</t>
  </si>
  <si>
    <t>PD Zero LGD</t>
  </si>
  <si>
    <t>Cntprty PD</t>
  </si>
  <si>
    <t>Party PD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</si>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</sst>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%"/>
    <numFmt numFmtId="171" formatCode="0.0000"/>
    <numFmt numFmtId="172" formatCode="0.000%"/>
    <numFmt numFmtId="173" formatCode="_-* #,##0_-;\-* #,##0_-;_-* &quot;-&quot;??_-;_-@_-"/>
    <numFmt numFmtId="174" formatCode="#,##0.000"/>
    <numFmt numFmtId="175" formatCode="#,##0.0000"/>
  </numFmts>
  <fonts count="34" x14ac:knownFonts="1">
    <font>
      <sz val="10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b/>
      <i/>
      <sz val="10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3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9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43" fontId="1" fillId="0" borderId="0" applyFont="0" applyFill="0" applyBorder="0" applyAlignment="0" applyProtection="0"/>
    <xf numFmtId="0" fontId="7" fillId="22" borderId="3" applyNumberFormat="0" applyFont="0" applyBorder="0" applyAlignment="0" applyProtection="0">
      <alignment horizontal="centerContinuous"/>
    </xf>
    <xf numFmtId="0" fontId="8" fillId="23" borderId="4" applyNumberFormat="0" applyBorder="0">
      <alignment horizontal="left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24" borderId="5" applyNumberFormat="0" applyFont="0" applyBorder="0" applyAlignment="0">
      <alignment horizontal="centerContinuous"/>
    </xf>
    <xf numFmtId="0" fontId="12" fillId="0" borderId="6" applyNumberFormat="0" applyFill="0" applyAlignment="0" applyProtection="0"/>
    <xf numFmtId="0" fontId="13" fillId="0" borderId="7" applyNumberFormat="0" applyFill="0" applyAlignment="0" applyProtection="0"/>
    <xf numFmtId="0" fontId="14" fillId="0" borderId="8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>
      <alignment horizontal="right"/>
    </xf>
    <xf numFmtId="0" fontId="17" fillId="25" borderId="0" applyNumberFormat="0" applyBorder="0" applyAlignment="0" applyProtection="0"/>
    <xf numFmtId="0" fontId="1" fillId="0" borderId="0"/>
    <xf numFmtId="0" fontId="2" fillId="26" borderId="10" applyNumberFormat="0" applyFont="0" applyAlignment="0" applyProtection="0"/>
    <xf numFmtId="0" fontId="18" fillId="20" borderId="11" applyNumberFormat="0" applyAlignment="0" applyProtection="0"/>
    <xf numFmtId="9" fontId="1" fillId="0" borderId="0" applyFont="0" applyFill="0" applyBorder="0" applyAlignment="0" applyProtection="0"/>
    <xf numFmtId="0" fontId="19" fillId="27" borderId="12">
      <alignment horizontal="center"/>
    </xf>
    <xf numFmtId="0" fontId="1" fillId="0" borderId="0">
      <alignment horizontal="left" wrapText="1"/>
    </xf>
    <xf numFmtId="0" fontId="20" fillId="0" borderId="0">
      <alignment horizontal="center"/>
    </xf>
    <xf numFmtId="0" fontId="21" fillId="0" borderId="0" applyNumberFormat="0" applyFill="0" applyBorder="0" applyAlignment="0" applyProtection="0"/>
    <xf numFmtId="0" fontId="22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28" borderId="0">
      <alignment horizontal="right"/>
    </xf>
    <xf numFmtId="169" fontId="1" fillId="0" borderId="0">
      <alignment horizontal="center"/>
    </xf>
    <xf numFmtId="0" fontId="29" fillId="0" borderId="0"/>
  </cellStyleXfs>
  <cellXfs count="57">
    <xf numFmtId="0" fontId="0" fillId="0" borderId="0" xfId="0"/>
    <xf numFmtId="0" fontId="1" fillId="27" borderId="0" xfId="46" applyFill="1"/>
    <xf numFmtId="171" fontId="0" fillId="0" borderId="0" xfId="0" applyNumberFormat="1"/>
    <xf numFmtId="170" fontId="1" fillId="0" borderId="0" xfId="49" applyNumberFormat="1"/>
    <xf numFmtId="0" fontId="0" fillId="0" borderId="0" xfId="0" applyBorder="1"/>
    <xf numFmtId="10" fontId="0" fillId="0" borderId="0" xfId="0" applyNumberFormat="1"/>
    <xf numFmtId="0" fontId="0" fillId="0" borderId="17" xfId="0" applyBorder="1"/>
    <xf numFmtId="0" fontId="0" fillId="0" borderId="18" xfId="0" applyBorder="1"/>
    <xf numFmtId="2" fontId="0" fillId="0" borderId="15" xfId="0" applyNumberFormat="1" applyBorder="1"/>
    <xf numFmtId="10" fontId="1" fillId="0" borderId="23" xfId="49" applyNumberFormat="1" applyBorder="1"/>
    <xf numFmtId="2" fontId="0" fillId="0" borderId="16" xfId="0" applyNumberFormat="1" applyBorder="1"/>
    <xf numFmtId="10" fontId="1" fillId="0" borderId="24" xfId="49" applyNumberFormat="1" applyBorder="1"/>
    <xf numFmtId="173" fontId="0" fillId="0" borderId="0" xfId="28" applyNumberFormat="1" applyFont="1"/>
    <xf numFmtId="11" fontId="0" fillId="0" borderId="0" xfId="0" applyNumberFormat="1"/>
    <xf numFmtId="174" fontId="0" fillId="0" borderId="23" xfId="0" applyNumberFormat="1" applyBorder="1"/>
    <xf numFmtId="0" fontId="1" fillId="0" borderId="18" xfId="0" applyFont="1" applyBorder="1"/>
    <xf numFmtId="0" fontId="33" fillId="0" borderId="22" xfId="0" applyFont="1" applyBorder="1"/>
    <xf numFmtId="9" fontId="33" fillId="0" borderId="20" xfId="0" applyNumberFormat="1" applyFont="1" applyBorder="1"/>
    <xf numFmtId="9" fontId="33" fillId="0" borderId="22" xfId="0" applyNumberFormat="1" applyFont="1" applyBorder="1"/>
    <xf numFmtId="0" fontId="1" fillId="0" borderId="15" xfId="0" applyFont="1" applyFill="1" applyBorder="1"/>
    <xf numFmtId="0" fontId="1" fillId="0" borderId="16" xfId="0" applyFont="1" applyFill="1" applyBorder="1"/>
    <xf numFmtId="172" fontId="0" fillId="0" borderId="0" xfId="49" applyNumberFormat="1" applyFont="1" applyBorder="1"/>
    <xf numFmtId="10" fontId="1" fillId="0" borderId="31" xfId="49" applyNumberFormat="1" applyBorder="1"/>
    <xf numFmtId="0" fontId="25" fillId="0" borderId="14" xfId="0" applyFont="1" applyBorder="1"/>
    <xf numFmtId="0" fontId="0" fillId="0" borderId="26" xfId="0" applyBorder="1"/>
    <xf numFmtId="0" fontId="0" fillId="0" borderId="21" xfId="0" applyBorder="1"/>
    <xf numFmtId="0" fontId="1" fillId="0" borderId="16" xfId="0" applyFont="1" applyBorder="1"/>
    <xf numFmtId="0" fontId="0" fillId="0" borderId="25" xfId="0" applyBorder="1"/>
    <xf numFmtId="1" fontId="33" fillId="0" borderId="19" xfId="0" applyNumberFormat="1" applyFont="1" applyBorder="1"/>
    <xf numFmtId="1" fontId="33" fillId="0" borderId="22" xfId="0" applyNumberFormat="1" applyFont="1" applyBorder="1"/>
    <xf numFmtId="0" fontId="27" fillId="0" borderId="26" xfId="0" applyFont="1" applyBorder="1"/>
    <xf numFmtId="0" fontId="1" fillId="0" borderId="33" xfId="0" applyFont="1" applyBorder="1"/>
    <xf numFmtId="0" fontId="0" fillId="0" borderId="23" xfId="0" applyBorder="1"/>
    <xf numFmtId="2" fontId="0" fillId="0" borderId="23" xfId="0" applyNumberFormat="1" applyBorder="1"/>
    <xf numFmtId="0" fontId="0" fillId="0" borderId="32" xfId="0" applyBorder="1"/>
    <xf numFmtId="2" fontId="0" fillId="0" borderId="24" xfId="0" applyNumberFormat="1" applyBorder="1"/>
    <xf numFmtId="10" fontId="1" fillId="0" borderId="34" xfId="49" applyNumberFormat="1" applyBorder="1"/>
    <xf numFmtId="174" fontId="0" fillId="0" borderId="22" xfId="0" applyNumberFormat="1" applyBorder="1"/>
    <xf numFmtId="174" fontId="0" fillId="0" borderId="24" xfId="0" applyNumberFormat="1" applyBorder="1"/>
    <xf numFmtId="174" fontId="0" fillId="0" borderId="20" xfId="0" applyNumberFormat="1" applyBorder="1"/>
    <xf numFmtId="0" fontId="1" fillId="0" borderId="15" xfId="0" applyFont="1" applyBorder="1"/>
    <xf numFmtId="175" fontId="32" fillId="0" borderId="27" xfId="49" applyNumberFormat="1" applyFont="1" applyBorder="1"/>
    <xf numFmtId="175" fontId="32" fillId="0" borderId="28" xfId="49" applyNumberFormat="1" applyFont="1" applyBorder="1"/>
    <xf numFmtId="175" fontId="32" fillId="0" borderId="23" xfId="49" applyNumberFormat="1" applyFont="1" applyBorder="1"/>
    <xf numFmtId="175" fontId="32" fillId="0" borderId="24" xfId="49" applyNumberFormat="1" applyFont="1" applyBorder="1"/>
    <xf numFmtId="0" fontId="1" fillId="0" borderId="23" xfId="0" applyFont="1" applyFill="1" applyBorder="1"/>
    <xf numFmtId="3" fontId="1" fillId="0" borderId="23" xfId="0" applyNumberFormat="1" applyFont="1" applyBorder="1"/>
    <xf numFmtId="0" fontId="1" fillId="0" borderId="24" xfId="0" applyFont="1" applyFill="1" applyBorder="1"/>
    <xf numFmtId="0" fontId="1" fillId="0" borderId="29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1" fillId="0" borderId="36" xfId="0" applyFont="1" applyFill="1" applyBorder="1" applyAlignment="1">
      <alignment horizontal="center"/>
    </xf>
    <xf numFmtId="0" fontId="29" fillId="0" borderId="30" xfId="0" applyFont="1" applyFill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15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29" fillId="0" borderId="0" xfId="0" applyFont="1" applyBorder="1" applyAlignment="1">
      <alignment horizontal="left"/>
    </xf>
  </cellXfs>
  <cellStyles count="5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Data" xfId="29"/>
    <cellStyle name="DataInput" xfId="30"/>
    <cellStyle name="Explanatory Text" xfId="31" builtinId="53" customBuiltin="1"/>
    <cellStyle name="Good" xfId="32" builtinId="26" customBuiltin="1"/>
    <cellStyle name="Header" xfId="33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Input" xfId="38" builtinId="20" customBuiltin="1"/>
    <cellStyle name="Linked Cell" xfId="39" builtinId="24" customBuiltin="1"/>
    <cellStyle name="Milliers [0]_rating factor" xfId="40"/>
    <cellStyle name="Milliers_rating factor" xfId="41"/>
    <cellStyle name="Monétaire [0]_rating factor" xfId="42"/>
    <cellStyle name="Monétaire_rating factor" xfId="43"/>
    <cellStyle name="Month" xfId="44"/>
    <cellStyle name="Neutral" xfId="45" builtinId="28" customBuiltin="1"/>
    <cellStyle name="Normal" xfId="0" builtinId="0"/>
    <cellStyle name="Normal 2" xfId="58"/>
    <cellStyle name="Normal_LFS_CollateralandCntrptyRisk" xfId="46"/>
    <cellStyle name="Note" xfId="47" builtinId="10" customBuiltin="1"/>
    <cellStyle name="Output" xfId="48" builtinId="21" customBuiltin="1"/>
    <cellStyle name="Percent" xfId="49" builtinId="5"/>
    <cellStyle name="PricingProducts" xfId="50"/>
    <cellStyle name="Style 1" xfId="51"/>
    <cellStyle name="TIMES" xfId="52"/>
    <cellStyle name="Title" xfId="53" builtinId="15" customBuiltin="1"/>
    <cellStyle name="Total" xfId="54" builtinId="25" customBuiltin="1"/>
    <cellStyle name="Warning Text" xfId="55" builtinId="11" customBuiltin="1"/>
    <cellStyle name="WASP_PLStyle" xfId="56"/>
    <cellStyle name="Year" xfId="5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3" Type="http://schemas.openxmlformats.org/officeDocument/2006/relationships/externalLink" Target="externalLinks/externalLink2.xml"/><Relationship Id="rId21" Type="http://schemas.openxmlformats.org/officeDocument/2006/relationships/styles" Target="styles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microsoft.com/office/2006/relationships/vbaProject" Target="vbaProject.bin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Spreadsheet15.1!$H$24</c:f>
              <c:strCache>
                <c:ptCount val="1"/>
                <c:pt idx="0">
                  <c:v>EE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Spreadsheet15.1!$B$25:$B$208</c:f>
              <c:numCache>
                <c:formatCode>0.00</c:formatCode>
                <c:ptCount val="184"/>
                <c:pt idx="0">
                  <c:v>0</c:v>
                </c:pt>
                <c:pt idx="1">
                  <c:v>2.747252747252747E-3</c:v>
                </c:pt>
                <c:pt idx="2">
                  <c:v>2.7472527472527476E-2</c:v>
                </c:pt>
                <c:pt idx="3">
                  <c:v>5.4945054945054951E-2</c:v>
                </c:pt>
                <c:pt idx="4">
                  <c:v>8.2417582417582416E-2</c:v>
                </c:pt>
                <c:pt idx="5">
                  <c:v>0.1098901098901099</c:v>
                </c:pt>
                <c:pt idx="6">
                  <c:v>0.13736263736263737</c:v>
                </c:pt>
                <c:pt idx="7">
                  <c:v>0.16483516483516483</c:v>
                </c:pt>
                <c:pt idx="8">
                  <c:v>0.19230769230769232</c:v>
                </c:pt>
                <c:pt idx="9">
                  <c:v>0.2197802197802198</c:v>
                </c:pt>
                <c:pt idx="10">
                  <c:v>0.24725274725274723</c:v>
                </c:pt>
                <c:pt idx="11">
                  <c:v>0.27472527472527475</c:v>
                </c:pt>
                <c:pt idx="12">
                  <c:v>0.30219780219780218</c:v>
                </c:pt>
                <c:pt idx="13">
                  <c:v>0.32967032967032966</c:v>
                </c:pt>
                <c:pt idx="14">
                  <c:v>0.3571428571428571</c:v>
                </c:pt>
                <c:pt idx="15">
                  <c:v>0.38461538461538464</c:v>
                </c:pt>
                <c:pt idx="16">
                  <c:v>0.41208791208791207</c:v>
                </c:pt>
                <c:pt idx="17">
                  <c:v>0.43956043956043961</c:v>
                </c:pt>
                <c:pt idx="18">
                  <c:v>0.46703296703296704</c:v>
                </c:pt>
                <c:pt idx="19">
                  <c:v>0.49450549450549447</c:v>
                </c:pt>
                <c:pt idx="20">
                  <c:v>0.52197802197802201</c:v>
                </c:pt>
                <c:pt idx="21">
                  <c:v>0.5494505494505495</c:v>
                </c:pt>
                <c:pt idx="22">
                  <c:v>0.57692307692307698</c:v>
                </c:pt>
                <c:pt idx="23">
                  <c:v>0.60439560439560436</c:v>
                </c:pt>
                <c:pt idx="24">
                  <c:v>0.63186813186813184</c:v>
                </c:pt>
                <c:pt idx="25">
                  <c:v>0.65934065934065933</c:v>
                </c:pt>
                <c:pt idx="26">
                  <c:v>0.68681318681318682</c:v>
                </c:pt>
                <c:pt idx="27">
                  <c:v>0.71428571428571419</c:v>
                </c:pt>
                <c:pt idx="28">
                  <c:v>0.74175824175824179</c:v>
                </c:pt>
                <c:pt idx="29">
                  <c:v>0.76923076923076927</c:v>
                </c:pt>
                <c:pt idx="30">
                  <c:v>0.79670329670329665</c:v>
                </c:pt>
                <c:pt idx="31">
                  <c:v>0.82417582417582413</c:v>
                </c:pt>
                <c:pt idx="32">
                  <c:v>0.85164835164835173</c:v>
                </c:pt>
                <c:pt idx="33">
                  <c:v>0.87912087912087922</c:v>
                </c:pt>
                <c:pt idx="34">
                  <c:v>0.90659340659340659</c:v>
                </c:pt>
                <c:pt idx="35">
                  <c:v>0.93406593406593408</c:v>
                </c:pt>
                <c:pt idx="36">
                  <c:v>0.96153846153846156</c:v>
                </c:pt>
                <c:pt idx="37">
                  <c:v>0.98901098901098894</c:v>
                </c:pt>
                <c:pt idx="38">
                  <c:v>1.0164835164835164</c:v>
                </c:pt>
                <c:pt idx="39">
                  <c:v>1.043956043956044</c:v>
                </c:pt>
                <c:pt idx="40">
                  <c:v>1.0714285714285714</c:v>
                </c:pt>
                <c:pt idx="41">
                  <c:v>1.098901098901099</c:v>
                </c:pt>
                <c:pt idx="42">
                  <c:v>1.1263736263736264</c:v>
                </c:pt>
                <c:pt idx="43">
                  <c:v>1.153846153846154</c:v>
                </c:pt>
                <c:pt idx="44">
                  <c:v>1.1813186813186813</c:v>
                </c:pt>
                <c:pt idx="45">
                  <c:v>1.2087912087912087</c:v>
                </c:pt>
                <c:pt idx="46">
                  <c:v>1.2362637362637363</c:v>
                </c:pt>
                <c:pt idx="47">
                  <c:v>1.2637362637362637</c:v>
                </c:pt>
                <c:pt idx="48">
                  <c:v>1.2912087912087913</c:v>
                </c:pt>
                <c:pt idx="49">
                  <c:v>1.3186813186813187</c:v>
                </c:pt>
                <c:pt idx="50">
                  <c:v>1.346153846153846</c:v>
                </c:pt>
                <c:pt idx="51">
                  <c:v>1.3736263736263736</c:v>
                </c:pt>
                <c:pt idx="52">
                  <c:v>1.401098901098901</c:v>
                </c:pt>
                <c:pt idx="53">
                  <c:v>1.4285714285714284</c:v>
                </c:pt>
                <c:pt idx="54">
                  <c:v>1.4560439560439562</c:v>
                </c:pt>
                <c:pt idx="55">
                  <c:v>1.4835164835164836</c:v>
                </c:pt>
                <c:pt idx="56">
                  <c:v>1.5109890109890109</c:v>
                </c:pt>
                <c:pt idx="57">
                  <c:v>1.5384615384615385</c:v>
                </c:pt>
                <c:pt idx="58">
                  <c:v>1.5659340659340659</c:v>
                </c:pt>
                <c:pt idx="59">
                  <c:v>1.5934065934065933</c:v>
                </c:pt>
                <c:pt idx="60">
                  <c:v>1.6208791208791209</c:v>
                </c:pt>
                <c:pt idx="61">
                  <c:v>1.6483516483516483</c:v>
                </c:pt>
                <c:pt idx="62">
                  <c:v>1.6758241758241756</c:v>
                </c:pt>
                <c:pt idx="63">
                  <c:v>1.7032967032967035</c:v>
                </c:pt>
                <c:pt idx="64">
                  <c:v>1.7307692307692308</c:v>
                </c:pt>
                <c:pt idx="65">
                  <c:v>1.7582417582417584</c:v>
                </c:pt>
                <c:pt idx="66">
                  <c:v>1.7857142857142858</c:v>
                </c:pt>
                <c:pt idx="67">
                  <c:v>1.8131868131868132</c:v>
                </c:pt>
                <c:pt idx="68">
                  <c:v>1.8406593406593408</c:v>
                </c:pt>
                <c:pt idx="69">
                  <c:v>1.8681318681318682</c:v>
                </c:pt>
                <c:pt idx="70">
                  <c:v>1.8956043956043955</c:v>
                </c:pt>
                <c:pt idx="71">
                  <c:v>1.9230769230769231</c:v>
                </c:pt>
                <c:pt idx="72">
                  <c:v>1.9505494505494505</c:v>
                </c:pt>
                <c:pt idx="73">
                  <c:v>1.9780219780219779</c:v>
                </c:pt>
                <c:pt idx="74">
                  <c:v>2.0054945054945055</c:v>
                </c:pt>
                <c:pt idx="75">
                  <c:v>2.0329670329670328</c:v>
                </c:pt>
                <c:pt idx="76">
                  <c:v>2.0604395604395602</c:v>
                </c:pt>
                <c:pt idx="77">
                  <c:v>2.087912087912088</c:v>
                </c:pt>
                <c:pt idx="78">
                  <c:v>2.1153846153846154</c:v>
                </c:pt>
                <c:pt idx="79">
                  <c:v>2.1428571428571428</c:v>
                </c:pt>
                <c:pt idx="80">
                  <c:v>2.1703296703296706</c:v>
                </c:pt>
                <c:pt idx="81">
                  <c:v>2.197802197802198</c:v>
                </c:pt>
                <c:pt idx="82">
                  <c:v>2.2252747252747254</c:v>
                </c:pt>
                <c:pt idx="83">
                  <c:v>2.2527472527472527</c:v>
                </c:pt>
                <c:pt idx="84">
                  <c:v>2.2802197802197801</c:v>
                </c:pt>
                <c:pt idx="85">
                  <c:v>2.3076923076923079</c:v>
                </c:pt>
                <c:pt idx="86">
                  <c:v>2.3351648351648353</c:v>
                </c:pt>
                <c:pt idx="87">
                  <c:v>2.3626373626373627</c:v>
                </c:pt>
                <c:pt idx="88">
                  <c:v>2.3901098901098901</c:v>
                </c:pt>
                <c:pt idx="89">
                  <c:v>2.4175824175824174</c:v>
                </c:pt>
                <c:pt idx="90">
                  <c:v>2.4450549450549448</c:v>
                </c:pt>
                <c:pt idx="91">
                  <c:v>2.4725274725274726</c:v>
                </c:pt>
                <c:pt idx="92">
                  <c:v>2.5</c:v>
                </c:pt>
                <c:pt idx="93">
                  <c:v>2.5274725274725274</c:v>
                </c:pt>
                <c:pt idx="94">
                  <c:v>2.5549450549450547</c:v>
                </c:pt>
                <c:pt idx="95">
                  <c:v>2.5824175824175826</c:v>
                </c:pt>
                <c:pt idx="96">
                  <c:v>2.6098901098901099</c:v>
                </c:pt>
                <c:pt idx="97">
                  <c:v>2.6373626373626373</c:v>
                </c:pt>
                <c:pt idx="98">
                  <c:v>2.6648351648351647</c:v>
                </c:pt>
                <c:pt idx="99">
                  <c:v>2.6923076923076921</c:v>
                </c:pt>
                <c:pt idx="100">
                  <c:v>2.7197802197802194</c:v>
                </c:pt>
                <c:pt idx="101">
                  <c:v>2.7472527472527473</c:v>
                </c:pt>
                <c:pt idx="102">
                  <c:v>2.7747252747252746</c:v>
                </c:pt>
                <c:pt idx="103">
                  <c:v>2.802197802197802</c:v>
                </c:pt>
                <c:pt idx="104">
                  <c:v>2.8296703296703294</c:v>
                </c:pt>
                <c:pt idx="105">
                  <c:v>2.8571428571428568</c:v>
                </c:pt>
                <c:pt idx="106">
                  <c:v>2.8846153846153841</c:v>
                </c:pt>
                <c:pt idx="107">
                  <c:v>2.9120879120879124</c:v>
                </c:pt>
                <c:pt idx="108">
                  <c:v>2.9395604395604398</c:v>
                </c:pt>
                <c:pt idx="109">
                  <c:v>2.9670329670329672</c:v>
                </c:pt>
                <c:pt idx="110">
                  <c:v>2.9945054945054945</c:v>
                </c:pt>
                <c:pt idx="111">
                  <c:v>3.0219780219780219</c:v>
                </c:pt>
                <c:pt idx="112">
                  <c:v>3.0494505494505497</c:v>
                </c:pt>
                <c:pt idx="113">
                  <c:v>3.0769230769230771</c:v>
                </c:pt>
                <c:pt idx="114">
                  <c:v>3.1043956043956045</c:v>
                </c:pt>
                <c:pt idx="115">
                  <c:v>3.1318681318681318</c:v>
                </c:pt>
                <c:pt idx="116">
                  <c:v>3.1593406593406592</c:v>
                </c:pt>
                <c:pt idx="117">
                  <c:v>3.1868131868131866</c:v>
                </c:pt>
                <c:pt idx="118">
                  <c:v>3.2142857142857144</c:v>
                </c:pt>
                <c:pt idx="119">
                  <c:v>3.2417582417582418</c:v>
                </c:pt>
                <c:pt idx="120">
                  <c:v>3.2692307692307692</c:v>
                </c:pt>
                <c:pt idx="121">
                  <c:v>3.2967032967032965</c:v>
                </c:pt>
                <c:pt idx="122">
                  <c:v>3.3241758241758239</c:v>
                </c:pt>
                <c:pt idx="123">
                  <c:v>3.3516483516483513</c:v>
                </c:pt>
                <c:pt idx="124">
                  <c:v>3.3791208791208796</c:v>
                </c:pt>
                <c:pt idx="125">
                  <c:v>3.4065934065934069</c:v>
                </c:pt>
                <c:pt idx="126">
                  <c:v>3.4340659340659343</c:v>
                </c:pt>
                <c:pt idx="127">
                  <c:v>3.4615384615384617</c:v>
                </c:pt>
                <c:pt idx="128">
                  <c:v>3.4890109890109891</c:v>
                </c:pt>
                <c:pt idx="129">
                  <c:v>3.5164835164835169</c:v>
                </c:pt>
                <c:pt idx="130">
                  <c:v>3.5439560439560442</c:v>
                </c:pt>
                <c:pt idx="131">
                  <c:v>3.5714285714285716</c:v>
                </c:pt>
                <c:pt idx="132">
                  <c:v>3.598901098901099</c:v>
                </c:pt>
                <c:pt idx="133">
                  <c:v>3.6263736263736264</c:v>
                </c:pt>
                <c:pt idx="134">
                  <c:v>3.6538461538461537</c:v>
                </c:pt>
                <c:pt idx="135">
                  <c:v>3.6813186813186816</c:v>
                </c:pt>
                <c:pt idx="136">
                  <c:v>3.7087912087912089</c:v>
                </c:pt>
                <c:pt idx="137">
                  <c:v>3.7362637362637363</c:v>
                </c:pt>
                <c:pt idx="138">
                  <c:v>3.7637362637362637</c:v>
                </c:pt>
                <c:pt idx="139">
                  <c:v>3.7912087912087911</c:v>
                </c:pt>
                <c:pt idx="140">
                  <c:v>3.8186813186813184</c:v>
                </c:pt>
                <c:pt idx="141">
                  <c:v>3.8461538461538463</c:v>
                </c:pt>
                <c:pt idx="142">
                  <c:v>3.8736263736263736</c:v>
                </c:pt>
                <c:pt idx="143">
                  <c:v>3.901098901098901</c:v>
                </c:pt>
                <c:pt idx="144">
                  <c:v>3.9285714285714284</c:v>
                </c:pt>
                <c:pt idx="145">
                  <c:v>3.9560439560439558</c:v>
                </c:pt>
                <c:pt idx="146">
                  <c:v>3.9835164835164831</c:v>
                </c:pt>
                <c:pt idx="147">
                  <c:v>4.0109890109890109</c:v>
                </c:pt>
                <c:pt idx="148">
                  <c:v>4.0384615384615383</c:v>
                </c:pt>
                <c:pt idx="149">
                  <c:v>4.0659340659340657</c:v>
                </c:pt>
                <c:pt idx="150">
                  <c:v>4.0934065934065931</c:v>
                </c:pt>
                <c:pt idx="151">
                  <c:v>4.1208791208791204</c:v>
                </c:pt>
                <c:pt idx="152">
                  <c:v>4.1483516483516487</c:v>
                </c:pt>
                <c:pt idx="153">
                  <c:v>4.1758241758241761</c:v>
                </c:pt>
                <c:pt idx="154">
                  <c:v>4.2032967032967035</c:v>
                </c:pt>
                <c:pt idx="155">
                  <c:v>4.2307692307692308</c:v>
                </c:pt>
                <c:pt idx="156">
                  <c:v>4.2582417582417582</c:v>
                </c:pt>
                <c:pt idx="157">
                  <c:v>4.2857142857142856</c:v>
                </c:pt>
                <c:pt idx="158">
                  <c:v>4.3131868131868139</c:v>
                </c:pt>
                <c:pt idx="159">
                  <c:v>4.3406593406593412</c:v>
                </c:pt>
                <c:pt idx="160">
                  <c:v>4.3681318681318686</c:v>
                </c:pt>
                <c:pt idx="161">
                  <c:v>4.395604395604396</c:v>
                </c:pt>
                <c:pt idx="162">
                  <c:v>4.4230769230769234</c:v>
                </c:pt>
                <c:pt idx="163">
                  <c:v>4.4505494505494507</c:v>
                </c:pt>
                <c:pt idx="164">
                  <c:v>4.4780219780219781</c:v>
                </c:pt>
                <c:pt idx="165">
                  <c:v>4.5054945054945055</c:v>
                </c:pt>
                <c:pt idx="166">
                  <c:v>4.5329670329670328</c:v>
                </c:pt>
                <c:pt idx="167">
                  <c:v>4.5604395604395602</c:v>
                </c:pt>
                <c:pt idx="168">
                  <c:v>4.5879120879120876</c:v>
                </c:pt>
                <c:pt idx="169">
                  <c:v>4.6153846153846159</c:v>
                </c:pt>
                <c:pt idx="170">
                  <c:v>4.6428571428571432</c:v>
                </c:pt>
                <c:pt idx="171">
                  <c:v>4.6703296703296706</c:v>
                </c:pt>
                <c:pt idx="172">
                  <c:v>4.697802197802198</c:v>
                </c:pt>
                <c:pt idx="173">
                  <c:v>4.7252747252747254</c:v>
                </c:pt>
                <c:pt idx="174">
                  <c:v>4.7527472527472527</c:v>
                </c:pt>
                <c:pt idx="175">
                  <c:v>4.7802197802197801</c:v>
                </c:pt>
                <c:pt idx="176">
                  <c:v>4.8076923076923075</c:v>
                </c:pt>
                <c:pt idx="177">
                  <c:v>4.8351648351648349</c:v>
                </c:pt>
                <c:pt idx="178">
                  <c:v>4.8626373626373622</c:v>
                </c:pt>
                <c:pt idx="179">
                  <c:v>4.8901098901098896</c:v>
                </c:pt>
                <c:pt idx="180">
                  <c:v>4.917582417582417</c:v>
                </c:pt>
                <c:pt idx="181">
                  <c:v>4.9450549450549453</c:v>
                </c:pt>
                <c:pt idx="182">
                  <c:v>4.9725274725274726</c:v>
                </c:pt>
                <c:pt idx="183">
                  <c:v>5</c:v>
                </c:pt>
              </c:numCache>
            </c:numRef>
          </c:xVal>
          <c:yVal>
            <c:numRef>
              <c:f>Spreadsheet15.1!$H$25:$H$208</c:f>
              <c:numCache>
                <c:formatCode>#,##0.000</c:formatCode>
                <c:ptCount val="184"/>
                <c:pt idx="0">
                  <c:v>0</c:v>
                </c:pt>
                <c:pt idx="1">
                  <c:v>0.15687245510000011</c:v>
                </c:pt>
                <c:pt idx="2">
                  <c:v>0.44700120329999976</c:v>
                </c:pt>
                <c:pt idx="3">
                  <c:v>0.63085596040000047</c:v>
                </c:pt>
                <c:pt idx="4">
                  <c:v>0.72730907610000084</c:v>
                </c:pt>
                <c:pt idx="5">
                  <c:v>0.84131349050000115</c:v>
                </c:pt>
                <c:pt idx="6">
                  <c:v>0.90475696690000018</c:v>
                </c:pt>
                <c:pt idx="7">
                  <c:v>0.94468717560000059</c:v>
                </c:pt>
                <c:pt idx="8">
                  <c:v>0.97921413239999955</c:v>
                </c:pt>
                <c:pt idx="9">
                  <c:v>0.97824546270000012</c:v>
                </c:pt>
                <c:pt idx="10">
                  <c:v>0.98050895879999966</c:v>
                </c:pt>
                <c:pt idx="11">
                  <c:v>1.0844669090000005</c:v>
                </c:pt>
                <c:pt idx="12">
                  <c:v>1.0918204464000005</c:v>
                </c:pt>
                <c:pt idx="13">
                  <c:v>1.0909061773000002</c:v>
                </c:pt>
                <c:pt idx="14">
                  <c:v>1.1078296848000002</c:v>
                </c:pt>
                <c:pt idx="15">
                  <c:v>1.1342975538000002</c:v>
                </c:pt>
                <c:pt idx="16">
                  <c:v>1.1961408745999993</c:v>
                </c:pt>
                <c:pt idx="17">
                  <c:v>1.2207165986000001</c:v>
                </c:pt>
                <c:pt idx="18">
                  <c:v>1.2033569070000001</c:v>
                </c:pt>
                <c:pt idx="19">
                  <c:v>1.1887990904000001</c:v>
                </c:pt>
                <c:pt idx="20">
                  <c:v>1.4658325974999986</c:v>
                </c:pt>
                <c:pt idx="21">
                  <c:v>1.4970367115999992</c:v>
                </c:pt>
                <c:pt idx="22">
                  <c:v>1.5014805073999984</c:v>
                </c:pt>
                <c:pt idx="23">
                  <c:v>1.5051986816999992</c:v>
                </c:pt>
                <c:pt idx="24">
                  <c:v>1.5143409693999994</c:v>
                </c:pt>
                <c:pt idx="25">
                  <c:v>1.4983935199000005</c:v>
                </c:pt>
                <c:pt idx="26">
                  <c:v>1.4828375195999994</c:v>
                </c:pt>
                <c:pt idx="27">
                  <c:v>1.469846541500001</c:v>
                </c:pt>
                <c:pt idx="28">
                  <c:v>1.4356855617999997</c:v>
                </c:pt>
                <c:pt idx="29">
                  <c:v>1.5227880427999989</c:v>
                </c:pt>
                <c:pt idx="30">
                  <c:v>1.520594315900001</c:v>
                </c:pt>
                <c:pt idx="31">
                  <c:v>1.5169017673000003</c:v>
                </c:pt>
                <c:pt idx="32">
                  <c:v>1.5324732697999994</c:v>
                </c:pt>
                <c:pt idx="33">
                  <c:v>1.5205195511999996</c:v>
                </c:pt>
                <c:pt idx="34">
                  <c:v>1.4634262144999999</c:v>
                </c:pt>
                <c:pt idx="35">
                  <c:v>1.4410538919</c:v>
                </c:pt>
                <c:pt idx="36">
                  <c:v>1.4213473048000003</c:v>
                </c:pt>
                <c:pt idx="37">
                  <c:v>1.3977292369999996</c:v>
                </c:pt>
                <c:pt idx="38">
                  <c:v>1.6143084569000008</c:v>
                </c:pt>
                <c:pt idx="39">
                  <c:v>1.6006554837999996</c:v>
                </c:pt>
                <c:pt idx="40">
                  <c:v>1.6201356608999993</c:v>
                </c:pt>
                <c:pt idx="41">
                  <c:v>1.6388060903999992</c:v>
                </c:pt>
                <c:pt idx="42">
                  <c:v>1.6369879047000002</c:v>
                </c:pt>
                <c:pt idx="43">
                  <c:v>1.5922439704000004</c:v>
                </c:pt>
                <c:pt idx="44">
                  <c:v>1.621290055899999</c:v>
                </c:pt>
                <c:pt idx="45">
                  <c:v>1.6080319333000008</c:v>
                </c:pt>
                <c:pt idx="46">
                  <c:v>1.6254360733000002</c:v>
                </c:pt>
                <c:pt idx="47">
                  <c:v>1.6714450742999998</c:v>
                </c:pt>
                <c:pt idx="48">
                  <c:v>1.6682020612999993</c:v>
                </c:pt>
                <c:pt idx="49">
                  <c:v>1.6209206122000002</c:v>
                </c:pt>
                <c:pt idx="50">
                  <c:v>1.6061513168000003</c:v>
                </c:pt>
                <c:pt idx="51">
                  <c:v>1.6156816034000008</c:v>
                </c:pt>
                <c:pt idx="52">
                  <c:v>1.630026490400001</c:v>
                </c:pt>
                <c:pt idx="53">
                  <c:v>1.6364606885000004</c:v>
                </c:pt>
                <c:pt idx="54">
                  <c:v>1.649052127399999</c:v>
                </c:pt>
                <c:pt idx="55">
                  <c:v>1.6612232685000006</c:v>
                </c:pt>
                <c:pt idx="56">
                  <c:v>1.8360324210999999</c:v>
                </c:pt>
                <c:pt idx="57">
                  <c:v>1.8815330112000006</c:v>
                </c:pt>
                <c:pt idx="58">
                  <c:v>1.8962676789999999</c:v>
                </c:pt>
                <c:pt idx="59">
                  <c:v>1.8972449101999993</c:v>
                </c:pt>
                <c:pt idx="60">
                  <c:v>1.8896248174999999</c:v>
                </c:pt>
                <c:pt idx="61">
                  <c:v>1.9386492323000004</c:v>
                </c:pt>
                <c:pt idx="62">
                  <c:v>1.9081900907999996</c:v>
                </c:pt>
                <c:pt idx="63">
                  <c:v>1.8901030322999997</c:v>
                </c:pt>
                <c:pt idx="64">
                  <c:v>1.9143847339000002</c:v>
                </c:pt>
                <c:pt idx="65">
                  <c:v>1.9256632095999997</c:v>
                </c:pt>
                <c:pt idx="66">
                  <c:v>1.9096013177999995</c:v>
                </c:pt>
                <c:pt idx="67">
                  <c:v>1.8971753347999987</c:v>
                </c:pt>
                <c:pt idx="68">
                  <c:v>1.9208302577999987</c:v>
                </c:pt>
                <c:pt idx="69">
                  <c:v>1.8787926490999987</c:v>
                </c:pt>
                <c:pt idx="70">
                  <c:v>1.8916046285999994</c:v>
                </c:pt>
                <c:pt idx="71">
                  <c:v>1.8695571538999993</c:v>
                </c:pt>
                <c:pt idx="72">
                  <c:v>1.8743583942999986</c:v>
                </c:pt>
                <c:pt idx="73">
                  <c:v>1.8624764527999986</c:v>
                </c:pt>
                <c:pt idx="74">
                  <c:v>1.903547585399999</c:v>
                </c:pt>
                <c:pt idx="75">
                  <c:v>2.0047590381000004</c:v>
                </c:pt>
                <c:pt idx="76">
                  <c:v>2.0058945236000003</c:v>
                </c:pt>
                <c:pt idx="77">
                  <c:v>2.0270063843999995</c:v>
                </c:pt>
                <c:pt idx="78">
                  <c:v>2.0057837912999994</c:v>
                </c:pt>
                <c:pt idx="79">
                  <c:v>2.0587177651000008</c:v>
                </c:pt>
                <c:pt idx="80">
                  <c:v>2.0548083590000008</c:v>
                </c:pt>
                <c:pt idx="81">
                  <c:v>2.0658057263000003</c:v>
                </c:pt>
                <c:pt idx="82">
                  <c:v>2.0597181280000001</c:v>
                </c:pt>
                <c:pt idx="83">
                  <c:v>2.0810834219000007</c:v>
                </c:pt>
                <c:pt idx="84">
                  <c:v>2.0830870183999997</c:v>
                </c:pt>
                <c:pt idx="85">
                  <c:v>2.0776300811000006</c:v>
                </c:pt>
                <c:pt idx="86">
                  <c:v>2.0212066056000002</c:v>
                </c:pt>
                <c:pt idx="87">
                  <c:v>2.0072577437999999</c:v>
                </c:pt>
                <c:pt idx="88">
                  <c:v>1.9647558318</c:v>
                </c:pt>
                <c:pt idx="89">
                  <c:v>1.9363182926999998</c:v>
                </c:pt>
                <c:pt idx="90">
                  <c:v>1.9159619513999997</c:v>
                </c:pt>
                <c:pt idx="91">
                  <c:v>1.8634118066999998</c:v>
                </c:pt>
                <c:pt idx="92">
                  <c:v>1.8584127432000015</c:v>
                </c:pt>
                <c:pt idx="93">
                  <c:v>2.0053984297000005</c:v>
                </c:pt>
                <c:pt idx="94">
                  <c:v>2.0060023549000001</c:v>
                </c:pt>
                <c:pt idx="95">
                  <c:v>2.0192074654000001</c:v>
                </c:pt>
                <c:pt idx="96">
                  <c:v>1.9869871638999999</c:v>
                </c:pt>
                <c:pt idx="97">
                  <c:v>2.0073682815000007</c:v>
                </c:pt>
                <c:pt idx="98">
                  <c:v>2.0116647018</c:v>
                </c:pt>
                <c:pt idx="99">
                  <c:v>2.0215165250000005</c:v>
                </c:pt>
                <c:pt idx="100">
                  <c:v>1.9801819427999996</c:v>
                </c:pt>
                <c:pt idx="101">
                  <c:v>1.9743453824000017</c:v>
                </c:pt>
                <c:pt idx="102">
                  <c:v>1.9953854310999999</c:v>
                </c:pt>
                <c:pt idx="103">
                  <c:v>1.9758399551000012</c:v>
                </c:pt>
                <c:pt idx="104">
                  <c:v>1.9425734935999994</c:v>
                </c:pt>
                <c:pt idx="105">
                  <c:v>1.9117034869000007</c:v>
                </c:pt>
                <c:pt idx="106">
                  <c:v>1.8765906466</c:v>
                </c:pt>
                <c:pt idx="107">
                  <c:v>1.8334081577000005</c:v>
                </c:pt>
                <c:pt idx="108">
                  <c:v>1.8211813866999993</c:v>
                </c:pt>
                <c:pt idx="109">
                  <c:v>1.7911087766999996</c:v>
                </c:pt>
                <c:pt idx="110">
                  <c:v>1.7718778684999998</c:v>
                </c:pt>
                <c:pt idx="111">
                  <c:v>1.9169793328999996</c:v>
                </c:pt>
                <c:pt idx="112">
                  <c:v>1.9067960644000008</c:v>
                </c:pt>
                <c:pt idx="113">
                  <c:v>1.8839707074000005</c:v>
                </c:pt>
                <c:pt idx="114">
                  <c:v>1.8763561589999989</c:v>
                </c:pt>
                <c:pt idx="115">
                  <c:v>1.8446808678999986</c:v>
                </c:pt>
                <c:pt idx="116">
                  <c:v>1.7764807420000004</c:v>
                </c:pt>
                <c:pt idx="117">
                  <c:v>1.7433864474999994</c:v>
                </c:pt>
                <c:pt idx="118">
                  <c:v>1.6995162805999995</c:v>
                </c:pt>
                <c:pt idx="119">
                  <c:v>1.6834758469000004</c:v>
                </c:pt>
                <c:pt idx="120">
                  <c:v>1.6441944318999988</c:v>
                </c:pt>
                <c:pt idx="121">
                  <c:v>1.6043105291999984</c:v>
                </c:pt>
                <c:pt idx="122">
                  <c:v>1.5795738704000002</c:v>
                </c:pt>
                <c:pt idx="123">
                  <c:v>1.5528314217999994</c:v>
                </c:pt>
                <c:pt idx="124">
                  <c:v>1.5215380326000003</c:v>
                </c:pt>
                <c:pt idx="125">
                  <c:v>1.4804901401000015</c:v>
                </c:pt>
                <c:pt idx="126">
                  <c:v>1.4250771810999989</c:v>
                </c:pt>
                <c:pt idx="127">
                  <c:v>1.3792071863999997</c:v>
                </c:pt>
                <c:pt idx="128">
                  <c:v>1.3466586459999996</c:v>
                </c:pt>
                <c:pt idx="129">
                  <c:v>1.4890125996999994</c:v>
                </c:pt>
                <c:pt idx="130">
                  <c:v>1.4692713349999995</c:v>
                </c:pt>
                <c:pt idx="131">
                  <c:v>1.4080348786999992</c:v>
                </c:pt>
                <c:pt idx="132">
                  <c:v>1.3935327176000007</c:v>
                </c:pt>
                <c:pt idx="133">
                  <c:v>1.3583327925999997</c:v>
                </c:pt>
                <c:pt idx="134">
                  <c:v>1.3242324750999999</c:v>
                </c:pt>
                <c:pt idx="135">
                  <c:v>1.2949231207999996</c:v>
                </c:pt>
                <c:pt idx="136">
                  <c:v>1.2694226198000009</c:v>
                </c:pt>
                <c:pt idx="137">
                  <c:v>1.2175772714000006</c:v>
                </c:pt>
                <c:pt idx="138">
                  <c:v>1.2125036749</c:v>
                </c:pt>
                <c:pt idx="139">
                  <c:v>1.1539618217000005</c:v>
                </c:pt>
                <c:pt idx="140">
                  <c:v>1.1068862867000004</c:v>
                </c:pt>
                <c:pt idx="141">
                  <c:v>1.0766944434000003</c:v>
                </c:pt>
                <c:pt idx="142">
                  <c:v>1.0532272353999999</c:v>
                </c:pt>
                <c:pt idx="143">
                  <c:v>1.0004268328999997</c:v>
                </c:pt>
                <c:pt idx="144">
                  <c:v>0.98019205949999977</c:v>
                </c:pt>
                <c:pt idx="145">
                  <c:v>0.93581986030000031</c:v>
                </c:pt>
                <c:pt idx="146">
                  <c:v>0.90454505990000045</c:v>
                </c:pt>
                <c:pt idx="147">
                  <c:v>0.94984450400000009</c:v>
                </c:pt>
                <c:pt idx="148">
                  <c:v>1.0441272800999992</c:v>
                </c:pt>
                <c:pt idx="149">
                  <c:v>0.98956747539999868</c:v>
                </c:pt>
                <c:pt idx="150">
                  <c:v>0.94856365149999944</c:v>
                </c:pt>
                <c:pt idx="151">
                  <c:v>0.91891435349999917</c:v>
                </c:pt>
                <c:pt idx="152">
                  <c:v>0.90535989509999959</c:v>
                </c:pt>
                <c:pt idx="153">
                  <c:v>0.87010210919999986</c:v>
                </c:pt>
                <c:pt idx="154">
                  <c:v>0.82836632869999971</c:v>
                </c:pt>
                <c:pt idx="155">
                  <c:v>0.78590519179999985</c:v>
                </c:pt>
                <c:pt idx="156">
                  <c:v>0.73150107799999942</c:v>
                </c:pt>
                <c:pt idx="157">
                  <c:v>0.72185831779999976</c:v>
                </c:pt>
                <c:pt idx="158">
                  <c:v>0.68381711579999938</c:v>
                </c:pt>
                <c:pt idx="159">
                  <c:v>0.65062909839999983</c:v>
                </c:pt>
                <c:pt idx="160">
                  <c:v>0.61160819290000001</c:v>
                </c:pt>
                <c:pt idx="161">
                  <c:v>0.58083712460000003</c:v>
                </c:pt>
                <c:pt idx="162">
                  <c:v>0.55412374460000013</c:v>
                </c:pt>
                <c:pt idx="163">
                  <c:v>0.52620075589999959</c:v>
                </c:pt>
                <c:pt idx="164">
                  <c:v>0.49566504390000032</c:v>
                </c:pt>
                <c:pt idx="165">
                  <c:v>0.51864981140000033</c:v>
                </c:pt>
                <c:pt idx="166">
                  <c:v>0.63177622509999964</c:v>
                </c:pt>
                <c:pt idx="167">
                  <c:v>0.62201942229999996</c:v>
                </c:pt>
                <c:pt idx="168">
                  <c:v>0.60901503559999992</c:v>
                </c:pt>
                <c:pt idx="169">
                  <c:v>0.58606048709999914</c:v>
                </c:pt>
                <c:pt idx="170">
                  <c:v>0.57079836340000034</c:v>
                </c:pt>
                <c:pt idx="171">
                  <c:v>0.56035363300000007</c:v>
                </c:pt>
                <c:pt idx="172">
                  <c:v>0.54972417959999964</c:v>
                </c:pt>
                <c:pt idx="173">
                  <c:v>0.5437006477999996</c:v>
                </c:pt>
                <c:pt idx="174">
                  <c:v>0.54479580309999986</c:v>
                </c:pt>
                <c:pt idx="175">
                  <c:v>0.57478643249999928</c:v>
                </c:pt>
                <c:pt idx="176">
                  <c:v>0.57688840639999994</c:v>
                </c:pt>
                <c:pt idx="177">
                  <c:v>0.57359981930000004</c:v>
                </c:pt>
                <c:pt idx="178">
                  <c:v>0.56627184680000053</c:v>
                </c:pt>
                <c:pt idx="179">
                  <c:v>0.5640830202999999</c:v>
                </c:pt>
                <c:pt idx="180">
                  <c:v>0.56038117959999967</c:v>
                </c:pt>
                <c:pt idx="181">
                  <c:v>0.55708858549999984</c:v>
                </c:pt>
                <c:pt idx="182">
                  <c:v>0.55374304730000012</c:v>
                </c:pt>
                <c:pt idx="183">
                  <c:v>0.54973271309999983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Spreadsheet15.1!$I$24</c:f>
              <c:strCache>
                <c:ptCount val="1"/>
                <c:pt idx="0">
                  <c:v>NEE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Spreadsheet15.1!$B$25:$B$208</c:f>
              <c:numCache>
                <c:formatCode>0.00</c:formatCode>
                <c:ptCount val="184"/>
                <c:pt idx="0">
                  <c:v>0</c:v>
                </c:pt>
                <c:pt idx="1">
                  <c:v>2.747252747252747E-3</c:v>
                </c:pt>
                <c:pt idx="2">
                  <c:v>2.7472527472527476E-2</c:v>
                </c:pt>
                <c:pt idx="3">
                  <c:v>5.4945054945054951E-2</c:v>
                </c:pt>
                <c:pt idx="4">
                  <c:v>8.2417582417582416E-2</c:v>
                </c:pt>
                <c:pt idx="5">
                  <c:v>0.1098901098901099</c:v>
                </c:pt>
                <c:pt idx="6">
                  <c:v>0.13736263736263737</c:v>
                </c:pt>
                <c:pt idx="7">
                  <c:v>0.16483516483516483</c:v>
                </c:pt>
                <c:pt idx="8">
                  <c:v>0.19230769230769232</c:v>
                </c:pt>
                <c:pt idx="9">
                  <c:v>0.2197802197802198</c:v>
                </c:pt>
                <c:pt idx="10">
                  <c:v>0.24725274725274723</c:v>
                </c:pt>
                <c:pt idx="11">
                  <c:v>0.27472527472527475</c:v>
                </c:pt>
                <c:pt idx="12">
                  <c:v>0.30219780219780218</c:v>
                </c:pt>
                <c:pt idx="13">
                  <c:v>0.32967032967032966</c:v>
                </c:pt>
                <c:pt idx="14">
                  <c:v>0.3571428571428571</c:v>
                </c:pt>
                <c:pt idx="15">
                  <c:v>0.38461538461538464</c:v>
                </c:pt>
                <c:pt idx="16">
                  <c:v>0.41208791208791207</c:v>
                </c:pt>
                <c:pt idx="17">
                  <c:v>0.43956043956043961</c:v>
                </c:pt>
                <c:pt idx="18">
                  <c:v>0.46703296703296704</c:v>
                </c:pt>
                <c:pt idx="19">
                  <c:v>0.49450549450549447</c:v>
                </c:pt>
                <c:pt idx="20">
                  <c:v>0.52197802197802201</c:v>
                </c:pt>
                <c:pt idx="21">
                  <c:v>0.5494505494505495</c:v>
                </c:pt>
                <c:pt idx="22">
                  <c:v>0.57692307692307698</c:v>
                </c:pt>
                <c:pt idx="23">
                  <c:v>0.60439560439560436</c:v>
                </c:pt>
                <c:pt idx="24">
                  <c:v>0.63186813186813184</c:v>
                </c:pt>
                <c:pt idx="25">
                  <c:v>0.65934065934065933</c:v>
                </c:pt>
                <c:pt idx="26">
                  <c:v>0.68681318681318682</c:v>
                </c:pt>
                <c:pt idx="27">
                  <c:v>0.71428571428571419</c:v>
                </c:pt>
                <c:pt idx="28">
                  <c:v>0.74175824175824179</c:v>
                </c:pt>
                <c:pt idx="29">
                  <c:v>0.76923076923076927</c:v>
                </c:pt>
                <c:pt idx="30">
                  <c:v>0.79670329670329665</c:v>
                </c:pt>
                <c:pt idx="31">
                  <c:v>0.82417582417582413</c:v>
                </c:pt>
                <c:pt idx="32">
                  <c:v>0.85164835164835173</c:v>
                </c:pt>
                <c:pt idx="33">
                  <c:v>0.87912087912087922</c:v>
                </c:pt>
                <c:pt idx="34">
                  <c:v>0.90659340659340659</c:v>
                </c:pt>
                <c:pt idx="35">
                  <c:v>0.93406593406593408</c:v>
                </c:pt>
                <c:pt idx="36">
                  <c:v>0.96153846153846156</c:v>
                </c:pt>
                <c:pt idx="37">
                  <c:v>0.98901098901098894</c:v>
                </c:pt>
                <c:pt idx="38">
                  <c:v>1.0164835164835164</c:v>
                </c:pt>
                <c:pt idx="39">
                  <c:v>1.043956043956044</c:v>
                </c:pt>
                <c:pt idx="40">
                  <c:v>1.0714285714285714</c:v>
                </c:pt>
                <c:pt idx="41">
                  <c:v>1.098901098901099</c:v>
                </c:pt>
                <c:pt idx="42">
                  <c:v>1.1263736263736264</c:v>
                </c:pt>
                <c:pt idx="43">
                  <c:v>1.153846153846154</c:v>
                </c:pt>
                <c:pt idx="44">
                  <c:v>1.1813186813186813</c:v>
                </c:pt>
                <c:pt idx="45">
                  <c:v>1.2087912087912087</c:v>
                </c:pt>
                <c:pt idx="46">
                  <c:v>1.2362637362637363</c:v>
                </c:pt>
                <c:pt idx="47">
                  <c:v>1.2637362637362637</c:v>
                </c:pt>
                <c:pt idx="48">
                  <c:v>1.2912087912087913</c:v>
                </c:pt>
                <c:pt idx="49">
                  <c:v>1.3186813186813187</c:v>
                </c:pt>
                <c:pt idx="50">
                  <c:v>1.346153846153846</c:v>
                </c:pt>
                <c:pt idx="51">
                  <c:v>1.3736263736263736</c:v>
                </c:pt>
                <c:pt idx="52">
                  <c:v>1.401098901098901</c:v>
                </c:pt>
                <c:pt idx="53">
                  <c:v>1.4285714285714284</c:v>
                </c:pt>
                <c:pt idx="54">
                  <c:v>1.4560439560439562</c:v>
                </c:pt>
                <c:pt idx="55">
                  <c:v>1.4835164835164836</c:v>
                </c:pt>
                <c:pt idx="56">
                  <c:v>1.5109890109890109</c:v>
                </c:pt>
                <c:pt idx="57">
                  <c:v>1.5384615384615385</c:v>
                </c:pt>
                <c:pt idx="58">
                  <c:v>1.5659340659340659</c:v>
                </c:pt>
                <c:pt idx="59">
                  <c:v>1.5934065934065933</c:v>
                </c:pt>
                <c:pt idx="60">
                  <c:v>1.6208791208791209</c:v>
                </c:pt>
                <c:pt idx="61">
                  <c:v>1.6483516483516483</c:v>
                </c:pt>
                <c:pt idx="62">
                  <c:v>1.6758241758241756</c:v>
                </c:pt>
                <c:pt idx="63">
                  <c:v>1.7032967032967035</c:v>
                </c:pt>
                <c:pt idx="64">
                  <c:v>1.7307692307692308</c:v>
                </c:pt>
                <c:pt idx="65">
                  <c:v>1.7582417582417584</c:v>
                </c:pt>
                <c:pt idx="66">
                  <c:v>1.7857142857142858</c:v>
                </c:pt>
                <c:pt idx="67">
                  <c:v>1.8131868131868132</c:v>
                </c:pt>
                <c:pt idx="68">
                  <c:v>1.8406593406593408</c:v>
                </c:pt>
                <c:pt idx="69">
                  <c:v>1.8681318681318682</c:v>
                </c:pt>
                <c:pt idx="70">
                  <c:v>1.8956043956043955</c:v>
                </c:pt>
                <c:pt idx="71">
                  <c:v>1.9230769230769231</c:v>
                </c:pt>
                <c:pt idx="72">
                  <c:v>1.9505494505494505</c:v>
                </c:pt>
                <c:pt idx="73">
                  <c:v>1.9780219780219779</c:v>
                </c:pt>
                <c:pt idx="74">
                  <c:v>2.0054945054945055</c:v>
                </c:pt>
                <c:pt idx="75">
                  <c:v>2.0329670329670328</c:v>
                </c:pt>
                <c:pt idx="76">
                  <c:v>2.0604395604395602</c:v>
                </c:pt>
                <c:pt idx="77">
                  <c:v>2.087912087912088</c:v>
                </c:pt>
                <c:pt idx="78">
                  <c:v>2.1153846153846154</c:v>
                </c:pt>
                <c:pt idx="79">
                  <c:v>2.1428571428571428</c:v>
                </c:pt>
                <c:pt idx="80">
                  <c:v>2.1703296703296706</c:v>
                </c:pt>
                <c:pt idx="81">
                  <c:v>2.197802197802198</c:v>
                </c:pt>
                <c:pt idx="82">
                  <c:v>2.2252747252747254</c:v>
                </c:pt>
                <c:pt idx="83">
                  <c:v>2.2527472527472527</c:v>
                </c:pt>
                <c:pt idx="84">
                  <c:v>2.2802197802197801</c:v>
                </c:pt>
                <c:pt idx="85">
                  <c:v>2.3076923076923079</c:v>
                </c:pt>
                <c:pt idx="86">
                  <c:v>2.3351648351648353</c:v>
                </c:pt>
                <c:pt idx="87">
                  <c:v>2.3626373626373627</c:v>
                </c:pt>
                <c:pt idx="88">
                  <c:v>2.3901098901098901</c:v>
                </c:pt>
                <c:pt idx="89">
                  <c:v>2.4175824175824174</c:v>
                </c:pt>
                <c:pt idx="90">
                  <c:v>2.4450549450549448</c:v>
                </c:pt>
                <c:pt idx="91">
                  <c:v>2.4725274725274726</c:v>
                </c:pt>
                <c:pt idx="92">
                  <c:v>2.5</c:v>
                </c:pt>
                <c:pt idx="93">
                  <c:v>2.5274725274725274</c:v>
                </c:pt>
                <c:pt idx="94">
                  <c:v>2.5549450549450547</c:v>
                </c:pt>
                <c:pt idx="95">
                  <c:v>2.5824175824175826</c:v>
                </c:pt>
                <c:pt idx="96">
                  <c:v>2.6098901098901099</c:v>
                </c:pt>
                <c:pt idx="97">
                  <c:v>2.6373626373626373</c:v>
                </c:pt>
                <c:pt idx="98">
                  <c:v>2.6648351648351647</c:v>
                </c:pt>
                <c:pt idx="99">
                  <c:v>2.6923076923076921</c:v>
                </c:pt>
                <c:pt idx="100">
                  <c:v>2.7197802197802194</c:v>
                </c:pt>
                <c:pt idx="101">
                  <c:v>2.7472527472527473</c:v>
                </c:pt>
                <c:pt idx="102">
                  <c:v>2.7747252747252746</c:v>
                </c:pt>
                <c:pt idx="103">
                  <c:v>2.802197802197802</c:v>
                </c:pt>
                <c:pt idx="104">
                  <c:v>2.8296703296703294</c:v>
                </c:pt>
                <c:pt idx="105">
                  <c:v>2.8571428571428568</c:v>
                </c:pt>
                <c:pt idx="106">
                  <c:v>2.8846153846153841</c:v>
                </c:pt>
                <c:pt idx="107">
                  <c:v>2.9120879120879124</c:v>
                </c:pt>
                <c:pt idx="108">
                  <c:v>2.9395604395604398</c:v>
                </c:pt>
                <c:pt idx="109">
                  <c:v>2.9670329670329672</c:v>
                </c:pt>
                <c:pt idx="110">
                  <c:v>2.9945054945054945</c:v>
                </c:pt>
                <c:pt idx="111">
                  <c:v>3.0219780219780219</c:v>
                </c:pt>
                <c:pt idx="112">
                  <c:v>3.0494505494505497</c:v>
                </c:pt>
                <c:pt idx="113">
                  <c:v>3.0769230769230771</c:v>
                </c:pt>
                <c:pt idx="114">
                  <c:v>3.1043956043956045</c:v>
                </c:pt>
                <c:pt idx="115">
                  <c:v>3.1318681318681318</c:v>
                </c:pt>
                <c:pt idx="116">
                  <c:v>3.1593406593406592</c:v>
                </c:pt>
                <c:pt idx="117">
                  <c:v>3.1868131868131866</c:v>
                </c:pt>
                <c:pt idx="118">
                  <c:v>3.2142857142857144</c:v>
                </c:pt>
                <c:pt idx="119">
                  <c:v>3.2417582417582418</c:v>
                </c:pt>
                <c:pt idx="120">
                  <c:v>3.2692307692307692</c:v>
                </c:pt>
                <c:pt idx="121">
                  <c:v>3.2967032967032965</c:v>
                </c:pt>
                <c:pt idx="122">
                  <c:v>3.3241758241758239</c:v>
                </c:pt>
                <c:pt idx="123">
                  <c:v>3.3516483516483513</c:v>
                </c:pt>
                <c:pt idx="124">
                  <c:v>3.3791208791208796</c:v>
                </c:pt>
                <c:pt idx="125">
                  <c:v>3.4065934065934069</c:v>
                </c:pt>
                <c:pt idx="126">
                  <c:v>3.4340659340659343</c:v>
                </c:pt>
                <c:pt idx="127">
                  <c:v>3.4615384615384617</c:v>
                </c:pt>
                <c:pt idx="128">
                  <c:v>3.4890109890109891</c:v>
                </c:pt>
                <c:pt idx="129">
                  <c:v>3.5164835164835169</c:v>
                </c:pt>
                <c:pt idx="130">
                  <c:v>3.5439560439560442</c:v>
                </c:pt>
                <c:pt idx="131">
                  <c:v>3.5714285714285716</c:v>
                </c:pt>
                <c:pt idx="132">
                  <c:v>3.598901098901099</c:v>
                </c:pt>
                <c:pt idx="133">
                  <c:v>3.6263736263736264</c:v>
                </c:pt>
                <c:pt idx="134">
                  <c:v>3.6538461538461537</c:v>
                </c:pt>
                <c:pt idx="135">
                  <c:v>3.6813186813186816</c:v>
                </c:pt>
                <c:pt idx="136">
                  <c:v>3.7087912087912089</c:v>
                </c:pt>
                <c:pt idx="137">
                  <c:v>3.7362637362637363</c:v>
                </c:pt>
                <c:pt idx="138">
                  <c:v>3.7637362637362637</c:v>
                </c:pt>
                <c:pt idx="139">
                  <c:v>3.7912087912087911</c:v>
                </c:pt>
                <c:pt idx="140">
                  <c:v>3.8186813186813184</c:v>
                </c:pt>
                <c:pt idx="141">
                  <c:v>3.8461538461538463</c:v>
                </c:pt>
                <c:pt idx="142">
                  <c:v>3.8736263736263736</c:v>
                </c:pt>
                <c:pt idx="143">
                  <c:v>3.901098901098901</c:v>
                </c:pt>
                <c:pt idx="144">
                  <c:v>3.9285714285714284</c:v>
                </c:pt>
                <c:pt idx="145">
                  <c:v>3.9560439560439558</c:v>
                </c:pt>
                <c:pt idx="146">
                  <c:v>3.9835164835164831</c:v>
                </c:pt>
                <c:pt idx="147">
                  <c:v>4.0109890109890109</c:v>
                </c:pt>
                <c:pt idx="148">
                  <c:v>4.0384615384615383</c:v>
                </c:pt>
                <c:pt idx="149">
                  <c:v>4.0659340659340657</c:v>
                </c:pt>
                <c:pt idx="150">
                  <c:v>4.0934065934065931</c:v>
                </c:pt>
                <c:pt idx="151">
                  <c:v>4.1208791208791204</c:v>
                </c:pt>
                <c:pt idx="152">
                  <c:v>4.1483516483516487</c:v>
                </c:pt>
                <c:pt idx="153">
                  <c:v>4.1758241758241761</c:v>
                </c:pt>
                <c:pt idx="154">
                  <c:v>4.2032967032967035</c:v>
                </c:pt>
                <c:pt idx="155">
                  <c:v>4.2307692307692308</c:v>
                </c:pt>
                <c:pt idx="156">
                  <c:v>4.2582417582417582</c:v>
                </c:pt>
                <c:pt idx="157">
                  <c:v>4.2857142857142856</c:v>
                </c:pt>
                <c:pt idx="158">
                  <c:v>4.3131868131868139</c:v>
                </c:pt>
                <c:pt idx="159">
                  <c:v>4.3406593406593412</c:v>
                </c:pt>
                <c:pt idx="160">
                  <c:v>4.3681318681318686</c:v>
                </c:pt>
                <c:pt idx="161">
                  <c:v>4.395604395604396</c:v>
                </c:pt>
                <c:pt idx="162">
                  <c:v>4.4230769230769234</c:v>
                </c:pt>
                <c:pt idx="163">
                  <c:v>4.4505494505494507</c:v>
                </c:pt>
                <c:pt idx="164">
                  <c:v>4.4780219780219781</c:v>
                </c:pt>
                <c:pt idx="165">
                  <c:v>4.5054945054945055</c:v>
                </c:pt>
                <c:pt idx="166">
                  <c:v>4.5329670329670328</c:v>
                </c:pt>
                <c:pt idx="167">
                  <c:v>4.5604395604395602</c:v>
                </c:pt>
                <c:pt idx="168">
                  <c:v>4.5879120879120876</c:v>
                </c:pt>
                <c:pt idx="169">
                  <c:v>4.6153846153846159</c:v>
                </c:pt>
                <c:pt idx="170">
                  <c:v>4.6428571428571432</c:v>
                </c:pt>
                <c:pt idx="171">
                  <c:v>4.6703296703296706</c:v>
                </c:pt>
                <c:pt idx="172">
                  <c:v>4.697802197802198</c:v>
                </c:pt>
                <c:pt idx="173">
                  <c:v>4.7252747252747254</c:v>
                </c:pt>
                <c:pt idx="174">
                  <c:v>4.7527472527472527</c:v>
                </c:pt>
                <c:pt idx="175">
                  <c:v>4.7802197802197801</c:v>
                </c:pt>
                <c:pt idx="176">
                  <c:v>4.8076923076923075</c:v>
                </c:pt>
                <c:pt idx="177">
                  <c:v>4.8351648351648349</c:v>
                </c:pt>
                <c:pt idx="178">
                  <c:v>4.8626373626373622</c:v>
                </c:pt>
                <c:pt idx="179">
                  <c:v>4.8901098901098896</c:v>
                </c:pt>
                <c:pt idx="180">
                  <c:v>4.917582417582417</c:v>
                </c:pt>
                <c:pt idx="181">
                  <c:v>4.9450549450549453</c:v>
                </c:pt>
                <c:pt idx="182">
                  <c:v>4.9725274725274726</c:v>
                </c:pt>
                <c:pt idx="183">
                  <c:v>5</c:v>
                </c:pt>
              </c:numCache>
            </c:numRef>
          </c:xVal>
          <c:yVal>
            <c:numRef>
              <c:f>Spreadsheet15.1!$I$25:$I$208</c:f>
              <c:numCache>
                <c:formatCode>#,##0.000</c:formatCode>
                <c:ptCount val="184"/>
                <c:pt idx="0">
                  <c:v>0</c:v>
                </c:pt>
                <c:pt idx="1">
                  <c:v>-0.15392001619999995</c:v>
                </c:pt>
                <c:pt idx="2">
                  <c:v>-0.51131337980000025</c:v>
                </c:pt>
                <c:pt idx="3">
                  <c:v>-0.76160846979999963</c:v>
                </c:pt>
                <c:pt idx="4">
                  <c:v>-0.98652922189999992</c:v>
                </c:pt>
                <c:pt idx="5">
                  <c:v>-1.1490066693999994</c:v>
                </c:pt>
                <c:pt idx="6">
                  <c:v>-1.292567024899999</c:v>
                </c:pt>
                <c:pt idx="7">
                  <c:v>-1.4200988597000019</c:v>
                </c:pt>
                <c:pt idx="8">
                  <c:v>-1.570514868700001</c:v>
                </c:pt>
                <c:pt idx="9">
                  <c:v>-1.6821779667999999</c:v>
                </c:pt>
                <c:pt idx="10">
                  <c:v>-1.8163238456999986</c:v>
                </c:pt>
                <c:pt idx="11">
                  <c:v>-1.8915243559000003</c:v>
                </c:pt>
                <c:pt idx="12">
                  <c:v>-2.0240384636000006</c:v>
                </c:pt>
                <c:pt idx="13">
                  <c:v>-2.1364558940000018</c:v>
                </c:pt>
                <c:pt idx="14">
                  <c:v>-2.2737426573000006</c:v>
                </c:pt>
                <c:pt idx="15">
                  <c:v>-2.4178547871</c:v>
                </c:pt>
                <c:pt idx="16">
                  <c:v>-2.5466157081999956</c:v>
                </c:pt>
                <c:pt idx="17">
                  <c:v>-2.6505110045999976</c:v>
                </c:pt>
                <c:pt idx="18">
                  <c:v>-2.7517224930999951</c:v>
                </c:pt>
                <c:pt idx="19">
                  <c:v>-2.8383995620999976</c:v>
                </c:pt>
                <c:pt idx="20">
                  <c:v>-2.4599535659000025</c:v>
                </c:pt>
                <c:pt idx="21">
                  <c:v>-2.5280820708999987</c:v>
                </c:pt>
                <c:pt idx="22">
                  <c:v>-2.6312951597000009</c:v>
                </c:pt>
                <c:pt idx="23">
                  <c:v>-2.6889146078999979</c:v>
                </c:pt>
                <c:pt idx="24">
                  <c:v>-2.8392617414000005</c:v>
                </c:pt>
                <c:pt idx="25">
                  <c:v>-2.913155736599998</c:v>
                </c:pt>
                <c:pt idx="26">
                  <c:v>-3.0166221387999985</c:v>
                </c:pt>
                <c:pt idx="27">
                  <c:v>-3.1224069646000001</c:v>
                </c:pt>
                <c:pt idx="28">
                  <c:v>-3.2240093474999969</c:v>
                </c:pt>
                <c:pt idx="29">
                  <c:v>-3.2420047360000024</c:v>
                </c:pt>
                <c:pt idx="30">
                  <c:v>-3.3188298318999996</c:v>
                </c:pt>
                <c:pt idx="31">
                  <c:v>-3.4516562492</c:v>
                </c:pt>
                <c:pt idx="32">
                  <c:v>-3.5350054278999985</c:v>
                </c:pt>
                <c:pt idx="33">
                  <c:v>-3.632192509899999</c:v>
                </c:pt>
                <c:pt idx="34">
                  <c:v>-3.7115153663999978</c:v>
                </c:pt>
                <c:pt idx="35">
                  <c:v>-3.7630909352999957</c:v>
                </c:pt>
                <c:pt idx="36">
                  <c:v>-3.820953034800004</c:v>
                </c:pt>
                <c:pt idx="37">
                  <c:v>-3.8968825964000025</c:v>
                </c:pt>
                <c:pt idx="38">
                  <c:v>-3.469767350399998</c:v>
                </c:pt>
                <c:pt idx="39">
                  <c:v>-3.5000308522000005</c:v>
                </c:pt>
                <c:pt idx="40">
                  <c:v>-3.5341811347000029</c:v>
                </c:pt>
                <c:pt idx="41">
                  <c:v>-3.6012204455999979</c:v>
                </c:pt>
                <c:pt idx="42">
                  <c:v>-3.6675242419000016</c:v>
                </c:pt>
                <c:pt idx="43">
                  <c:v>-3.709908149899996</c:v>
                </c:pt>
                <c:pt idx="44">
                  <c:v>-3.7537310468999965</c:v>
                </c:pt>
                <c:pt idx="45">
                  <c:v>-3.8357800478000033</c:v>
                </c:pt>
                <c:pt idx="46">
                  <c:v>-3.9218492510999989</c:v>
                </c:pt>
                <c:pt idx="47">
                  <c:v>-3.9231995885999957</c:v>
                </c:pt>
                <c:pt idx="48">
                  <c:v>-3.9902803311999993</c:v>
                </c:pt>
                <c:pt idx="49">
                  <c:v>-4.041096356299998</c:v>
                </c:pt>
                <c:pt idx="50">
                  <c:v>-4.0930152316000008</c:v>
                </c:pt>
                <c:pt idx="51">
                  <c:v>-4.1531968345000054</c:v>
                </c:pt>
                <c:pt idx="52">
                  <c:v>-4.2054699088999969</c:v>
                </c:pt>
                <c:pt idx="53">
                  <c:v>-4.2462420624999977</c:v>
                </c:pt>
                <c:pt idx="54">
                  <c:v>-4.2974662828000048</c:v>
                </c:pt>
                <c:pt idx="55">
                  <c:v>-4.3460336320999984</c:v>
                </c:pt>
                <c:pt idx="56">
                  <c:v>-3.8911985730999983</c:v>
                </c:pt>
                <c:pt idx="57">
                  <c:v>-3.9633051958999972</c:v>
                </c:pt>
                <c:pt idx="58">
                  <c:v>-4.0286413744999967</c:v>
                </c:pt>
                <c:pt idx="59">
                  <c:v>-4.1131263878000013</c:v>
                </c:pt>
                <c:pt idx="60">
                  <c:v>-4.1740665856999986</c:v>
                </c:pt>
                <c:pt idx="61">
                  <c:v>-4.2318468302000003</c:v>
                </c:pt>
                <c:pt idx="62">
                  <c:v>-4.2528399935000021</c:v>
                </c:pt>
                <c:pt idx="63">
                  <c:v>-4.2771354215999953</c:v>
                </c:pt>
                <c:pt idx="64">
                  <c:v>-4.2747444782000006</c:v>
                </c:pt>
                <c:pt idx="65">
                  <c:v>-4.2416270815000017</c:v>
                </c:pt>
                <c:pt idx="66">
                  <c:v>-4.2925714308000043</c:v>
                </c:pt>
                <c:pt idx="67">
                  <c:v>-4.3234362806000011</c:v>
                </c:pt>
                <c:pt idx="68">
                  <c:v>-4.3674893538999973</c:v>
                </c:pt>
                <c:pt idx="69">
                  <c:v>-4.4178957899999984</c:v>
                </c:pt>
                <c:pt idx="70">
                  <c:v>-4.4516651280999975</c:v>
                </c:pt>
                <c:pt idx="71">
                  <c:v>-4.4557413469000027</c:v>
                </c:pt>
                <c:pt idx="72">
                  <c:v>-4.507116520900003</c:v>
                </c:pt>
                <c:pt idx="73">
                  <c:v>-4.524649365200001</c:v>
                </c:pt>
                <c:pt idx="74">
                  <c:v>-4.3589549856000005</c:v>
                </c:pt>
                <c:pt idx="75">
                  <c:v>-4.1033888518000046</c:v>
                </c:pt>
                <c:pt idx="76">
                  <c:v>-4.1529575355000024</c:v>
                </c:pt>
                <c:pt idx="77">
                  <c:v>-4.1866385149999994</c:v>
                </c:pt>
                <c:pt idx="78">
                  <c:v>-4.2077775060999967</c:v>
                </c:pt>
                <c:pt idx="79">
                  <c:v>-4.1865394607000015</c:v>
                </c:pt>
                <c:pt idx="80">
                  <c:v>-4.1776063297000006</c:v>
                </c:pt>
                <c:pt idx="81">
                  <c:v>-4.1838751285999978</c:v>
                </c:pt>
                <c:pt idx="82">
                  <c:v>-4.1964229181999979</c:v>
                </c:pt>
                <c:pt idx="83">
                  <c:v>-4.2129530057000046</c:v>
                </c:pt>
                <c:pt idx="84">
                  <c:v>-4.1527147520000049</c:v>
                </c:pt>
                <c:pt idx="85">
                  <c:v>-4.1723016293999988</c:v>
                </c:pt>
                <c:pt idx="86">
                  <c:v>-4.1914352064999987</c:v>
                </c:pt>
                <c:pt idx="87">
                  <c:v>-4.2062738627999989</c:v>
                </c:pt>
                <c:pt idx="88">
                  <c:v>-4.2212167827999965</c:v>
                </c:pt>
                <c:pt idx="89">
                  <c:v>-4.2454549224000022</c:v>
                </c:pt>
                <c:pt idx="90">
                  <c:v>-4.2691886177999949</c:v>
                </c:pt>
                <c:pt idx="91">
                  <c:v>-4.2750549973999989</c:v>
                </c:pt>
                <c:pt idx="92">
                  <c:v>-4.310891503299997</c:v>
                </c:pt>
                <c:pt idx="93">
                  <c:v>-3.8491530398000013</c:v>
                </c:pt>
                <c:pt idx="94">
                  <c:v>-3.9165402175999993</c:v>
                </c:pt>
                <c:pt idx="95">
                  <c:v>-3.9291450132000012</c:v>
                </c:pt>
                <c:pt idx="96">
                  <c:v>-3.9346270126000009</c:v>
                </c:pt>
                <c:pt idx="97">
                  <c:v>-3.9359722177999981</c:v>
                </c:pt>
                <c:pt idx="98">
                  <c:v>-3.9387481027999991</c:v>
                </c:pt>
                <c:pt idx="99">
                  <c:v>-3.9298039872000023</c:v>
                </c:pt>
                <c:pt idx="100">
                  <c:v>-3.924444372</c:v>
                </c:pt>
                <c:pt idx="101">
                  <c:v>-3.9060996258000031</c:v>
                </c:pt>
                <c:pt idx="102">
                  <c:v>-3.844698429600002</c:v>
                </c:pt>
                <c:pt idx="103">
                  <c:v>-3.8541044901000019</c:v>
                </c:pt>
                <c:pt idx="104">
                  <c:v>-3.8584470916000018</c:v>
                </c:pt>
                <c:pt idx="105">
                  <c:v>-3.8536106380999948</c:v>
                </c:pt>
                <c:pt idx="106">
                  <c:v>-3.8613790811000026</c:v>
                </c:pt>
                <c:pt idx="107">
                  <c:v>-3.8422542667000013</c:v>
                </c:pt>
                <c:pt idx="108">
                  <c:v>-3.8567093614000045</c:v>
                </c:pt>
                <c:pt idx="109">
                  <c:v>-3.8468001059999946</c:v>
                </c:pt>
                <c:pt idx="110">
                  <c:v>-3.8544850591000026</c:v>
                </c:pt>
                <c:pt idx="111">
                  <c:v>-3.3086673555999981</c:v>
                </c:pt>
                <c:pt idx="112">
                  <c:v>-3.2842307820999972</c:v>
                </c:pt>
                <c:pt idx="113">
                  <c:v>-3.2303946002000008</c:v>
                </c:pt>
                <c:pt idx="114">
                  <c:v>-3.1522487827000005</c:v>
                </c:pt>
                <c:pt idx="115">
                  <c:v>-3.1193166081000001</c:v>
                </c:pt>
                <c:pt idx="116">
                  <c:v>-3.0756148388999982</c:v>
                </c:pt>
                <c:pt idx="117">
                  <c:v>-3.0452484168999958</c:v>
                </c:pt>
                <c:pt idx="118">
                  <c:v>-3.0211665166999988</c:v>
                </c:pt>
                <c:pt idx="119">
                  <c:v>-2.984692243900001</c:v>
                </c:pt>
                <c:pt idx="120">
                  <c:v>-2.889172671699999</c:v>
                </c:pt>
                <c:pt idx="121">
                  <c:v>-2.843713112100005</c:v>
                </c:pt>
                <c:pt idx="122">
                  <c:v>-2.7826302863000012</c:v>
                </c:pt>
                <c:pt idx="123">
                  <c:v>-2.7378970691000006</c:v>
                </c:pt>
                <c:pt idx="124">
                  <c:v>-2.6866828497000022</c:v>
                </c:pt>
                <c:pt idx="125">
                  <c:v>-2.6621259933999992</c:v>
                </c:pt>
                <c:pt idx="126">
                  <c:v>-2.6212465418000002</c:v>
                </c:pt>
                <c:pt idx="127">
                  <c:v>-2.6116041747999992</c:v>
                </c:pt>
                <c:pt idx="128">
                  <c:v>-2.5884413000999991</c:v>
                </c:pt>
                <c:pt idx="129">
                  <c:v>-2.0728763083999997</c:v>
                </c:pt>
                <c:pt idx="130">
                  <c:v>-2.0628014069000002</c:v>
                </c:pt>
                <c:pt idx="131">
                  <c:v>-2.0487637810000003</c:v>
                </c:pt>
                <c:pt idx="132">
                  <c:v>-2.0257575499000033</c:v>
                </c:pt>
                <c:pt idx="133">
                  <c:v>-1.9792773217999988</c:v>
                </c:pt>
                <c:pt idx="134">
                  <c:v>-1.9495130626000023</c:v>
                </c:pt>
                <c:pt idx="135">
                  <c:v>-1.9085816144999994</c:v>
                </c:pt>
                <c:pt idx="136">
                  <c:v>-1.8569907621999993</c:v>
                </c:pt>
                <c:pt idx="137">
                  <c:v>-1.830784419</c:v>
                </c:pt>
                <c:pt idx="138">
                  <c:v>-1.7376306279000007</c:v>
                </c:pt>
                <c:pt idx="139">
                  <c:v>-1.7034358826999978</c:v>
                </c:pt>
                <c:pt idx="140">
                  <c:v>-1.6585855132000009</c:v>
                </c:pt>
                <c:pt idx="141">
                  <c:v>-1.6219988096</c:v>
                </c:pt>
                <c:pt idx="142">
                  <c:v>-1.5836375860000014</c:v>
                </c:pt>
                <c:pt idx="143">
                  <c:v>-1.5621651598000017</c:v>
                </c:pt>
                <c:pt idx="144">
                  <c:v>-1.5560312983000011</c:v>
                </c:pt>
                <c:pt idx="145">
                  <c:v>-1.5458544088999995</c:v>
                </c:pt>
                <c:pt idx="146">
                  <c:v>-1.5441940796000018</c:v>
                </c:pt>
                <c:pt idx="147">
                  <c:v>-1.3678369137999991</c:v>
                </c:pt>
                <c:pt idx="148">
                  <c:v>-1.1050194229999988</c:v>
                </c:pt>
                <c:pt idx="149">
                  <c:v>-1.1259104586000013</c:v>
                </c:pt>
                <c:pt idx="150">
                  <c:v>-1.1441959154999997</c:v>
                </c:pt>
                <c:pt idx="151">
                  <c:v>-1.1499395877</c:v>
                </c:pt>
                <c:pt idx="152">
                  <c:v>-1.1608384111000005</c:v>
                </c:pt>
                <c:pt idx="153">
                  <c:v>-1.1671354982000004</c:v>
                </c:pt>
                <c:pt idx="154">
                  <c:v>-1.1826826347999997</c:v>
                </c:pt>
                <c:pt idx="155">
                  <c:v>-1.1996594648000014</c:v>
                </c:pt>
                <c:pt idx="156">
                  <c:v>-1.2320683555000003</c:v>
                </c:pt>
                <c:pt idx="157">
                  <c:v>-1.1853279629</c:v>
                </c:pt>
                <c:pt idx="158">
                  <c:v>-1.2032946193999987</c:v>
                </c:pt>
                <c:pt idx="159">
                  <c:v>-1.2220850033000012</c:v>
                </c:pt>
                <c:pt idx="160">
                  <c:v>-1.2433459674000009</c:v>
                </c:pt>
                <c:pt idx="161">
                  <c:v>-1.2704039706999999</c:v>
                </c:pt>
                <c:pt idx="162">
                  <c:v>-1.3004048002999999</c:v>
                </c:pt>
                <c:pt idx="163">
                  <c:v>-1.3328247432999991</c:v>
                </c:pt>
                <c:pt idx="164">
                  <c:v>-1.3742055412999994</c:v>
                </c:pt>
                <c:pt idx="165">
                  <c:v>-1.2211976061000005</c:v>
                </c:pt>
                <c:pt idx="166">
                  <c:v>-0.92689680480000025</c:v>
                </c:pt>
                <c:pt idx="167">
                  <c:v>-0.92712171609999949</c:v>
                </c:pt>
                <c:pt idx="168">
                  <c:v>-0.93144037179999994</c:v>
                </c:pt>
                <c:pt idx="169">
                  <c:v>-0.92519800200000057</c:v>
                </c:pt>
                <c:pt idx="170">
                  <c:v>-0.92525078379999992</c:v>
                </c:pt>
                <c:pt idx="171">
                  <c:v>-0.9214336332000006</c:v>
                </c:pt>
                <c:pt idx="172">
                  <c:v>-0.92055922619999841</c:v>
                </c:pt>
                <c:pt idx="173">
                  <c:v>-0.91747792120000105</c:v>
                </c:pt>
                <c:pt idx="174">
                  <c:v>-0.92947687589999994</c:v>
                </c:pt>
                <c:pt idx="175">
                  <c:v>-0.87835371700000042</c:v>
                </c:pt>
                <c:pt idx="176">
                  <c:v>-0.87823491920000052</c:v>
                </c:pt>
                <c:pt idx="177">
                  <c:v>-0.87857047610000139</c:v>
                </c:pt>
                <c:pt idx="178">
                  <c:v>-0.88204910110000012</c:v>
                </c:pt>
                <c:pt idx="179">
                  <c:v>-0.89157611299999973</c:v>
                </c:pt>
                <c:pt idx="180">
                  <c:v>-0.89962674269999965</c:v>
                </c:pt>
                <c:pt idx="181">
                  <c:v>-0.9147935028999995</c:v>
                </c:pt>
                <c:pt idx="182">
                  <c:v>-0.93200614459999997</c:v>
                </c:pt>
                <c:pt idx="183">
                  <c:v>-0.95740683380000025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Spreadsheet15.1!$J$24</c:f>
              <c:strCache>
                <c:ptCount val="1"/>
                <c:pt idx="0">
                  <c:v>EFV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Spreadsheet15.1!$B$25:$B$208</c:f>
              <c:numCache>
                <c:formatCode>0.00</c:formatCode>
                <c:ptCount val="184"/>
                <c:pt idx="0">
                  <c:v>0</c:v>
                </c:pt>
                <c:pt idx="1">
                  <c:v>2.747252747252747E-3</c:v>
                </c:pt>
                <c:pt idx="2">
                  <c:v>2.7472527472527476E-2</c:v>
                </c:pt>
                <c:pt idx="3">
                  <c:v>5.4945054945054951E-2</c:v>
                </c:pt>
                <c:pt idx="4">
                  <c:v>8.2417582417582416E-2</c:v>
                </c:pt>
                <c:pt idx="5">
                  <c:v>0.1098901098901099</c:v>
                </c:pt>
                <c:pt idx="6">
                  <c:v>0.13736263736263737</c:v>
                </c:pt>
                <c:pt idx="7">
                  <c:v>0.16483516483516483</c:v>
                </c:pt>
                <c:pt idx="8">
                  <c:v>0.19230769230769232</c:v>
                </c:pt>
                <c:pt idx="9">
                  <c:v>0.2197802197802198</c:v>
                </c:pt>
                <c:pt idx="10">
                  <c:v>0.24725274725274723</c:v>
                </c:pt>
                <c:pt idx="11">
                  <c:v>0.27472527472527475</c:v>
                </c:pt>
                <c:pt idx="12">
                  <c:v>0.30219780219780218</c:v>
                </c:pt>
                <c:pt idx="13">
                  <c:v>0.32967032967032966</c:v>
                </c:pt>
                <c:pt idx="14">
                  <c:v>0.3571428571428571</c:v>
                </c:pt>
                <c:pt idx="15">
                  <c:v>0.38461538461538464</c:v>
                </c:pt>
                <c:pt idx="16">
                  <c:v>0.41208791208791207</c:v>
                </c:pt>
                <c:pt idx="17">
                  <c:v>0.43956043956043961</c:v>
                </c:pt>
                <c:pt idx="18">
                  <c:v>0.46703296703296704</c:v>
                </c:pt>
                <c:pt idx="19">
                  <c:v>0.49450549450549447</c:v>
                </c:pt>
                <c:pt idx="20">
                  <c:v>0.52197802197802201</c:v>
                </c:pt>
                <c:pt idx="21">
                  <c:v>0.5494505494505495</c:v>
                </c:pt>
                <c:pt idx="22">
                  <c:v>0.57692307692307698</c:v>
                </c:pt>
                <c:pt idx="23">
                  <c:v>0.60439560439560436</c:v>
                </c:pt>
                <c:pt idx="24">
                  <c:v>0.63186813186813184</c:v>
                </c:pt>
                <c:pt idx="25">
                  <c:v>0.65934065934065933</c:v>
                </c:pt>
                <c:pt idx="26">
                  <c:v>0.68681318681318682</c:v>
                </c:pt>
                <c:pt idx="27">
                  <c:v>0.71428571428571419</c:v>
                </c:pt>
                <c:pt idx="28">
                  <c:v>0.74175824175824179</c:v>
                </c:pt>
                <c:pt idx="29">
                  <c:v>0.76923076923076927</c:v>
                </c:pt>
                <c:pt idx="30">
                  <c:v>0.79670329670329665</c:v>
                </c:pt>
                <c:pt idx="31">
                  <c:v>0.82417582417582413</c:v>
                </c:pt>
                <c:pt idx="32">
                  <c:v>0.85164835164835173</c:v>
                </c:pt>
                <c:pt idx="33">
                  <c:v>0.87912087912087922</c:v>
                </c:pt>
                <c:pt idx="34">
                  <c:v>0.90659340659340659</c:v>
                </c:pt>
                <c:pt idx="35">
                  <c:v>0.93406593406593408</c:v>
                </c:pt>
                <c:pt idx="36">
                  <c:v>0.96153846153846156</c:v>
                </c:pt>
                <c:pt idx="37">
                  <c:v>0.98901098901098894</c:v>
                </c:pt>
                <c:pt idx="38">
                  <c:v>1.0164835164835164</c:v>
                </c:pt>
                <c:pt idx="39">
                  <c:v>1.043956043956044</c:v>
                </c:pt>
                <c:pt idx="40">
                  <c:v>1.0714285714285714</c:v>
                </c:pt>
                <c:pt idx="41">
                  <c:v>1.098901098901099</c:v>
                </c:pt>
                <c:pt idx="42">
                  <c:v>1.1263736263736264</c:v>
                </c:pt>
                <c:pt idx="43">
                  <c:v>1.153846153846154</c:v>
                </c:pt>
                <c:pt idx="44">
                  <c:v>1.1813186813186813</c:v>
                </c:pt>
                <c:pt idx="45">
                  <c:v>1.2087912087912087</c:v>
                </c:pt>
                <c:pt idx="46">
                  <c:v>1.2362637362637363</c:v>
                </c:pt>
                <c:pt idx="47">
                  <c:v>1.2637362637362637</c:v>
                </c:pt>
                <c:pt idx="48">
                  <c:v>1.2912087912087913</c:v>
                </c:pt>
                <c:pt idx="49">
                  <c:v>1.3186813186813187</c:v>
                </c:pt>
                <c:pt idx="50">
                  <c:v>1.346153846153846</c:v>
                </c:pt>
                <c:pt idx="51">
                  <c:v>1.3736263736263736</c:v>
                </c:pt>
                <c:pt idx="52">
                  <c:v>1.401098901098901</c:v>
                </c:pt>
                <c:pt idx="53">
                  <c:v>1.4285714285714284</c:v>
                </c:pt>
                <c:pt idx="54">
                  <c:v>1.4560439560439562</c:v>
                </c:pt>
                <c:pt idx="55">
                  <c:v>1.4835164835164836</c:v>
                </c:pt>
                <c:pt idx="56">
                  <c:v>1.5109890109890109</c:v>
                </c:pt>
                <c:pt idx="57">
                  <c:v>1.5384615384615385</c:v>
                </c:pt>
                <c:pt idx="58">
                  <c:v>1.5659340659340659</c:v>
                </c:pt>
                <c:pt idx="59">
                  <c:v>1.5934065934065933</c:v>
                </c:pt>
                <c:pt idx="60">
                  <c:v>1.6208791208791209</c:v>
                </c:pt>
                <c:pt idx="61">
                  <c:v>1.6483516483516483</c:v>
                </c:pt>
                <c:pt idx="62">
                  <c:v>1.6758241758241756</c:v>
                </c:pt>
                <c:pt idx="63">
                  <c:v>1.7032967032967035</c:v>
                </c:pt>
                <c:pt idx="64">
                  <c:v>1.7307692307692308</c:v>
                </c:pt>
                <c:pt idx="65">
                  <c:v>1.7582417582417584</c:v>
                </c:pt>
                <c:pt idx="66">
                  <c:v>1.7857142857142858</c:v>
                </c:pt>
                <c:pt idx="67">
                  <c:v>1.8131868131868132</c:v>
                </c:pt>
                <c:pt idx="68">
                  <c:v>1.8406593406593408</c:v>
                </c:pt>
                <c:pt idx="69">
                  <c:v>1.8681318681318682</c:v>
                </c:pt>
                <c:pt idx="70">
                  <c:v>1.8956043956043955</c:v>
                </c:pt>
                <c:pt idx="71">
                  <c:v>1.9230769230769231</c:v>
                </c:pt>
                <c:pt idx="72">
                  <c:v>1.9505494505494505</c:v>
                </c:pt>
                <c:pt idx="73">
                  <c:v>1.9780219780219779</c:v>
                </c:pt>
                <c:pt idx="74">
                  <c:v>2.0054945054945055</c:v>
                </c:pt>
                <c:pt idx="75">
                  <c:v>2.0329670329670328</c:v>
                </c:pt>
                <c:pt idx="76">
                  <c:v>2.0604395604395602</c:v>
                </c:pt>
                <c:pt idx="77">
                  <c:v>2.087912087912088</c:v>
                </c:pt>
                <c:pt idx="78">
                  <c:v>2.1153846153846154</c:v>
                </c:pt>
                <c:pt idx="79">
                  <c:v>2.1428571428571428</c:v>
                </c:pt>
                <c:pt idx="80">
                  <c:v>2.1703296703296706</c:v>
                </c:pt>
                <c:pt idx="81">
                  <c:v>2.197802197802198</c:v>
                </c:pt>
                <c:pt idx="82">
                  <c:v>2.2252747252747254</c:v>
                </c:pt>
                <c:pt idx="83">
                  <c:v>2.2527472527472527</c:v>
                </c:pt>
                <c:pt idx="84">
                  <c:v>2.2802197802197801</c:v>
                </c:pt>
                <c:pt idx="85">
                  <c:v>2.3076923076923079</c:v>
                </c:pt>
                <c:pt idx="86">
                  <c:v>2.3351648351648353</c:v>
                </c:pt>
                <c:pt idx="87">
                  <c:v>2.3626373626373627</c:v>
                </c:pt>
                <c:pt idx="88">
                  <c:v>2.3901098901098901</c:v>
                </c:pt>
                <c:pt idx="89">
                  <c:v>2.4175824175824174</c:v>
                </c:pt>
                <c:pt idx="90">
                  <c:v>2.4450549450549448</c:v>
                </c:pt>
                <c:pt idx="91">
                  <c:v>2.4725274725274726</c:v>
                </c:pt>
                <c:pt idx="92">
                  <c:v>2.5</c:v>
                </c:pt>
                <c:pt idx="93">
                  <c:v>2.5274725274725274</c:v>
                </c:pt>
                <c:pt idx="94">
                  <c:v>2.5549450549450547</c:v>
                </c:pt>
                <c:pt idx="95">
                  <c:v>2.5824175824175826</c:v>
                </c:pt>
                <c:pt idx="96">
                  <c:v>2.6098901098901099</c:v>
                </c:pt>
                <c:pt idx="97">
                  <c:v>2.6373626373626373</c:v>
                </c:pt>
                <c:pt idx="98">
                  <c:v>2.6648351648351647</c:v>
                </c:pt>
                <c:pt idx="99">
                  <c:v>2.6923076923076921</c:v>
                </c:pt>
                <c:pt idx="100">
                  <c:v>2.7197802197802194</c:v>
                </c:pt>
                <c:pt idx="101">
                  <c:v>2.7472527472527473</c:v>
                </c:pt>
                <c:pt idx="102">
                  <c:v>2.7747252747252746</c:v>
                </c:pt>
                <c:pt idx="103">
                  <c:v>2.802197802197802</c:v>
                </c:pt>
                <c:pt idx="104">
                  <c:v>2.8296703296703294</c:v>
                </c:pt>
                <c:pt idx="105">
                  <c:v>2.8571428571428568</c:v>
                </c:pt>
                <c:pt idx="106">
                  <c:v>2.8846153846153841</c:v>
                </c:pt>
                <c:pt idx="107">
                  <c:v>2.9120879120879124</c:v>
                </c:pt>
                <c:pt idx="108">
                  <c:v>2.9395604395604398</c:v>
                </c:pt>
                <c:pt idx="109">
                  <c:v>2.9670329670329672</c:v>
                </c:pt>
                <c:pt idx="110">
                  <c:v>2.9945054945054945</c:v>
                </c:pt>
                <c:pt idx="111">
                  <c:v>3.0219780219780219</c:v>
                </c:pt>
                <c:pt idx="112">
                  <c:v>3.0494505494505497</c:v>
                </c:pt>
                <c:pt idx="113">
                  <c:v>3.0769230769230771</c:v>
                </c:pt>
                <c:pt idx="114">
                  <c:v>3.1043956043956045</c:v>
                </c:pt>
                <c:pt idx="115">
                  <c:v>3.1318681318681318</c:v>
                </c:pt>
                <c:pt idx="116">
                  <c:v>3.1593406593406592</c:v>
                </c:pt>
                <c:pt idx="117">
                  <c:v>3.1868131868131866</c:v>
                </c:pt>
                <c:pt idx="118">
                  <c:v>3.2142857142857144</c:v>
                </c:pt>
                <c:pt idx="119">
                  <c:v>3.2417582417582418</c:v>
                </c:pt>
                <c:pt idx="120">
                  <c:v>3.2692307692307692</c:v>
                </c:pt>
                <c:pt idx="121">
                  <c:v>3.2967032967032965</c:v>
                </c:pt>
                <c:pt idx="122">
                  <c:v>3.3241758241758239</c:v>
                </c:pt>
                <c:pt idx="123">
                  <c:v>3.3516483516483513</c:v>
                </c:pt>
                <c:pt idx="124">
                  <c:v>3.3791208791208796</c:v>
                </c:pt>
                <c:pt idx="125">
                  <c:v>3.4065934065934069</c:v>
                </c:pt>
                <c:pt idx="126">
                  <c:v>3.4340659340659343</c:v>
                </c:pt>
                <c:pt idx="127">
                  <c:v>3.4615384615384617</c:v>
                </c:pt>
                <c:pt idx="128">
                  <c:v>3.4890109890109891</c:v>
                </c:pt>
                <c:pt idx="129">
                  <c:v>3.5164835164835169</c:v>
                </c:pt>
                <c:pt idx="130">
                  <c:v>3.5439560439560442</c:v>
                </c:pt>
                <c:pt idx="131">
                  <c:v>3.5714285714285716</c:v>
                </c:pt>
                <c:pt idx="132">
                  <c:v>3.598901098901099</c:v>
                </c:pt>
                <c:pt idx="133">
                  <c:v>3.6263736263736264</c:v>
                </c:pt>
                <c:pt idx="134">
                  <c:v>3.6538461538461537</c:v>
                </c:pt>
                <c:pt idx="135">
                  <c:v>3.6813186813186816</c:v>
                </c:pt>
                <c:pt idx="136">
                  <c:v>3.7087912087912089</c:v>
                </c:pt>
                <c:pt idx="137">
                  <c:v>3.7362637362637363</c:v>
                </c:pt>
                <c:pt idx="138">
                  <c:v>3.7637362637362637</c:v>
                </c:pt>
                <c:pt idx="139">
                  <c:v>3.7912087912087911</c:v>
                </c:pt>
                <c:pt idx="140">
                  <c:v>3.8186813186813184</c:v>
                </c:pt>
                <c:pt idx="141">
                  <c:v>3.8461538461538463</c:v>
                </c:pt>
                <c:pt idx="142">
                  <c:v>3.8736263736263736</c:v>
                </c:pt>
                <c:pt idx="143">
                  <c:v>3.901098901098901</c:v>
                </c:pt>
                <c:pt idx="144">
                  <c:v>3.9285714285714284</c:v>
                </c:pt>
                <c:pt idx="145">
                  <c:v>3.9560439560439558</c:v>
                </c:pt>
                <c:pt idx="146">
                  <c:v>3.9835164835164831</c:v>
                </c:pt>
                <c:pt idx="147">
                  <c:v>4.0109890109890109</c:v>
                </c:pt>
                <c:pt idx="148">
                  <c:v>4.0384615384615383</c:v>
                </c:pt>
                <c:pt idx="149">
                  <c:v>4.0659340659340657</c:v>
                </c:pt>
                <c:pt idx="150">
                  <c:v>4.0934065934065931</c:v>
                </c:pt>
                <c:pt idx="151">
                  <c:v>4.1208791208791204</c:v>
                </c:pt>
                <c:pt idx="152">
                  <c:v>4.1483516483516487</c:v>
                </c:pt>
                <c:pt idx="153">
                  <c:v>4.1758241758241761</c:v>
                </c:pt>
                <c:pt idx="154">
                  <c:v>4.2032967032967035</c:v>
                </c:pt>
                <c:pt idx="155">
                  <c:v>4.2307692307692308</c:v>
                </c:pt>
                <c:pt idx="156">
                  <c:v>4.2582417582417582</c:v>
                </c:pt>
                <c:pt idx="157">
                  <c:v>4.2857142857142856</c:v>
                </c:pt>
                <c:pt idx="158">
                  <c:v>4.3131868131868139</c:v>
                </c:pt>
                <c:pt idx="159">
                  <c:v>4.3406593406593412</c:v>
                </c:pt>
                <c:pt idx="160">
                  <c:v>4.3681318681318686</c:v>
                </c:pt>
                <c:pt idx="161">
                  <c:v>4.395604395604396</c:v>
                </c:pt>
                <c:pt idx="162">
                  <c:v>4.4230769230769234</c:v>
                </c:pt>
                <c:pt idx="163">
                  <c:v>4.4505494505494507</c:v>
                </c:pt>
                <c:pt idx="164">
                  <c:v>4.4780219780219781</c:v>
                </c:pt>
                <c:pt idx="165">
                  <c:v>4.5054945054945055</c:v>
                </c:pt>
                <c:pt idx="166">
                  <c:v>4.5329670329670328</c:v>
                </c:pt>
                <c:pt idx="167">
                  <c:v>4.5604395604395602</c:v>
                </c:pt>
                <c:pt idx="168">
                  <c:v>4.5879120879120876</c:v>
                </c:pt>
                <c:pt idx="169">
                  <c:v>4.6153846153846159</c:v>
                </c:pt>
                <c:pt idx="170">
                  <c:v>4.6428571428571432</c:v>
                </c:pt>
                <c:pt idx="171">
                  <c:v>4.6703296703296706</c:v>
                </c:pt>
                <c:pt idx="172">
                  <c:v>4.697802197802198</c:v>
                </c:pt>
                <c:pt idx="173">
                  <c:v>4.7252747252747254</c:v>
                </c:pt>
                <c:pt idx="174">
                  <c:v>4.7527472527472527</c:v>
                </c:pt>
                <c:pt idx="175">
                  <c:v>4.7802197802197801</c:v>
                </c:pt>
                <c:pt idx="176">
                  <c:v>4.8076923076923075</c:v>
                </c:pt>
                <c:pt idx="177">
                  <c:v>4.8351648351648349</c:v>
                </c:pt>
                <c:pt idx="178">
                  <c:v>4.8626373626373622</c:v>
                </c:pt>
                <c:pt idx="179">
                  <c:v>4.8901098901098896</c:v>
                </c:pt>
                <c:pt idx="180">
                  <c:v>4.917582417582417</c:v>
                </c:pt>
                <c:pt idx="181">
                  <c:v>4.9450549450549453</c:v>
                </c:pt>
                <c:pt idx="182">
                  <c:v>4.9725274725274726</c:v>
                </c:pt>
                <c:pt idx="183">
                  <c:v>5</c:v>
                </c:pt>
              </c:numCache>
            </c:numRef>
          </c:xVal>
          <c:yVal>
            <c:numRef>
              <c:f>Spreadsheet15.1!$J$25:$J$208</c:f>
              <c:numCache>
                <c:formatCode>#,##0.000</c:formatCode>
                <c:ptCount val="184"/>
                <c:pt idx="0">
                  <c:v>0</c:v>
                </c:pt>
                <c:pt idx="1">
                  <c:v>2.9524389000001594E-3</c:v>
                </c:pt>
                <c:pt idx="2">
                  <c:v>-6.4312176500000484E-2</c:v>
                </c:pt>
                <c:pt idx="3">
                  <c:v>-0.13075250939999916</c:v>
                </c:pt>
                <c:pt idx="4">
                  <c:v>-0.25922014579999908</c:v>
                </c:pt>
                <c:pt idx="5">
                  <c:v>-0.30769317889999825</c:v>
                </c:pt>
                <c:pt idx="6">
                  <c:v>-0.38781005799999879</c:v>
                </c:pt>
                <c:pt idx="7">
                  <c:v>-0.47541168410000134</c:v>
                </c:pt>
                <c:pt idx="8">
                  <c:v>-0.59130073630000146</c:v>
                </c:pt>
                <c:pt idx="9">
                  <c:v>-0.70393250409999975</c:v>
                </c:pt>
                <c:pt idx="10">
                  <c:v>-0.83581488689999894</c:v>
                </c:pt>
                <c:pt idx="11">
                  <c:v>-0.80705744689999981</c:v>
                </c:pt>
                <c:pt idx="12">
                  <c:v>-0.93221801720000008</c:v>
                </c:pt>
                <c:pt idx="13">
                  <c:v>-1.0455497167000016</c:v>
                </c:pt>
                <c:pt idx="14">
                  <c:v>-1.1659129725000004</c:v>
                </c:pt>
                <c:pt idx="15">
                  <c:v>-1.2835572332999998</c:v>
                </c:pt>
                <c:pt idx="16">
                  <c:v>-1.3504748335999963</c:v>
                </c:pt>
                <c:pt idx="17">
                  <c:v>-1.4297944059999974</c:v>
                </c:pt>
                <c:pt idx="18">
                  <c:v>-1.548365586099995</c:v>
                </c:pt>
                <c:pt idx="19">
                  <c:v>-1.6496004716999975</c:v>
                </c:pt>
                <c:pt idx="20">
                  <c:v>-0.99412096840000386</c:v>
                </c:pt>
                <c:pt idx="21">
                  <c:v>-1.0310453592999995</c:v>
                </c:pt>
                <c:pt idx="22">
                  <c:v>-1.1298146523000026</c:v>
                </c:pt>
                <c:pt idx="23">
                  <c:v>-1.1837159261999988</c:v>
                </c:pt>
                <c:pt idx="24">
                  <c:v>-1.3249207720000011</c:v>
                </c:pt>
                <c:pt idx="25">
                  <c:v>-1.4147622166999976</c:v>
                </c:pt>
                <c:pt idx="26">
                  <c:v>-1.5337846191999991</c:v>
                </c:pt>
                <c:pt idx="27">
                  <c:v>-1.6525604230999991</c:v>
                </c:pt>
                <c:pt idx="28">
                  <c:v>-1.7883237856999972</c:v>
                </c:pt>
                <c:pt idx="29">
                  <c:v>-1.7192166932000035</c:v>
                </c:pt>
                <c:pt idx="30">
                  <c:v>-1.7982355159999985</c:v>
                </c:pt>
                <c:pt idx="31">
                  <c:v>-1.9347544818999998</c:v>
                </c:pt>
                <c:pt idx="32">
                  <c:v>-2.0025321580999993</c:v>
                </c:pt>
                <c:pt idx="33">
                  <c:v>-2.1116729586999994</c:v>
                </c:pt>
                <c:pt idx="34">
                  <c:v>-2.2480891518999977</c:v>
                </c:pt>
                <c:pt idx="35">
                  <c:v>-2.3220370433999955</c:v>
                </c:pt>
                <c:pt idx="36">
                  <c:v>-2.3996057300000038</c:v>
                </c:pt>
                <c:pt idx="37">
                  <c:v>-2.4991533594000028</c:v>
                </c:pt>
                <c:pt idx="38">
                  <c:v>-1.8554588934999972</c:v>
                </c:pt>
                <c:pt idx="39">
                  <c:v>-1.899375368400001</c:v>
                </c:pt>
                <c:pt idx="40">
                  <c:v>-1.9140454738000037</c:v>
                </c:pt>
                <c:pt idx="41">
                  <c:v>-1.9624143551999986</c:v>
                </c:pt>
                <c:pt idx="42">
                  <c:v>-2.0305363372000014</c:v>
                </c:pt>
                <c:pt idx="43">
                  <c:v>-2.1176641794999957</c:v>
                </c:pt>
                <c:pt idx="44">
                  <c:v>-2.1324409909999975</c:v>
                </c:pt>
                <c:pt idx="45">
                  <c:v>-2.2277481145000024</c:v>
                </c:pt>
                <c:pt idx="46">
                  <c:v>-2.296413177799999</c:v>
                </c:pt>
                <c:pt idx="47">
                  <c:v>-2.251754514299996</c:v>
                </c:pt>
                <c:pt idx="48">
                  <c:v>-2.3220782699</c:v>
                </c:pt>
                <c:pt idx="49">
                  <c:v>-2.420175744099998</c:v>
                </c:pt>
                <c:pt idx="50">
                  <c:v>-2.4868639148000007</c:v>
                </c:pt>
                <c:pt idx="51">
                  <c:v>-2.5375152311000049</c:v>
                </c:pt>
                <c:pt idx="52">
                  <c:v>-2.5754434184999959</c:v>
                </c:pt>
                <c:pt idx="53">
                  <c:v>-2.6097813739999971</c:v>
                </c:pt>
                <c:pt idx="54">
                  <c:v>-2.6484141554000056</c:v>
                </c:pt>
                <c:pt idx="55">
                  <c:v>-2.6848103635999978</c:v>
                </c:pt>
                <c:pt idx="56">
                  <c:v>-2.0551661519999982</c:v>
                </c:pt>
                <c:pt idx="57">
                  <c:v>-2.0817721846999966</c:v>
                </c:pt>
                <c:pt idx="58">
                  <c:v>-2.1323736954999966</c:v>
                </c:pt>
                <c:pt idx="59">
                  <c:v>-2.2158814776000018</c:v>
                </c:pt>
                <c:pt idx="60">
                  <c:v>-2.2844417681999989</c:v>
                </c:pt>
                <c:pt idx="61">
                  <c:v>-2.2931975978999999</c:v>
                </c:pt>
                <c:pt idx="62">
                  <c:v>-2.3446499027000023</c:v>
                </c:pt>
                <c:pt idx="63">
                  <c:v>-2.3870323892999954</c:v>
                </c:pt>
                <c:pt idx="64">
                  <c:v>-2.3603597443000002</c:v>
                </c:pt>
                <c:pt idx="65">
                  <c:v>-2.315963871900002</c:v>
                </c:pt>
                <c:pt idx="66">
                  <c:v>-2.3829701130000047</c:v>
                </c:pt>
                <c:pt idx="67">
                  <c:v>-2.4262609458000024</c:v>
                </c:pt>
                <c:pt idx="68">
                  <c:v>-2.4466590960999985</c:v>
                </c:pt>
                <c:pt idx="69">
                  <c:v>-2.5391031409</c:v>
                </c:pt>
                <c:pt idx="70">
                  <c:v>-2.5600604994999978</c:v>
                </c:pt>
                <c:pt idx="71">
                  <c:v>-2.5861841930000034</c:v>
                </c:pt>
                <c:pt idx="72">
                  <c:v>-2.6327581266000042</c:v>
                </c:pt>
                <c:pt idx="73">
                  <c:v>-2.6621729124000026</c:v>
                </c:pt>
                <c:pt idx="74">
                  <c:v>-2.4554074002000013</c:v>
                </c:pt>
                <c:pt idx="75">
                  <c:v>-2.0986298137000041</c:v>
                </c:pt>
                <c:pt idx="76">
                  <c:v>-2.147063011900002</c:v>
                </c:pt>
                <c:pt idx="77">
                  <c:v>-2.1596321305999999</c:v>
                </c:pt>
                <c:pt idx="78">
                  <c:v>-2.2019937147999973</c:v>
                </c:pt>
                <c:pt idx="79">
                  <c:v>-2.1278216956000007</c:v>
                </c:pt>
                <c:pt idx="80">
                  <c:v>-2.1227979706999998</c:v>
                </c:pt>
                <c:pt idx="81">
                  <c:v>-2.1180694022999975</c:v>
                </c:pt>
                <c:pt idx="82">
                  <c:v>-2.1367047901999978</c:v>
                </c:pt>
                <c:pt idx="83">
                  <c:v>-2.1318695838000039</c:v>
                </c:pt>
                <c:pt idx="84">
                  <c:v>-2.0696277336000053</c:v>
                </c:pt>
                <c:pt idx="85">
                  <c:v>-2.0946715482999982</c:v>
                </c:pt>
                <c:pt idx="86">
                  <c:v>-2.1702286008999985</c:v>
                </c:pt>
                <c:pt idx="87">
                  <c:v>-2.199016118999999</c:v>
                </c:pt>
                <c:pt idx="88">
                  <c:v>-2.2564609509999967</c:v>
                </c:pt>
                <c:pt idx="89">
                  <c:v>-2.3091366297000024</c:v>
                </c:pt>
                <c:pt idx="90">
                  <c:v>-2.353226666399995</c:v>
                </c:pt>
                <c:pt idx="91">
                  <c:v>-2.4116431906999991</c:v>
                </c:pt>
                <c:pt idx="92">
                  <c:v>-2.4524787600999955</c:v>
                </c:pt>
                <c:pt idx="93">
                  <c:v>-1.8437546101000009</c:v>
                </c:pt>
                <c:pt idx="94">
                  <c:v>-1.9105378626999991</c:v>
                </c:pt>
                <c:pt idx="95">
                  <c:v>-1.9099375478000011</c:v>
                </c:pt>
                <c:pt idx="96">
                  <c:v>-1.9476398487000011</c:v>
                </c:pt>
                <c:pt idx="97">
                  <c:v>-1.9286039362999974</c:v>
                </c:pt>
                <c:pt idx="98">
                  <c:v>-1.9270834009999991</c:v>
                </c:pt>
                <c:pt idx="99">
                  <c:v>-1.9082874622000019</c:v>
                </c:pt>
                <c:pt idx="100">
                  <c:v>-1.9442624292000004</c:v>
                </c:pt>
                <c:pt idx="101">
                  <c:v>-1.9317542434000015</c:v>
                </c:pt>
                <c:pt idx="102">
                  <c:v>-1.8493129985000021</c:v>
                </c:pt>
                <c:pt idx="103">
                  <c:v>-1.8782645350000007</c:v>
                </c:pt>
                <c:pt idx="104">
                  <c:v>-1.9158735980000023</c:v>
                </c:pt>
                <c:pt idx="105">
                  <c:v>-1.9419071511999941</c:v>
                </c:pt>
                <c:pt idx="106">
                  <c:v>-1.9847884345000026</c:v>
                </c:pt>
                <c:pt idx="107">
                  <c:v>-2.0088461090000007</c:v>
                </c:pt>
                <c:pt idx="108">
                  <c:v>-2.0355279747000052</c:v>
                </c:pt>
                <c:pt idx="109">
                  <c:v>-2.0556913292999948</c:v>
                </c:pt>
                <c:pt idx="110">
                  <c:v>-2.0826071906000028</c:v>
                </c:pt>
                <c:pt idx="111">
                  <c:v>-1.3916880226999986</c:v>
                </c:pt>
                <c:pt idx="112">
                  <c:v>-1.3774347176999964</c:v>
                </c:pt>
                <c:pt idx="113">
                  <c:v>-1.3464238928000003</c:v>
                </c:pt>
                <c:pt idx="114">
                  <c:v>-1.2758926237000017</c:v>
                </c:pt>
                <c:pt idx="115">
                  <c:v>-1.2746357402000015</c:v>
                </c:pt>
                <c:pt idx="116">
                  <c:v>-1.2991340968999978</c:v>
                </c:pt>
                <c:pt idx="117">
                  <c:v>-1.3018619693999964</c:v>
                </c:pt>
                <c:pt idx="118">
                  <c:v>-1.3216502360999993</c:v>
                </c:pt>
                <c:pt idx="119">
                  <c:v>-1.3012163970000006</c:v>
                </c:pt>
                <c:pt idx="120">
                  <c:v>-1.2449782398000002</c:v>
                </c:pt>
                <c:pt idx="121">
                  <c:v>-1.2394025829000066</c:v>
                </c:pt>
                <c:pt idx="122">
                  <c:v>-1.203056415900001</c:v>
                </c:pt>
                <c:pt idx="123">
                  <c:v>-1.1850656473000012</c:v>
                </c:pt>
                <c:pt idx="124">
                  <c:v>-1.1651448171000018</c:v>
                </c:pt>
                <c:pt idx="125">
                  <c:v>-1.1816358532999978</c:v>
                </c:pt>
                <c:pt idx="126">
                  <c:v>-1.1961693607000012</c:v>
                </c:pt>
                <c:pt idx="127">
                  <c:v>-1.2323969883999994</c:v>
                </c:pt>
                <c:pt idx="128">
                  <c:v>-1.2417826540999994</c:v>
                </c:pt>
                <c:pt idx="129">
                  <c:v>-0.58386370870000026</c:v>
                </c:pt>
                <c:pt idx="130">
                  <c:v>-0.59353007190000073</c:v>
                </c:pt>
                <c:pt idx="131">
                  <c:v>-0.64072890230000112</c:v>
                </c:pt>
                <c:pt idx="132">
                  <c:v>-0.63222483230000259</c:v>
                </c:pt>
                <c:pt idx="133">
                  <c:v>-0.6209445291999991</c:v>
                </c:pt>
                <c:pt idx="134">
                  <c:v>-0.62528058750000248</c:v>
                </c:pt>
                <c:pt idx="135">
                  <c:v>-0.61365849369999981</c:v>
                </c:pt>
                <c:pt idx="136">
                  <c:v>-0.58756814239999833</c:v>
                </c:pt>
                <c:pt idx="137">
                  <c:v>-0.61320714759999939</c:v>
                </c:pt>
                <c:pt idx="138">
                  <c:v>-0.52512695300000067</c:v>
                </c:pt>
                <c:pt idx="139">
                  <c:v>-0.54947406099999729</c:v>
                </c:pt>
                <c:pt idx="140">
                  <c:v>-0.55169922650000047</c:v>
                </c:pt>
                <c:pt idx="141">
                  <c:v>-0.54530436619999967</c:v>
                </c:pt>
                <c:pt idx="142">
                  <c:v>-0.53041035060000152</c:v>
                </c:pt>
                <c:pt idx="143">
                  <c:v>-0.56173832690000203</c:v>
                </c:pt>
                <c:pt idx="144">
                  <c:v>-0.57583923880000132</c:v>
                </c:pt>
                <c:pt idx="145">
                  <c:v>-0.61003454859999917</c:v>
                </c:pt>
                <c:pt idx="146">
                  <c:v>-0.63964901970000132</c:v>
                </c:pt>
                <c:pt idx="147">
                  <c:v>-0.41799240979999897</c:v>
                </c:pt>
                <c:pt idx="148">
                  <c:v>-6.0892142899999557E-2</c:v>
                </c:pt>
                <c:pt idx="149">
                  <c:v>-0.1363429832000026</c:v>
                </c:pt>
                <c:pt idx="150">
                  <c:v>-0.19563226400000022</c:v>
                </c:pt>
                <c:pt idx="151">
                  <c:v>-0.23102523420000087</c:v>
                </c:pt>
                <c:pt idx="152">
                  <c:v>-0.25547851600000093</c:v>
                </c:pt>
                <c:pt idx="153">
                  <c:v>-0.29703338900000054</c:v>
                </c:pt>
                <c:pt idx="154">
                  <c:v>-0.35431630609999998</c:v>
                </c:pt>
                <c:pt idx="155">
                  <c:v>-0.41375427300000156</c:v>
                </c:pt>
                <c:pt idx="156">
                  <c:v>-0.50056727750000085</c:v>
                </c:pt>
                <c:pt idx="157">
                  <c:v>-0.46346964510000022</c:v>
                </c:pt>
                <c:pt idx="158">
                  <c:v>-0.51947750359999934</c:v>
                </c:pt>
                <c:pt idx="159">
                  <c:v>-0.57145590490000142</c:v>
                </c:pt>
                <c:pt idx="160">
                  <c:v>-0.6317377745000009</c:v>
                </c:pt>
                <c:pt idx="161">
                  <c:v>-0.68956684609999985</c:v>
                </c:pt>
                <c:pt idx="162">
                  <c:v>-0.74628105569999981</c:v>
                </c:pt>
                <c:pt idx="163">
                  <c:v>-0.80662398739999952</c:v>
                </c:pt>
                <c:pt idx="164">
                  <c:v>-0.87854049739999907</c:v>
                </c:pt>
                <c:pt idx="165">
                  <c:v>-0.70254779470000017</c:v>
                </c:pt>
                <c:pt idx="166">
                  <c:v>-0.29512057970000061</c:v>
                </c:pt>
                <c:pt idx="167">
                  <c:v>-0.30510229379999954</c:v>
                </c:pt>
                <c:pt idx="168">
                  <c:v>-0.32242533620000002</c:v>
                </c:pt>
                <c:pt idx="169">
                  <c:v>-0.33913751490000144</c:v>
                </c:pt>
                <c:pt idx="170">
                  <c:v>-0.35445242039999958</c:v>
                </c:pt>
                <c:pt idx="171">
                  <c:v>-0.36108000020000053</c:v>
                </c:pt>
                <c:pt idx="172">
                  <c:v>-0.37083504659999877</c:v>
                </c:pt>
                <c:pt idx="173">
                  <c:v>-0.37377727340000144</c:v>
                </c:pt>
                <c:pt idx="174">
                  <c:v>-0.38468107280000008</c:v>
                </c:pt>
                <c:pt idx="175">
                  <c:v>-0.30356728450000114</c:v>
                </c:pt>
                <c:pt idx="176">
                  <c:v>-0.30134651280000058</c:v>
                </c:pt>
                <c:pt idx="177">
                  <c:v>-0.30497065680000135</c:v>
                </c:pt>
                <c:pt idx="178">
                  <c:v>-0.31577725429999959</c:v>
                </c:pt>
                <c:pt idx="179">
                  <c:v>-0.32749309269999982</c:v>
                </c:pt>
                <c:pt idx="180">
                  <c:v>-0.33924556309999998</c:v>
                </c:pt>
                <c:pt idx="181">
                  <c:v>-0.35770491739999966</c:v>
                </c:pt>
                <c:pt idx="182">
                  <c:v>-0.37826309729999985</c:v>
                </c:pt>
                <c:pt idx="183">
                  <c:v>-0.40767412070000042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129888"/>
        <c:axId val="354658208"/>
      </c:scatterChart>
      <c:valAx>
        <c:axId val="347129888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54658208"/>
        <c:crosses val="autoZero"/>
        <c:crossBetween val="midCat"/>
      </c:valAx>
      <c:valAx>
        <c:axId val="3546582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Exposure</a:t>
                </a:r>
              </a:p>
            </c:rich>
          </c:tx>
          <c:layout/>
          <c:overlay val="0"/>
        </c:title>
        <c:numFmt formatCode="#,##0.0" sourceLinked="0"/>
        <c:majorTickMark val="out"/>
        <c:minorTickMark val="none"/>
        <c:tickLblPos val="nextTo"/>
        <c:crossAx val="347129888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34056364829396329"/>
          <c:y val="2.7777777777777776E-2"/>
          <c:w val="0.41946343824723492"/>
          <c:h val="9.1954809996576514E-2"/>
        </c:manualLayout>
      </c:layout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11</xdr:col>
      <xdr:colOff>19050</xdr:colOff>
      <xdr:row>7</xdr:row>
      <xdr:rowOff>0</xdr:rowOff>
    </xdr:to>
    <xdr:sp macro="" textlink="">
      <xdr:nvSpPr>
        <xdr:cNvPr id="5121" name="Text Box 1"/>
        <xdr:cNvSpPr txBox="1">
          <a:spLocks noChangeArrowheads="1"/>
        </xdr:cNvSpPr>
      </xdr:nvSpPr>
      <xdr:spPr bwMode="auto">
        <a:xfrm>
          <a:off x="0" y="9525"/>
          <a:ext cx="7210425" cy="1123950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FVA Calculation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Simple FVA calculations. The results in Table 15.1 can be reproduced. </a:t>
          </a:r>
        </a:p>
        <a:p>
          <a:pPr algn="l" rtl="0">
            <a:defRPr sz="1000"/>
          </a:pPr>
          <a:endParaRPr lang="en-GB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11</xdr:col>
      <xdr:colOff>123825</xdr:colOff>
      <xdr:row>2</xdr:row>
      <xdr:rowOff>66675</xdr:rowOff>
    </xdr:from>
    <xdr:to>
      <xdr:col>15</xdr:col>
      <xdr:colOff>47625</xdr:colOff>
      <xdr:row>5</xdr:row>
      <xdr:rowOff>19050</xdr:rowOff>
    </xdr:to>
    <xdr:sp macro="" textlink="">
      <xdr:nvSpPr>
        <xdr:cNvPr id="5122" name="Text Box 2">
          <a:hlinkClick xmlns:r="http://schemas.openxmlformats.org/officeDocument/2006/relationships" r:id="rId1"/>
        </xdr:cNvPr>
        <xdr:cNvSpPr txBox="1">
          <a:spLocks noChangeArrowheads="1"/>
        </xdr:cNvSpPr>
      </xdr:nvSpPr>
      <xdr:spPr bwMode="auto">
        <a:xfrm>
          <a:off x="7315200" y="390525"/>
          <a:ext cx="26860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xdr:twoCellAnchor>
    <xdr:from>
      <xdr:col>5</xdr:col>
      <xdr:colOff>310515</xdr:colOff>
      <xdr:row>7</xdr:row>
      <xdr:rowOff>62865</xdr:rowOff>
    </xdr:from>
    <xdr:to>
      <xdr:col>11</xdr:col>
      <xdr:colOff>428625</xdr:colOff>
      <xdr:row>22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CRBook/ExampleExercises/Chapter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LFSModernCreditDerivs/LFS_MCD_Delegat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CntrptyRiskEuromoneyExamplesNew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nvertibleBondsandCSA/CB_CSA_Examples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QTinRM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CntrptyRiskEuromoneyOL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uromoneyExamples_FMforNQ_Day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QTinRM3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StructuringandPricingCreditDerivs/CreditDerivsExamples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PricingExamples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Book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TrainingCourses/StructuringandPricingCreditDerivs/CreditDerivsExamplesNew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rseSpreadsheets/BilateralCntrptyRiskCalcs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n%20Gregory/My%20Documents/MotivationalTraining/CourseSpreadsheets/econ422PresentValueProblem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n/Documents/TrainingCourses/CounterpartyRiskandCollateralManagement/StructuringandPricingCreditDerivs/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8.1"/>
      <sheetName val="Spreadsheet8.2"/>
      <sheetName val="Spreadsheet8.3"/>
      <sheetName val="Spreadsheet8.4"/>
    </sheetNames>
    <sheetDataSet>
      <sheetData sheetId="0" refreshError="1"/>
      <sheetData sheetId="1">
        <row r="10">
          <cell r="C10">
            <v>100</v>
          </cell>
          <cell r="F10">
            <v>105.12710963760242</v>
          </cell>
        </row>
        <row r="11">
          <cell r="C11">
            <v>100</v>
          </cell>
          <cell r="F11">
            <v>0.32500000000000001</v>
          </cell>
        </row>
        <row r="12">
          <cell r="C12">
            <v>0.25</v>
          </cell>
          <cell r="F12">
            <v>7.5000000000000289E-2</v>
          </cell>
        </row>
        <row r="13">
          <cell r="C13">
            <v>1</v>
          </cell>
          <cell r="F13">
            <v>9.5162581964040482E-2</v>
          </cell>
        </row>
        <row r="14">
          <cell r="C14">
            <v>0.05</v>
          </cell>
          <cell r="F14">
            <v>-1.3096177994584934</v>
          </cell>
        </row>
        <row r="16">
          <cell r="C16">
            <v>0.25</v>
          </cell>
        </row>
      </sheetData>
      <sheetData sheetId="2" refreshError="1"/>
      <sheetData sheetId="3">
        <row r="12">
          <cell r="C12">
            <v>100</v>
          </cell>
        </row>
        <row r="13">
          <cell r="C13">
            <v>100</v>
          </cell>
        </row>
        <row r="14">
          <cell r="C14">
            <v>0.4</v>
          </cell>
        </row>
        <row r="15">
          <cell r="C15">
            <v>0.4</v>
          </cell>
        </row>
        <row r="16">
          <cell r="C16">
            <v>0.5</v>
          </cell>
        </row>
        <row r="17">
          <cell r="C17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SimpleSpreadCDSPricer"/>
      <sheetName val="Bond-CDS Basis"/>
      <sheetName val="IndexBasis"/>
      <sheetName val="CancellableCDS"/>
      <sheetName val="CMDS"/>
      <sheetName val="BasketPricer"/>
      <sheetName val="BasketMC"/>
      <sheetName val="HistoricalDefProbs"/>
      <sheetName val="ImpliedDefProb"/>
      <sheetName val="CDOPricer"/>
      <sheetName val="BaseCorrelation"/>
      <sheetName val="Bespoke"/>
      <sheetName val="CDSCntrptyRisk"/>
    </sheetNames>
    <sheetDataSet>
      <sheetData sheetId="0"/>
      <sheetData sheetId="1">
        <row r="12">
          <cell r="C12">
            <v>250</v>
          </cell>
        </row>
        <row r="14">
          <cell r="C14">
            <v>0.4</v>
          </cell>
        </row>
        <row r="15">
          <cell r="C15">
            <v>5</v>
          </cell>
        </row>
        <row r="19">
          <cell r="C19">
            <v>4.0108727761500029</v>
          </cell>
        </row>
      </sheetData>
      <sheetData sheetId="2">
        <row r="9">
          <cell r="Q9">
            <v>5</v>
          </cell>
        </row>
        <row r="11">
          <cell r="C11">
            <v>0.05</v>
          </cell>
        </row>
        <row r="13">
          <cell r="C13">
            <v>7.0000000000000007E-2</v>
          </cell>
        </row>
        <row r="14">
          <cell r="C14">
            <v>0.4</v>
          </cell>
        </row>
        <row r="19">
          <cell r="C19">
            <v>4.3972560614593412</v>
          </cell>
        </row>
        <row r="21">
          <cell r="C21">
            <v>0.30227097813081494</v>
          </cell>
        </row>
      </sheetData>
      <sheetData sheetId="3"/>
      <sheetData sheetId="4">
        <row r="12">
          <cell r="C12">
            <v>2</v>
          </cell>
        </row>
        <row r="17">
          <cell r="F17">
            <v>0</v>
          </cell>
        </row>
        <row r="18">
          <cell r="F18">
            <v>354.94586357346907</v>
          </cell>
        </row>
        <row r="22">
          <cell r="F22" t="e">
            <v>#NUM!</v>
          </cell>
        </row>
      </sheetData>
      <sheetData sheetId="5">
        <row r="12">
          <cell r="C12">
            <v>5</v>
          </cell>
        </row>
        <row r="15">
          <cell r="B15" t="str">
            <v>CDS Curve</v>
          </cell>
        </row>
        <row r="16">
          <cell r="B16">
            <v>0</v>
          </cell>
        </row>
        <row r="17">
          <cell r="B17">
            <v>1</v>
          </cell>
        </row>
        <row r="18">
          <cell r="B18">
            <v>2</v>
          </cell>
        </row>
        <row r="19">
          <cell r="B19">
            <v>3</v>
          </cell>
        </row>
        <row r="20">
          <cell r="B20">
            <v>4</v>
          </cell>
        </row>
        <row r="21">
          <cell r="B21">
            <v>5</v>
          </cell>
        </row>
        <row r="22">
          <cell r="B22">
            <v>6</v>
          </cell>
        </row>
        <row r="23">
          <cell r="B23">
            <v>7</v>
          </cell>
        </row>
        <row r="24">
          <cell r="B24">
            <v>8</v>
          </cell>
        </row>
        <row r="25">
          <cell r="B25">
            <v>9</v>
          </cell>
        </row>
        <row r="26">
          <cell r="B26">
            <v>10</v>
          </cell>
        </row>
      </sheetData>
      <sheetData sheetId="6">
        <row r="14">
          <cell r="C14">
            <v>5</v>
          </cell>
        </row>
        <row r="15">
          <cell r="C15">
            <v>0</v>
          </cell>
        </row>
      </sheetData>
      <sheetData sheetId="7">
        <row r="11">
          <cell r="C11">
            <v>0.4</v>
          </cell>
        </row>
      </sheetData>
      <sheetData sheetId="8"/>
      <sheetData sheetId="9">
        <row r="11">
          <cell r="K11" t="str">
            <v>MTM</v>
          </cell>
        </row>
        <row r="14">
          <cell r="C14" t="b">
            <v>0</v>
          </cell>
        </row>
      </sheetData>
      <sheetData sheetId="10">
        <row r="11">
          <cell r="C11">
            <v>0.4</v>
          </cell>
          <cell r="G11" t="e">
            <v>#VALUE!</v>
          </cell>
        </row>
        <row r="12">
          <cell r="C12">
            <v>5</v>
          </cell>
          <cell r="G12" t="e">
            <v>#VALUE!</v>
          </cell>
        </row>
        <row r="13">
          <cell r="C13">
            <v>100</v>
          </cell>
        </row>
        <row r="14">
          <cell r="C14">
            <v>0.05</v>
          </cell>
          <cell r="K14" t="str">
            <v>Payoff</v>
          </cell>
          <cell r="L14" t="str">
            <v>Marg Payoff</v>
          </cell>
          <cell r="Q14">
            <v>0.30042217834319868</v>
          </cell>
        </row>
        <row r="15">
          <cell r="C15">
            <v>50</v>
          </cell>
          <cell r="Q15" t="e">
            <v>#NUM!</v>
          </cell>
        </row>
        <row r="16">
          <cell r="Q16">
            <v>1.004987562112089</v>
          </cell>
        </row>
        <row r="17">
          <cell r="C17">
            <v>0.04</v>
          </cell>
        </row>
        <row r="18">
          <cell r="C18">
            <v>0.08</v>
          </cell>
        </row>
        <row r="19">
          <cell r="C19">
            <v>1000</v>
          </cell>
        </row>
      </sheetData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  <cell r="I7">
            <v>1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D8">
            <v>100000000</v>
          </cell>
          <cell r="G8">
            <v>10121971</v>
          </cell>
        </row>
        <row r="9">
          <cell r="C9">
            <v>500000</v>
          </cell>
          <cell r="G9">
            <v>1000</v>
          </cell>
        </row>
        <row r="10">
          <cell r="C10">
            <v>100000</v>
          </cell>
          <cell r="D10">
            <v>100000</v>
          </cell>
        </row>
        <row r="11">
          <cell r="C11">
            <v>-50000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9">
          <cell r="C9">
            <v>0.5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1">
          <cell r="C11">
            <v>5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ImpliedDefProb"/>
      <sheetName val="BaseCorrelation"/>
      <sheetName val="Bespoke"/>
    </sheetNames>
    <sheetDataSet>
      <sheetData sheetId="0" refreshError="1"/>
      <sheetData sheetId="1" refreshError="1"/>
      <sheetData sheetId="2" refreshError="1"/>
      <sheetData sheetId="3">
        <row r="13">
          <cell r="C13">
            <v>1</v>
          </cell>
        </row>
      </sheetData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>
        <row r="16">
          <cell r="C16" t="str">
            <v>Linear</v>
          </cell>
        </row>
      </sheetData>
      <sheetData sheetId="1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</row>
      </sheetData>
      <sheetData sheetId="1" refreshError="1"/>
      <sheetData sheetId="2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GP217"/>
  <sheetViews>
    <sheetView showGridLines="0" tabSelected="1" workbookViewId="0">
      <pane ySplit="7" topLeftCell="A8" activePane="bottomLeft" state="frozen"/>
      <selection activeCell="N14" sqref="N14"/>
      <selection pane="bottomLeft" activeCell="N21" sqref="N21"/>
    </sheetView>
  </sheetViews>
  <sheetFormatPr defaultRowHeight="13.2" x14ac:dyDescent="0.25"/>
  <cols>
    <col min="2" max="2" width="10" customWidth="1"/>
    <col min="3" max="3" width="10.33203125" customWidth="1"/>
    <col min="4" max="4" width="11.109375" bestFit="1" customWidth="1"/>
    <col min="5" max="5" width="9.33203125" bestFit="1" customWidth="1"/>
    <col min="6" max="6" width="10.33203125" bestFit="1" customWidth="1"/>
    <col min="7" max="7" width="9.88671875" style="4" bestFit="1" customWidth="1"/>
    <col min="8" max="8" width="10.5546875" bestFit="1" customWidth="1"/>
    <col min="9" max="9" width="9.6640625" bestFit="1" customWidth="1"/>
    <col min="12" max="12" width="14" bestFit="1" customWidth="1"/>
    <col min="195" max="195" width="11.33203125" bestFit="1" customWidth="1"/>
  </cols>
  <sheetData>
    <row r="1" spans="2:19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98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98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98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98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98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98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98" ht="13.8" thickBot="1" x14ac:dyDescent="0.3">
      <c r="G8"/>
    </row>
    <row r="9" spans="2:198" ht="13.8" thickBot="1" x14ac:dyDescent="0.3">
      <c r="B9" s="23" t="s">
        <v>0</v>
      </c>
      <c r="C9" s="24"/>
      <c r="D9" s="25"/>
      <c r="G9"/>
    </row>
    <row r="10" spans="2:198" x14ac:dyDescent="0.25">
      <c r="B10" s="52" t="s">
        <v>14</v>
      </c>
      <c r="C10" s="53"/>
      <c r="D10" s="28">
        <v>100</v>
      </c>
      <c r="F10" s="13"/>
      <c r="G10" s="13"/>
      <c r="H10" s="13"/>
      <c r="I10" s="13"/>
      <c r="J10" s="13"/>
      <c r="K10" s="13"/>
      <c r="L10" s="13"/>
    </row>
    <row r="11" spans="2:198" x14ac:dyDescent="0.25">
      <c r="B11" s="54" t="s">
        <v>6</v>
      </c>
      <c r="C11" s="55"/>
      <c r="D11" s="29">
        <v>100</v>
      </c>
      <c r="H11" s="3"/>
      <c r="I11" s="3"/>
      <c r="J11" s="2"/>
    </row>
    <row r="12" spans="2:198" x14ac:dyDescent="0.25">
      <c r="B12" s="54" t="s">
        <v>7</v>
      </c>
      <c r="C12" s="55"/>
      <c r="D12" s="16">
        <v>200</v>
      </c>
      <c r="L12" s="5"/>
    </row>
    <row r="13" spans="2:198" x14ac:dyDescent="0.25">
      <c r="B13" s="54" t="s">
        <v>8</v>
      </c>
      <c r="C13" s="56"/>
      <c r="D13" s="18">
        <v>0.6</v>
      </c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2"/>
    </row>
    <row r="14" spans="2:198" ht="13.8" thickBot="1" x14ac:dyDescent="0.3">
      <c r="B14" s="26" t="s">
        <v>15</v>
      </c>
      <c r="C14" s="27"/>
      <c r="D14" s="17">
        <v>0.6</v>
      </c>
      <c r="G14"/>
      <c r="L14" s="5"/>
    </row>
    <row r="15" spans="2:198" ht="13.8" thickBot="1" x14ac:dyDescent="0.3">
      <c r="G15"/>
      <c r="L15" s="5"/>
    </row>
    <row r="16" spans="2:198" ht="13.8" thickBot="1" x14ac:dyDescent="0.3">
      <c r="B16" s="23" t="s">
        <v>5</v>
      </c>
      <c r="C16" s="30"/>
      <c r="D16" s="24"/>
      <c r="E16" s="25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2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</row>
    <row r="17" spans="2:15" x14ac:dyDescent="0.25">
      <c r="B17" s="48" t="s">
        <v>11</v>
      </c>
      <c r="C17" s="49"/>
      <c r="D17" s="50" t="s">
        <v>16</v>
      </c>
      <c r="E17" s="51"/>
      <c r="L17" s="5"/>
    </row>
    <row r="18" spans="2:15" x14ac:dyDescent="0.25">
      <c r="B18" s="40" t="s">
        <v>9</v>
      </c>
      <c r="C18" s="43">
        <f>-SUMPRODUCT(E26:E208,H26:H208)</f>
        <v>-6.8983719530848711E-2</v>
      </c>
      <c r="D18" s="45" t="s">
        <v>2</v>
      </c>
      <c r="E18" s="41">
        <f>-CntrptyLGD*SUMPRODUCT(F26:F208,H26:H208)</f>
        <v>-0.13090533840008028</v>
      </c>
      <c r="G18" s="21"/>
      <c r="L18" s="5"/>
    </row>
    <row r="19" spans="2:15" x14ac:dyDescent="0.25">
      <c r="B19" s="19" t="s">
        <v>10</v>
      </c>
      <c r="C19" s="43">
        <f>-SUMPRODUCT(E26:E208,I26:I208)</f>
        <v>0.13765227422169896</v>
      </c>
      <c r="D19" s="45" t="s">
        <v>3</v>
      </c>
      <c r="E19" s="41">
        <f>-PartyLGD*SUMPRODUCT(G26:G208,I26:I208)</f>
        <v>0.13568833390230736</v>
      </c>
      <c r="G19"/>
      <c r="L19" s="5"/>
    </row>
    <row r="20" spans="2:15" x14ac:dyDescent="0.25">
      <c r="B20" s="19" t="s">
        <v>11</v>
      </c>
      <c r="C20" s="43">
        <f>C18+C19</f>
        <v>6.8668554690850245E-2</v>
      </c>
      <c r="D20" s="46" t="s">
        <v>9</v>
      </c>
      <c r="E20" s="41">
        <f>C18</f>
        <v>-6.8983719530848711E-2</v>
      </c>
      <c r="G20"/>
      <c r="L20" s="5"/>
    </row>
    <row r="21" spans="2:15" ht="13.8" thickBot="1" x14ac:dyDescent="0.3">
      <c r="B21" s="20" t="s">
        <v>11</v>
      </c>
      <c r="C21" s="44">
        <f>-SUMPRODUCT(C26:C208,J26:J208,D25:D207)*FundingSpread/10000</f>
        <v>6.8677987408133578E-2</v>
      </c>
      <c r="D21" s="47" t="s">
        <v>21</v>
      </c>
      <c r="E21" s="42">
        <f>E20+E19+E18</f>
        <v>-6.4200724028621634E-2</v>
      </c>
      <c r="L21" s="5"/>
      <c r="N21" s="13"/>
      <c r="O21" s="13"/>
    </row>
    <row r="22" spans="2:15" x14ac:dyDescent="0.25">
      <c r="L22" s="5"/>
    </row>
    <row r="23" spans="2:15" ht="13.8" thickBot="1" x14ac:dyDescent="0.3"/>
    <row r="24" spans="2:15" ht="13.8" thickBot="1" x14ac:dyDescent="0.3">
      <c r="B24" s="6"/>
      <c r="C24" s="15" t="s">
        <v>13</v>
      </c>
      <c r="D24" s="15" t="s">
        <v>17</v>
      </c>
      <c r="E24" s="31" t="s">
        <v>18</v>
      </c>
      <c r="F24" s="15" t="s">
        <v>19</v>
      </c>
      <c r="G24" s="15" t="s">
        <v>20</v>
      </c>
      <c r="H24" s="7" t="s">
        <v>1</v>
      </c>
      <c r="I24" s="7" t="s">
        <v>4</v>
      </c>
      <c r="J24" s="34" t="s">
        <v>12</v>
      </c>
      <c r="N24" s="13"/>
      <c r="O24" s="13"/>
    </row>
    <row r="25" spans="2:15" x14ac:dyDescent="0.25">
      <c r="B25" s="8">
        <v>0</v>
      </c>
      <c r="C25" s="32"/>
      <c r="D25" s="9">
        <f t="shared" ref="D25:D56" si="0">EXP(-B25*FundingSpread/10000)</f>
        <v>1</v>
      </c>
      <c r="E25" s="22"/>
      <c r="F25" s="9"/>
      <c r="G25" s="9"/>
      <c r="H25" s="14">
        <v>0</v>
      </c>
      <c r="I25" s="14">
        <v>0</v>
      </c>
      <c r="J25" s="37">
        <f>H25+I25</f>
        <v>0</v>
      </c>
    </row>
    <row r="26" spans="2:15" x14ac:dyDescent="0.25">
      <c r="B26" s="8">
        <v>2.747252747252747E-3</v>
      </c>
      <c r="C26" s="33">
        <f>B26-B25</f>
        <v>2.747252747252747E-3</v>
      </c>
      <c r="D26" s="9">
        <f t="shared" si="0"/>
        <v>0.99997252784989388</v>
      </c>
      <c r="E26" s="22">
        <f>D25-D26</f>
        <v>2.7472150106122584E-5</v>
      </c>
      <c r="F26" s="9">
        <f t="shared" ref="F26:F57" si="1">EXP(-B25*CntrptySpread/10000/CntrptyLGD)-EXP(-B26*CntrptySpread/10000/CntrptyLGD)</f>
        <v>9.157089870437396E-5</v>
      </c>
      <c r="G26" s="9">
        <f t="shared" ref="G26:G57" si="2">EXP(-B25*PartySpread/10000/PartyLGD)-EXP(-B26*PartySpread/10000/PartyLGD)</f>
        <v>4.578649755382358E-5</v>
      </c>
      <c r="H26" s="14">
        <v>0.15687245510000011</v>
      </c>
      <c r="I26" s="14">
        <v>-0.15392001619999995</v>
      </c>
      <c r="J26" s="37">
        <f t="shared" ref="J26:J89" si="3">H26+I26</f>
        <v>2.9524389000001594E-3</v>
      </c>
    </row>
    <row r="27" spans="2:15" x14ac:dyDescent="0.25">
      <c r="B27" s="8">
        <v>2.7472527472527476E-2</v>
      </c>
      <c r="C27" s="33">
        <f t="shared" ref="C27:C90" si="4">B27-B26</f>
        <v>2.4725274725274728E-2</v>
      </c>
      <c r="D27" s="9">
        <f t="shared" si="0"/>
        <v>0.99972531245880747</v>
      </c>
      <c r="E27" s="22">
        <f t="shared" ref="E27:E90" si="5">D26-D27</f>
        <v>2.4721539108640833E-4</v>
      </c>
      <c r="F27" s="9">
        <f t="shared" si="1"/>
        <v>8.2376084513879899E-4</v>
      </c>
      <c r="G27" s="9">
        <f t="shared" si="2"/>
        <v>4.1198415135124122E-4</v>
      </c>
      <c r="H27" s="14">
        <v>0.44700120329999976</v>
      </c>
      <c r="I27" s="14">
        <v>-0.51131337980000025</v>
      </c>
      <c r="J27" s="37">
        <f t="shared" si="3"/>
        <v>-6.4312176500000484E-2</v>
      </c>
    </row>
    <row r="28" spans="2:15" x14ac:dyDescent="0.25">
      <c r="B28" s="8">
        <v>5.4945054945054951E-2</v>
      </c>
      <c r="C28" s="33">
        <f t="shared" si="4"/>
        <v>2.7472527472527476E-2</v>
      </c>
      <c r="D28" s="9">
        <f t="shared" si="0"/>
        <v>0.99945070037086026</v>
      </c>
      <c r="E28" s="22">
        <f t="shared" si="5"/>
        <v>2.7461208794721248E-4</v>
      </c>
      <c r="F28" s="9">
        <f t="shared" si="1"/>
        <v>9.1449391164188931E-4</v>
      </c>
      <c r="G28" s="9">
        <f t="shared" si="2"/>
        <v>4.5756109493810815E-4</v>
      </c>
      <c r="H28" s="14">
        <v>0.63085596040000047</v>
      </c>
      <c r="I28" s="14">
        <v>-0.76160846979999963</v>
      </c>
      <c r="J28" s="37">
        <f t="shared" si="3"/>
        <v>-0.13075250939999916</v>
      </c>
    </row>
    <row r="29" spans="2:15" x14ac:dyDescent="0.25">
      <c r="B29" s="8">
        <v>8.2417582417582416E-2</v>
      </c>
      <c r="C29" s="33">
        <f t="shared" si="4"/>
        <v>2.7472527472527465E-2</v>
      </c>
      <c r="D29" s="9">
        <f t="shared" si="0"/>
        <v>0.99917616371543228</v>
      </c>
      <c r="E29" s="22">
        <f t="shared" si="5"/>
        <v>2.7453665542798156E-4</v>
      </c>
      <c r="F29" s="9">
        <f t="shared" si="1"/>
        <v>9.1365684633504252E-4</v>
      </c>
      <c r="G29" s="9">
        <f t="shared" si="2"/>
        <v>4.5735163689875069E-4</v>
      </c>
      <c r="H29" s="14">
        <v>0.72730907610000084</v>
      </c>
      <c r="I29" s="14">
        <v>-0.98652922189999992</v>
      </c>
      <c r="J29" s="37">
        <f t="shared" si="3"/>
        <v>-0.25922014579999908</v>
      </c>
    </row>
    <row r="30" spans="2:15" x14ac:dyDescent="0.25">
      <c r="B30" s="8">
        <v>0.1098901098901099</v>
      </c>
      <c r="C30" s="33">
        <f t="shared" si="4"/>
        <v>2.7472527472527486E-2</v>
      </c>
      <c r="D30" s="9">
        <f t="shared" si="0"/>
        <v>0.9989017024718031</v>
      </c>
      <c r="E30" s="22">
        <f t="shared" si="5"/>
        <v>2.7446124362917601E-4</v>
      </c>
      <c r="F30" s="9">
        <f t="shared" si="1"/>
        <v>9.1282054722052752E-4</v>
      </c>
      <c r="G30" s="9">
        <f t="shared" si="2"/>
        <v>4.5714227474313862E-4</v>
      </c>
      <c r="H30" s="14">
        <v>0.84131349050000115</v>
      </c>
      <c r="I30" s="14">
        <v>-1.1490066693999994</v>
      </c>
      <c r="J30" s="37">
        <f t="shared" si="3"/>
        <v>-0.30769317889999825</v>
      </c>
    </row>
    <row r="31" spans="2:15" x14ac:dyDescent="0.25">
      <c r="B31" s="8">
        <v>0.13736263736263737</v>
      </c>
      <c r="C31" s="33">
        <f t="shared" si="4"/>
        <v>2.7472527472527472E-2</v>
      </c>
      <c r="D31" s="9">
        <f t="shared" si="0"/>
        <v>0.99862731661925808</v>
      </c>
      <c r="E31" s="22">
        <f t="shared" si="5"/>
        <v>2.7438585254502268E-4</v>
      </c>
      <c r="F31" s="9">
        <f t="shared" si="1"/>
        <v>9.1198501359734951E-4</v>
      </c>
      <c r="G31" s="9">
        <f t="shared" si="2"/>
        <v>4.5693300842741813E-4</v>
      </c>
      <c r="H31" s="14">
        <v>0.90475696690000018</v>
      </c>
      <c r="I31" s="14">
        <v>-1.292567024899999</v>
      </c>
      <c r="J31" s="37">
        <f t="shared" si="3"/>
        <v>-0.38781005799999879</v>
      </c>
    </row>
    <row r="32" spans="2:15" x14ac:dyDescent="0.25">
      <c r="B32" s="8">
        <v>0.16483516483516483</v>
      </c>
      <c r="C32" s="33">
        <f t="shared" si="4"/>
        <v>2.7472527472527458E-2</v>
      </c>
      <c r="D32" s="9">
        <f t="shared" si="0"/>
        <v>0.99835300613708822</v>
      </c>
      <c r="E32" s="22">
        <f t="shared" si="5"/>
        <v>2.7431048216985943E-4</v>
      </c>
      <c r="F32" s="9">
        <f t="shared" si="1"/>
        <v>9.1115024476440265E-4</v>
      </c>
      <c r="G32" s="9">
        <f t="shared" si="2"/>
        <v>4.5672383790762439E-4</v>
      </c>
      <c r="H32" s="14">
        <v>0.94468717560000059</v>
      </c>
      <c r="I32" s="14">
        <v>-1.4200988597000019</v>
      </c>
      <c r="J32" s="37">
        <f t="shared" si="3"/>
        <v>-0.47541168410000134</v>
      </c>
    </row>
    <row r="33" spans="2:10" x14ac:dyDescent="0.25">
      <c r="B33" s="8">
        <v>0.19230769230769232</v>
      </c>
      <c r="C33" s="33">
        <f t="shared" si="4"/>
        <v>2.7472527472527486E-2</v>
      </c>
      <c r="D33" s="9">
        <f t="shared" si="0"/>
        <v>0.9980787710045903</v>
      </c>
      <c r="E33" s="22">
        <f t="shared" si="5"/>
        <v>2.7423513249791309E-4</v>
      </c>
      <c r="F33" s="9">
        <f t="shared" si="1"/>
        <v>9.1031624002202438E-4</v>
      </c>
      <c r="G33" s="9">
        <f t="shared" si="2"/>
        <v>4.565147631400146E-4</v>
      </c>
      <c r="H33" s="14">
        <v>0.97921413239999955</v>
      </c>
      <c r="I33" s="14">
        <v>-1.570514868700001</v>
      </c>
      <c r="J33" s="37">
        <f t="shared" si="3"/>
        <v>-0.59130073630000146</v>
      </c>
    </row>
    <row r="34" spans="2:10" x14ac:dyDescent="0.25">
      <c r="B34" s="8">
        <v>0.2197802197802198</v>
      </c>
      <c r="C34" s="33">
        <f t="shared" si="4"/>
        <v>2.7472527472527486E-2</v>
      </c>
      <c r="D34" s="9">
        <f t="shared" si="0"/>
        <v>0.99780461120106656</v>
      </c>
      <c r="E34" s="22">
        <f t="shared" si="5"/>
        <v>2.7415980352374358E-4</v>
      </c>
      <c r="F34" s="9">
        <f t="shared" si="1"/>
        <v>9.0948299867055216E-4</v>
      </c>
      <c r="G34" s="9">
        <f t="shared" si="2"/>
        <v>4.5630578408051292E-4</v>
      </c>
      <c r="H34" s="14">
        <v>0.97824546270000012</v>
      </c>
      <c r="I34" s="14">
        <v>-1.6821779667999999</v>
      </c>
      <c r="J34" s="37">
        <f t="shared" si="3"/>
        <v>-0.70393250409999975</v>
      </c>
    </row>
    <row r="35" spans="2:10" x14ac:dyDescent="0.25">
      <c r="B35" s="8">
        <v>0.24725274725274723</v>
      </c>
      <c r="C35" s="33">
        <f t="shared" si="4"/>
        <v>2.747252747252743E-2</v>
      </c>
      <c r="D35" s="9">
        <f t="shared" si="0"/>
        <v>0.9975305267058252</v>
      </c>
      <c r="E35" s="22">
        <f t="shared" si="5"/>
        <v>2.740844952413557E-4</v>
      </c>
      <c r="F35" s="9">
        <f t="shared" si="1"/>
        <v>9.0865052001143365E-4</v>
      </c>
      <c r="G35" s="9">
        <f t="shared" si="2"/>
        <v>4.5609690068582065E-4</v>
      </c>
      <c r="H35" s="14">
        <v>0.98050895879999966</v>
      </c>
      <c r="I35" s="14">
        <v>-1.8163238456999986</v>
      </c>
      <c r="J35" s="37">
        <f t="shared" si="3"/>
        <v>-0.83581488689999894</v>
      </c>
    </row>
    <row r="36" spans="2:10" x14ac:dyDescent="0.25">
      <c r="B36" s="8">
        <v>0.27472527472527475</v>
      </c>
      <c r="C36" s="33">
        <f t="shared" si="4"/>
        <v>2.7472527472527514E-2</v>
      </c>
      <c r="D36" s="9">
        <f t="shared" si="0"/>
        <v>0.9972565174981799</v>
      </c>
      <c r="E36" s="22">
        <f t="shared" si="5"/>
        <v>2.7400920764530934E-4</v>
      </c>
      <c r="F36" s="9">
        <f t="shared" si="1"/>
        <v>9.0781880334633858E-4</v>
      </c>
      <c r="G36" s="9">
        <f t="shared" si="2"/>
        <v>4.5588811291152886E-4</v>
      </c>
      <c r="H36" s="14">
        <v>1.0844669090000005</v>
      </c>
      <c r="I36" s="14">
        <v>-1.8915243559000003</v>
      </c>
      <c r="J36" s="37">
        <f t="shared" si="3"/>
        <v>-0.80705744689999981</v>
      </c>
    </row>
    <row r="37" spans="2:10" x14ac:dyDescent="0.25">
      <c r="B37" s="8">
        <v>0.30219780219780218</v>
      </c>
      <c r="C37" s="33">
        <f t="shared" si="4"/>
        <v>2.747252747252743E-2</v>
      </c>
      <c r="D37" s="9">
        <f t="shared" si="0"/>
        <v>0.99698258355745006</v>
      </c>
      <c r="E37" s="22">
        <f t="shared" si="5"/>
        <v>2.7393394072983135E-4</v>
      </c>
      <c r="F37" s="9">
        <f t="shared" si="1"/>
        <v>9.0698784797793586E-4</v>
      </c>
      <c r="G37" s="9">
        <f t="shared" si="2"/>
        <v>4.5567942071422785E-4</v>
      </c>
      <c r="H37" s="14">
        <v>1.0918204464000005</v>
      </c>
      <c r="I37" s="14">
        <v>-2.0240384636000006</v>
      </c>
      <c r="J37" s="37">
        <f t="shared" si="3"/>
        <v>-0.93221801720000008</v>
      </c>
    </row>
    <row r="38" spans="2:10" x14ac:dyDescent="0.25">
      <c r="B38" s="8">
        <v>0.32967032967032966</v>
      </c>
      <c r="C38" s="33">
        <f t="shared" si="4"/>
        <v>2.7472527472527486E-2</v>
      </c>
      <c r="D38" s="9">
        <f t="shared" si="0"/>
        <v>0.99670872486296092</v>
      </c>
      <c r="E38" s="22">
        <f t="shared" si="5"/>
        <v>2.7385869448914857E-4</v>
      </c>
      <c r="F38" s="9">
        <f t="shared" si="1"/>
        <v>9.0615765320956054E-4</v>
      </c>
      <c r="G38" s="9">
        <f t="shared" si="2"/>
        <v>4.5547082405017481E-4</v>
      </c>
      <c r="H38" s="14">
        <v>1.0909061773000002</v>
      </c>
      <c r="I38" s="14">
        <v>-2.1364558940000018</v>
      </c>
      <c r="J38" s="37">
        <f t="shared" si="3"/>
        <v>-1.0455497167000016</v>
      </c>
    </row>
    <row r="39" spans="2:10" x14ac:dyDescent="0.25">
      <c r="B39" s="8">
        <v>0.3571428571428571</v>
      </c>
      <c r="C39" s="33">
        <f t="shared" si="4"/>
        <v>2.747252747252743E-2</v>
      </c>
      <c r="D39" s="9">
        <f t="shared" si="0"/>
        <v>0.99643494139404321</v>
      </c>
      <c r="E39" s="22">
        <f t="shared" si="5"/>
        <v>2.7378346891770988E-4</v>
      </c>
      <c r="F39" s="9">
        <f t="shared" si="1"/>
        <v>9.0532821834454769E-4</v>
      </c>
      <c r="G39" s="9">
        <f t="shared" si="2"/>
        <v>4.5526232287551593E-4</v>
      </c>
      <c r="H39" s="14">
        <v>1.1078296848000002</v>
      </c>
      <c r="I39" s="14">
        <v>-2.2737426573000006</v>
      </c>
      <c r="J39" s="37">
        <f t="shared" si="3"/>
        <v>-1.1659129725000004</v>
      </c>
    </row>
    <row r="40" spans="2:10" x14ac:dyDescent="0.25">
      <c r="B40" s="8">
        <v>0.38461538461538464</v>
      </c>
      <c r="C40" s="33">
        <f t="shared" si="4"/>
        <v>2.7472527472527541E-2</v>
      </c>
      <c r="D40" s="9">
        <f t="shared" si="0"/>
        <v>0.99616123313003335</v>
      </c>
      <c r="E40" s="22">
        <f t="shared" si="5"/>
        <v>2.7370826400985315E-4</v>
      </c>
      <c r="F40" s="9">
        <f t="shared" si="1"/>
        <v>9.0449954268767563E-4</v>
      </c>
      <c r="G40" s="9">
        <f t="shared" si="2"/>
        <v>4.5505391714650845E-4</v>
      </c>
      <c r="H40" s="14">
        <v>1.1342975538000002</v>
      </c>
      <c r="I40" s="14">
        <v>-2.4178547871</v>
      </c>
      <c r="J40" s="37">
        <f t="shared" si="3"/>
        <v>-1.2835572332999998</v>
      </c>
    </row>
    <row r="41" spans="2:10" x14ac:dyDescent="0.25">
      <c r="B41" s="8">
        <v>0.41208791208791207</v>
      </c>
      <c r="C41" s="33">
        <f t="shared" si="4"/>
        <v>2.747252747252743E-2</v>
      </c>
      <c r="D41" s="9">
        <f t="shared" si="0"/>
        <v>0.99588760005027355</v>
      </c>
      <c r="E41" s="22">
        <f t="shared" si="5"/>
        <v>2.7363307975980522E-4</v>
      </c>
      <c r="F41" s="9">
        <f t="shared" si="1"/>
        <v>9.0367162554394476E-4</v>
      </c>
      <c r="G41" s="9">
        <f t="shared" si="2"/>
        <v>4.5484560681952058E-4</v>
      </c>
      <c r="H41" s="14">
        <v>1.1961408745999993</v>
      </c>
      <c r="I41" s="14">
        <v>-2.5466157081999956</v>
      </c>
      <c r="J41" s="37">
        <f t="shared" si="3"/>
        <v>-1.3504748335999963</v>
      </c>
    </row>
    <row r="42" spans="2:10" x14ac:dyDescent="0.25">
      <c r="B42" s="8">
        <v>0.43956043956043961</v>
      </c>
      <c r="C42" s="33">
        <f t="shared" si="4"/>
        <v>2.7472527472527541E-2</v>
      </c>
      <c r="D42" s="9">
        <f t="shared" si="0"/>
        <v>0.99561404213411164</v>
      </c>
      <c r="E42" s="22">
        <f t="shared" si="5"/>
        <v>2.7355791616190395E-4</v>
      </c>
      <c r="F42" s="9">
        <f t="shared" si="1"/>
        <v>9.0284446621913261E-4</v>
      </c>
      <c r="G42" s="9">
        <f t="shared" si="2"/>
        <v>4.5463739185103158E-4</v>
      </c>
      <c r="H42" s="14">
        <v>1.2207165986000001</v>
      </c>
      <c r="I42" s="14">
        <v>-2.6505110045999976</v>
      </c>
      <c r="J42" s="37">
        <f t="shared" si="3"/>
        <v>-1.4297944059999974</v>
      </c>
    </row>
    <row r="43" spans="2:10" x14ac:dyDescent="0.25">
      <c r="B43" s="8">
        <v>0.46703296703296704</v>
      </c>
      <c r="C43" s="33">
        <f t="shared" si="4"/>
        <v>2.747252747252743E-2</v>
      </c>
      <c r="D43" s="9">
        <f t="shared" si="0"/>
        <v>0.99534055936090104</v>
      </c>
      <c r="E43" s="22">
        <f t="shared" si="5"/>
        <v>2.7348277321059822E-4</v>
      </c>
      <c r="F43" s="9">
        <f t="shared" si="1"/>
        <v>9.0201806401946083E-4</v>
      </c>
      <c r="G43" s="9">
        <f t="shared" si="2"/>
        <v>4.5442927219707663E-4</v>
      </c>
      <c r="H43" s="14">
        <v>1.2033569070000001</v>
      </c>
      <c r="I43" s="14">
        <v>-2.7517224930999951</v>
      </c>
      <c r="J43" s="37">
        <f t="shared" si="3"/>
        <v>-1.548365586099995</v>
      </c>
    </row>
    <row r="44" spans="2:10" x14ac:dyDescent="0.25">
      <c r="B44" s="8">
        <v>0.49450549450549447</v>
      </c>
      <c r="C44" s="33">
        <f t="shared" si="4"/>
        <v>2.747252747252743E-2</v>
      </c>
      <c r="D44" s="9">
        <f t="shared" si="0"/>
        <v>0.99506715171000104</v>
      </c>
      <c r="E44" s="22">
        <f t="shared" si="5"/>
        <v>2.7340765090000385E-4</v>
      </c>
      <c r="F44" s="9">
        <f t="shared" si="1"/>
        <v>9.011924182519282E-4</v>
      </c>
      <c r="G44" s="9">
        <f t="shared" si="2"/>
        <v>4.5422124781435702E-4</v>
      </c>
      <c r="H44" s="14">
        <v>1.1887990904000001</v>
      </c>
      <c r="I44" s="14">
        <v>-2.8383995620999976</v>
      </c>
      <c r="J44" s="37">
        <f t="shared" si="3"/>
        <v>-1.6496004716999975</v>
      </c>
    </row>
    <row r="45" spans="2:10" x14ac:dyDescent="0.25">
      <c r="B45" s="8">
        <v>0.52197802197802201</v>
      </c>
      <c r="C45" s="33">
        <f t="shared" si="4"/>
        <v>2.7472527472527541E-2</v>
      </c>
      <c r="D45" s="9">
        <f t="shared" si="0"/>
        <v>0.99479381916077636</v>
      </c>
      <c r="E45" s="22">
        <f t="shared" si="5"/>
        <v>2.7333254922468075E-4</v>
      </c>
      <c r="F45" s="9">
        <f t="shared" si="1"/>
        <v>9.0036752822419963E-4</v>
      </c>
      <c r="G45" s="9">
        <f t="shared" si="2"/>
        <v>4.5401331865890793E-4</v>
      </c>
      <c r="H45" s="14">
        <v>1.4658325974999986</v>
      </c>
      <c r="I45" s="14">
        <v>-2.4599535659000025</v>
      </c>
      <c r="J45" s="37">
        <f t="shared" si="3"/>
        <v>-0.99412096840000386</v>
      </c>
    </row>
    <row r="46" spans="2:10" x14ac:dyDescent="0.25">
      <c r="B46" s="8">
        <v>0.5494505494505495</v>
      </c>
      <c r="C46" s="33">
        <f t="shared" si="4"/>
        <v>2.7472527472527486E-2</v>
      </c>
      <c r="D46" s="9">
        <f t="shared" si="0"/>
        <v>0.99452056169259762</v>
      </c>
      <c r="E46" s="22">
        <f t="shared" si="5"/>
        <v>2.7325746817874474E-4</v>
      </c>
      <c r="F46" s="9">
        <f t="shared" si="1"/>
        <v>8.9954339324449517E-4</v>
      </c>
      <c r="G46" s="9">
        <f t="shared" si="2"/>
        <v>4.5380548468743065E-4</v>
      </c>
      <c r="H46" s="14">
        <v>1.4970367115999992</v>
      </c>
      <c r="I46" s="14">
        <v>-2.5280820708999987</v>
      </c>
      <c r="J46" s="37">
        <f t="shared" si="3"/>
        <v>-1.0310453592999995</v>
      </c>
    </row>
    <row r="47" spans="2:10" x14ac:dyDescent="0.25">
      <c r="B47" s="8">
        <v>0.57692307692307698</v>
      </c>
      <c r="C47" s="33">
        <f t="shared" si="4"/>
        <v>2.7472527472527486E-2</v>
      </c>
      <c r="D47" s="9">
        <f t="shared" si="0"/>
        <v>0.99424737928484086</v>
      </c>
      <c r="E47" s="22">
        <f t="shared" si="5"/>
        <v>2.7318240775675573E-4</v>
      </c>
      <c r="F47" s="9">
        <f t="shared" si="1"/>
        <v>8.9872001262170098E-4</v>
      </c>
      <c r="G47" s="9">
        <f t="shared" si="2"/>
        <v>4.535977458561824E-4</v>
      </c>
      <c r="H47" s="14">
        <v>1.5014805073999984</v>
      </c>
      <c r="I47" s="14">
        <v>-2.6312951597000009</v>
      </c>
      <c r="J47" s="37">
        <f t="shared" si="3"/>
        <v>-1.1298146523000026</v>
      </c>
    </row>
    <row r="48" spans="2:10" x14ac:dyDescent="0.25">
      <c r="B48" s="8">
        <v>0.60439560439560436</v>
      </c>
      <c r="C48" s="33">
        <f t="shared" si="4"/>
        <v>2.7472527472527375E-2</v>
      </c>
      <c r="D48" s="9">
        <f t="shared" si="0"/>
        <v>0.99397427191688803</v>
      </c>
      <c r="E48" s="22">
        <f t="shared" si="5"/>
        <v>2.7310736795282953E-4</v>
      </c>
      <c r="F48" s="9">
        <f t="shared" si="1"/>
        <v>8.9789738566525834E-4</v>
      </c>
      <c r="G48" s="9">
        <f t="shared" si="2"/>
        <v>4.5339010212175346E-4</v>
      </c>
      <c r="H48" s="14">
        <v>1.5051986816999992</v>
      </c>
      <c r="I48" s="14">
        <v>-2.6889146078999979</v>
      </c>
      <c r="J48" s="37">
        <f t="shared" si="3"/>
        <v>-1.1837159261999988</v>
      </c>
    </row>
    <row r="49" spans="2:10" x14ac:dyDescent="0.25">
      <c r="B49" s="8">
        <v>0.63186813186813184</v>
      </c>
      <c r="C49" s="33">
        <f t="shared" si="4"/>
        <v>2.7472527472527486E-2</v>
      </c>
      <c r="D49" s="9">
        <f t="shared" si="0"/>
        <v>0.9937012395681265</v>
      </c>
      <c r="E49" s="22">
        <f t="shared" si="5"/>
        <v>2.7303234876152604E-4</v>
      </c>
      <c r="F49" s="9">
        <f t="shared" si="1"/>
        <v>8.9707551168549671E-4</v>
      </c>
      <c r="G49" s="9">
        <f t="shared" si="2"/>
        <v>4.5318255344051206E-4</v>
      </c>
      <c r="H49" s="14">
        <v>1.5143409693999994</v>
      </c>
      <c r="I49" s="14">
        <v>-2.8392617414000005</v>
      </c>
      <c r="J49" s="37">
        <f t="shared" si="3"/>
        <v>-1.3249207720000011</v>
      </c>
    </row>
    <row r="50" spans="2:10" x14ac:dyDescent="0.25">
      <c r="B50" s="8">
        <v>0.65934065934065933</v>
      </c>
      <c r="C50" s="33">
        <f t="shared" si="4"/>
        <v>2.7472527472527486E-2</v>
      </c>
      <c r="D50" s="9">
        <f t="shared" si="0"/>
        <v>0.99342828221794954</v>
      </c>
      <c r="E50" s="22">
        <f t="shared" si="5"/>
        <v>2.729573501769611E-4</v>
      </c>
      <c r="F50" s="9">
        <f t="shared" si="1"/>
        <v>8.962543899930786E-4</v>
      </c>
      <c r="G50" s="9">
        <f t="shared" si="2"/>
        <v>4.5297509976904848E-4</v>
      </c>
      <c r="H50" s="14">
        <v>1.4983935199000005</v>
      </c>
      <c r="I50" s="14">
        <v>-2.913155736599998</v>
      </c>
      <c r="J50" s="37">
        <f t="shared" si="3"/>
        <v>-1.4147622166999976</v>
      </c>
    </row>
    <row r="51" spans="2:10" x14ac:dyDescent="0.25">
      <c r="B51" s="8">
        <v>0.68681318681318682</v>
      </c>
      <c r="C51" s="33">
        <f t="shared" si="4"/>
        <v>2.7472527472527486E-2</v>
      </c>
      <c r="D51" s="9">
        <f t="shared" si="0"/>
        <v>0.99315539984575607</v>
      </c>
      <c r="E51" s="22">
        <f t="shared" si="5"/>
        <v>2.7288237219347256E-4</v>
      </c>
      <c r="F51" s="9">
        <f t="shared" si="1"/>
        <v>8.9543401989922167E-4</v>
      </c>
      <c r="G51" s="9">
        <f t="shared" si="2"/>
        <v>4.5276774106350892E-4</v>
      </c>
      <c r="H51" s="14">
        <v>1.4828375195999994</v>
      </c>
      <c r="I51" s="14">
        <v>-3.0166221387999985</v>
      </c>
      <c r="J51" s="37">
        <f t="shared" si="3"/>
        <v>-1.5337846191999991</v>
      </c>
    </row>
    <row r="52" spans="2:10" x14ac:dyDescent="0.25">
      <c r="B52" s="8">
        <v>0.71428571428571419</v>
      </c>
      <c r="C52" s="33">
        <f t="shared" si="4"/>
        <v>2.7472527472527375E-2</v>
      </c>
      <c r="D52" s="9">
        <f t="shared" si="0"/>
        <v>0.99288259243095034</v>
      </c>
      <c r="E52" s="22">
        <f t="shared" si="5"/>
        <v>2.7280741480573134E-4</v>
      </c>
      <c r="F52" s="9">
        <f t="shared" si="1"/>
        <v>8.9461440071636478E-4</v>
      </c>
      <c r="G52" s="9">
        <f t="shared" si="2"/>
        <v>4.5256047728103876E-4</v>
      </c>
      <c r="H52" s="14">
        <v>1.469846541500001</v>
      </c>
      <c r="I52" s="14">
        <v>-3.1224069646000001</v>
      </c>
      <c r="J52" s="37">
        <f t="shared" si="3"/>
        <v>-1.6525604230999991</v>
      </c>
    </row>
    <row r="53" spans="2:10" x14ac:dyDescent="0.25">
      <c r="B53" s="8">
        <v>0.74175824175824179</v>
      </c>
      <c r="C53" s="33">
        <f t="shared" si="4"/>
        <v>2.7472527472527597E-2</v>
      </c>
      <c r="D53" s="9">
        <f t="shared" si="0"/>
        <v>0.9926098599529426</v>
      </c>
      <c r="E53" s="22">
        <f t="shared" si="5"/>
        <v>2.7273247800774225E-4</v>
      </c>
      <c r="F53" s="9">
        <f t="shared" si="1"/>
        <v>8.9379553175694681E-4</v>
      </c>
      <c r="G53" s="9">
        <f t="shared" si="2"/>
        <v>4.5235330837756216E-4</v>
      </c>
      <c r="H53" s="14">
        <v>1.4356855617999997</v>
      </c>
      <c r="I53" s="14">
        <v>-3.2240093474999969</v>
      </c>
      <c r="J53" s="37">
        <f t="shared" si="3"/>
        <v>-1.7883237856999972</v>
      </c>
    </row>
    <row r="54" spans="2:10" x14ac:dyDescent="0.25">
      <c r="B54" s="8">
        <v>0.76923076923076927</v>
      </c>
      <c r="C54" s="33">
        <f t="shared" si="4"/>
        <v>2.7472527472527486E-2</v>
      </c>
      <c r="D54" s="9">
        <f t="shared" si="0"/>
        <v>0.99233720239114864</v>
      </c>
      <c r="E54" s="22">
        <f t="shared" si="5"/>
        <v>2.7265756179395417E-4</v>
      </c>
      <c r="F54" s="9">
        <f t="shared" si="1"/>
        <v>8.9297741233418382E-4</v>
      </c>
      <c r="G54" s="9">
        <f t="shared" si="2"/>
        <v>4.5214623431011347E-4</v>
      </c>
      <c r="H54" s="14">
        <v>1.5227880427999989</v>
      </c>
      <c r="I54" s="14">
        <v>-3.2420047360000024</v>
      </c>
      <c r="J54" s="37">
        <f t="shared" si="3"/>
        <v>-1.7192166932000035</v>
      </c>
    </row>
    <row r="55" spans="2:10" x14ac:dyDescent="0.25">
      <c r="B55" s="8">
        <v>0.79670329670329665</v>
      </c>
      <c r="C55" s="33">
        <f t="shared" si="4"/>
        <v>2.7472527472527375E-2</v>
      </c>
      <c r="D55" s="9">
        <f t="shared" si="0"/>
        <v>0.99206461972499005</v>
      </c>
      <c r="E55" s="22">
        <f t="shared" si="5"/>
        <v>2.7258266615859394E-4</v>
      </c>
      <c r="F55" s="9">
        <f t="shared" si="1"/>
        <v>8.9216004176206898E-4</v>
      </c>
      <c r="G55" s="9">
        <f t="shared" si="2"/>
        <v>4.5193925503506094E-4</v>
      </c>
      <c r="H55" s="14">
        <v>1.520594315900001</v>
      </c>
      <c r="I55" s="14">
        <v>-3.3188298318999996</v>
      </c>
      <c r="J55" s="37">
        <f t="shared" si="3"/>
        <v>-1.7982355159999985</v>
      </c>
    </row>
    <row r="56" spans="2:10" x14ac:dyDescent="0.25">
      <c r="B56" s="8">
        <v>0.82417582417582413</v>
      </c>
      <c r="C56" s="33">
        <f t="shared" si="4"/>
        <v>2.7472527472527486E-2</v>
      </c>
      <c r="D56" s="9">
        <f t="shared" si="0"/>
        <v>0.99179211193389372</v>
      </c>
      <c r="E56" s="22">
        <f t="shared" si="5"/>
        <v>2.725077910963325E-4</v>
      </c>
      <c r="F56" s="9">
        <f t="shared" si="1"/>
        <v>8.9134341935537265E-4</v>
      </c>
      <c r="G56" s="9">
        <f t="shared" si="2"/>
        <v>4.5173237050888382E-4</v>
      </c>
      <c r="H56" s="14">
        <v>1.5169017673000003</v>
      </c>
      <c r="I56" s="14">
        <v>-3.4516562492</v>
      </c>
      <c r="J56" s="37">
        <f t="shared" si="3"/>
        <v>-1.9347544818999998</v>
      </c>
    </row>
    <row r="57" spans="2:10" x14ac:dyDescent="0.25">
      <c r="B57" s="8">
        <v>0.85164835164835173</v>
      </c>
      <c r="C57" s="33">
        <f t="shared" si="4"/>
        <v>2.7472527472527597E-2</v>
      </c>
      <c r="D57" s="9">
        <f t="shared" ref="D57:D88" si="6">EXP(-B57*FundingSpread/10000)</f>
        <v>0.99151967899729243</v>
      </c>
      <c r="E57" s="22">
        <f t="shared" si="5"/>
        <v>2.7243293660128565E-4</v>
      </c>
      <c r="F57" s="9">
        <f t="shared" si="1"/>
        <v>8.9052754442886517E-4</v>
      </c>
      <c r="G57" s="9">
        <f t="shared" si="2"/>
        <v>4.5152558068861648E-4</v>
      </c>
      <c r="H57" s="14">
        <v>1.5324732697999994</v>
      </c>
      <c r="I57" s="14">
        <v>-3.5350054278999985</v>
      </c>
      <c r="J57" s="37">
        <f t="shared" si="3"/>
        <v>-2.0025321580999993</v>
      </c>
    </row>
    <row r="58" spans="2:10" x14ac:dyDescent="0.25">
      <c r="B58" s="8">
        <v>0.87912087912087922</v>
      </c>
      <c r="C58" s="33">
        <f t="shared" si="4"/>
        <v>2.7472527472527486E-2</v>
      </c>
      <c r="D58" s="9">
        <f t="shared" si="6"/>
        <v>0.99124732089462464</v>
      </c>
      <c r="E58" s="22">
        <f t="shared" si="5"/>
        <v>2.7235810266779126E-4</v>
      </c>
      <c r="F58" s="9">
        <f t="shared" ref="F58:F89" si="7">EXP(-B57*CntrptySpread/10000/CntrptyLGD)-EXP(-B58*CntrptySpread/10000/CntrptyLGD)</f>
        <v>8.8971241629876019E-4</v>
      </c>
      <c r="G58" s="9">
        <f t="shared" ref="G58:G89" si="8">EXP(-B57*PartySpread/10000/PartyLGD)-EXP(-B58*PartySpread/10000/PartyLGD)</f>
        <v>4.5131888553051613E-4</v>
      </c>
      <c r="H58" s="14">
        <v>1.5205195511999996</v>
      </c>
      <c r="I58" s="14">
        <v>-3.632192509899999</v>
      </c>
      <c r="J58" s="37">
        <f t="shared" si="3"/>
        <v>-2.1116729586999994</v>
      </c>
    </row>
    <row r="59" spans="2:10" x14ac:dyDescent="0.25">
      <c r="B59" s="8">
        <v>0.90659340659340659</v>
      </c>
      <c r="C59" s="33">
        <f t="shared" si="4"/>
        <v>2.7472527472527375E-2</v>
      </c>
      <c r="D59" s="9">
        <f t="shared" si="6"/>
        <v>0.99097503760533445</v>
      </c>
      <c r="E59" s="22">
        <f t="shared" si="5"/>
        <v>2.7228328929018719E-4</v>
      </c>
      <c r="F59" s="9">
        <f t="shared" si="7"/>
        <v>8.8889803428116032E-4</v>
      </c>
      <c r="G59" s="9">
        <f t="shared" si="8"/>
        <v>4.5111228499150613E-4</v>
      </c>
      <c r="H59" s="14">
        <v>1.4634262144999999</v>
      </c>
      <c r="I59" s="14">
        <v>-3.7115153663999978</v>
      </c>
      <c r="J59" s="37">
        <f t="shared" si="3"/>
        <v>-2.2480891518999977</v>
      </c>
    </row>
    <row r="60" spans="2:10" x14ac:dyDescent="0.25">
      <c r="B60" s="8">
        <v>0.93406593406593408</v>
      </c>
      <c r="C60" s="33">
        <f t="shared" si="4"/>
        <v>2.7472527472527486E-2</v>
      </c>
      <c r="D60" s="9">
        <f t="shared" si="6"/>
        <v>0.99070282910887142</v>
      </c>
      <c r="E60" s="22">
        <f t="shared" si="5"/>
        <v>2.7220849646303336E-4</v>
      </c>
      <c r="F60" s="9">
        <f t="shared" si="7"/>
        <v>8.8808439769338943E-4</v>
      </c>
      <c r="G60" s="9">
        <f t="shared" si="8"/>
        <v>4.509057790279547E-4</v>
      </c>
      <c r="H60" s="14">
        <v>1.4410538919</v>
      </c>
      <c r="I60" s="14">
        <v>-3.7630909352999957</v>
      </c>
      <c r="J60" s="37">
        <f t="shared" si="3"/>
        <v>-2.3220370433999955</v>
      </c>
    </row>
    <row r="61" spans="2:10" x14ac:dyDescent="0.25">
      <c r="B61" s="8">
        <v>0.96153846153846156</v>
      </c>
      <c r="C61" s="33">
        <f t="shared" si="4"/>
        <v>2.7472527472527486E-2</v>
      </c>
      <c r="D61" s="9">
        <f t="shared" si="6"/>
        <v>0.99043069538469108</v>
      </c>
      <c r="E61" s="22">
        <f t="shared" si="5"/>
        <v>2.7213372418033455E-4</v>
      </c>
      <c r="F61" s="9">
        <f t="shared" si="7"/>
        <v>8.8727150585299341E-4</v>
      </c>
      <c r="G61" s="9">
        <f t="shared" si="8"/>
        <v>4.5069936759700724E-4</v>
      </c>
      <c r="H61" s="14">
        <v>1.4213473048000003</v>
      </c>
      <c r="I61" s="14">
        <v>-3.820953034800004</v>
      </c>
      <c r="J61" s="37">
        <f t="shared" si="3"/>
        <v>-2.3996057300000038</v>
      </c>
    </row>
    <row r="62" spans="2:10" x14ac:dyDescent="0.25">
      <c r="B62" s="8">
        <v>0.98901098901098894</v>
      </c>
      <c r="C62" s="33">
        <f t="shared" si="4"/>
        <v>2.7472527472527375E-2</v>
      </c>
      <c r="D62" s="9">
        <f t="shared" si="6"/>
        <v>0.99015863641225421</v>
      </c>
      <c r="E62" s="22">
        <f t="shared" si="5"/>
        <v>2.7205897243687271E-4</v>
      </c>
      <c r="F62" s="9">
        <f t="shared" si="7"/>
        <v>8.8645935807818432E-4</v>
      </c>
      <c r="G62" s="9">
        <f t="shared" si="8"/>
        <v>4.5049305065492096E-4</v>
      </c>
      <c r="H62" s="14">
        <v>1.3977292369999996</v>
      </c>
      <c r="I62" s="14">
        <v>-3.8968825964000025</v>
      </c>
      <c r="J62" s="37">
        <f t="shared" si="3"/>
        <v>-2.4991533594000028</v>
      </c>
    </row>
    <row r="63" spans="2:10" x14ac:dyDescent="0.25">
      <c r="B63" s="8">
        <v>1.0164835164835164</v>
      </c>
      <c r="C63" s="33">
        <f t="shared" si="4"/>
        <v>2.7472527472527486E-2</v>
      </c>
      <c r="D63" s="9">
        <f t="shared" si="6"/>
        <v>0.98988665217102767</v>
      </c>
      <c r="E63" s="22">
        <f t="shared" si="5"/>
        <v>2.7198424122654163E-4</v>
      </c>
      <c r="F63" s="9">
        <f t="shared" si="7"/>
        <v>8.8564795368817339E-4</v>
      </c>
      <c r="G63" s="9">
        <f t="shared" si="8"/>
        <v>4.5028682815884125E-4</v>
      </c>
      <c r="H63" s="14">
        <v>1.6143084569000008</v>
      </c>
      <c r="I63" s="14">
        <v>-3.469767350399998</v>
      </c>
      <c r="J63" s="37">
        <f t="shared" si="3"/>
        <v>-1.8554588934999972</v>
      </c>
    </row>
    <row r="64" spans="2:10" x14ac:dyDescent="0.25">
      <c r="B64" s="8">
        <v>1.043956043956044</v>
      </c>
      <c r="C64" s="33">
        <f t="shared" si="4"/>
        <v>2.7472527472527597E-2</v>
      </c>
      <c r="D64" s="9">
        <f t="shared" si="6"/>
        <v>0.98961474264048344</v>
      </c>
      <c r="E64" s="22">
        <f t="shared" si="5"/>
        <v>2.7190953054423428E-4</v>
      </c>
      <c r="F64" s="9">
        <f t="shared" si="7"/>
        <v>8.8483729200228289E-4</v>
      </c>
      <c r="G64" s="9">
        <f t="shared" si="8"/>
        <v>4.5008070006535839E-4</v>
      </c>
      <c r="H64" s="14">
        <v>1.6006554837999996</v>
      </c>
      <c r="I64" s="14">
        <v>-3.5000308522000005</v>
      </c>
      <c r="J64" s="37">
        <f t="shared" si="3"/>
        <v>-1.899375368400001</v>
      </c>
    </row>
    <row r="65" spans="2:10" x14ac:dyDescent="0.25">
      <c r="B65" s="8">
        <v>1.0714285714285714</v>
      </c>
      <c r="C65" s="33">
        <f t="shared" si="4"/>
        <v>2.7472527472527375E-2</v>
      </c>
      <c r="D65" s="9">
        <f t="shared" si="6"/>
        <v>0.9893429078000997</v>
      </c>
      <c r="E65" s="22">
        <f t="shared" si="5"/>
        <v>2.718348403837334E-4</v>
      </c>
      <c r="F65" s="9">
        <f t="shared" si="7"/>
        <v>8.8402737234083428E-4</v>
      </c>
      <c r="G65" s="9">
        <f t="shared" si="8"/>
        <v>4.4987466633117368E-4</v>
      </c>
      <c r="H65" s="14">
        <v>1.6201356608999993</v>
      </c>
      <c r="I65" s="14">
        <v>-3.5341811347000029</v>
      </c>
      <c r="J65" s="37">
        <f t="shared" si="3"/>
        <v>-1.9140454738000037</v>
      </c>
    </row>
    <row r="66" spans="2:10" x14ac:dyDescent="0.25">
      <c r="B66" s="8">
        <v>1.098901098901099</v>
      </c>
      <c r="C66" s="33">
        <f t="shared" si="4"/>
        <v>2.7472527472527597E-2</v>
      </c>
      <c r="D66" s="9">
        <f t="shared" si="6"/>
        <v>0.98907114762935977</v>
      </c>
      <c r="E66" s="22">
        <f t="shared" si="5"/>
        <v>2.7176017073993197E-4</v>
      </c>
      <c r="F66" s="9">
        <f t="shared" si="7"/>
        <v>8.832181940244821E-4</v>
      </c>
      <c r="G66" s="9">
        <f t="shared" si="8"/>
        <v>4.4966872691332149E-4</v>
      </c>
      <c r="H66" s="14">
        <v>1.6388060903999992</v>
      </c>
      <c r="I66" s="14">
        <v>-3.6012204455999979</v>
      </c>
      <c r="J66" s="37">
        <f t="shared" si="3"/>
        <v>-1.9624143551999986</v>
      </c>
    </row>
    <row r="67" spans="2:10" x14ac:dyDescent="0.25">
      <c r="B67" s="8">
        <v>1.1263736263736264</v>
      </c>
      <c r="C67" s="33">
        <f t="shared" si="4"/>
        <v>2.7472527472527375E-2</v>
      </c>
      <c r="D67" s="9">
        <f t="shared" si="6"/>
        <v>0.98879946210775305</v>
      </c>
      <c r="E67" s="22">
        <f t="shared" si="5"/>
        <v>2.7168552160672377E-4</v>
      </c>
      <c r="F67" s="9">
        <f t="shared" si="7"/>
        <v>8.8240975637465802E-4</v>
      </c>
      <c r="G67" s="9">
        <f t="shared" si="8"/>
        <v>4.4946288176839211E-4</v>
      </c>
      <c r="H67" s="14">
        <v>1.6369879047000002</v>
      </c>
      <c r="I67" s="14">
        <v>-3.6675242419000016</v>
      </c>
      <c r="J67" s="37">
        <f t="shared" si="3"/>
        <v>-2.0305363372000014</v>
      </c>
    </row>
    <row r="68" spans="2:10" x14ac:dyDescent="0.25">
      <c r="B68" s="8">
        <v>1.153846153846154</v>
      </c>
      <c r="C68" s="33">
        <f t="shared" si="4"/>
        <v>2.7472527472527597E-2</v>
      </c>
      <c r="D68" s="9">
        <f t="shared" si="6"/>
        <v>0.98852785121477416</v>
      </c>
      <c r="E68" s="22">
        <f t="shared" si="5"/>
        <v>2.7161089297889074E-4</v>
      </c>
      <c r="F68" s="9">
        <f t="shared" si="7"/>
        <v>8.8160205871368191E-4</v>
      </c>
      <c r="G68" s="9">
        <f t="shared" si="8"/>
        <v>4.4925713085330887E-4</v>
      </c>
      <c r="H68" s="14">
        <v>1.5922439704000004</v>
      </c>
      <c r="I68" s="14">
        <v>-3.709908149899996</v>
      </c>
      <c r="J68" s="37">
        <f t="shared" si="3"/>
        <v>-2.1176641794999957</v>
      </c>
    </row>
    <row r="69" spans="2:10" x14ac:dyDescent="0.25">
      <c r="B69" s="8">
        <v>1.1813186813186813</v>
      </c>
      <c r="C69" s="33">
        <f t="shared" si="4"/>
        <v>2.7472527472527375E-2</v>
      </c>
      <c r="D69" s="9">
        <f t="shared" si="6"/>
        <v>0.98825631492992372</v>
      </c>
      <c r="E69" s="22">
        <f t="shared" si="5"/>
        <v>2.7153628485043768E-4</v>
      </c>
      <c r="F69" s="9">
        <f t="shared" si="7"/>
        <v>8.8079510036387365E-4</v>
      </c>
      <c r="G69" s="9">
        <f t="shared" si="8"/>
        <v>4.4905147412499513E-4</v>
      </c>
      <c r="H69" s="14">
        <v>1.621290055899999</v>
      </c>
      <c r="I69" s="14">
        <v>-3.7537310468999965</v>
      </c>
      <c r="J69" s="37">
        <f t="shared" si="3"/>
        <v>-2.1324409909999975</v>
      </c>
    </row>
    <row r="70" spans="2:10" x14ac:dyDescent="0.25">
      <c r="B70" s="8">
        <v>1.2087912087912087</v>
      </c>
      <c r="C70" s="33">
        <f t="shared" si="4"/>
        <v>2.7472527472527375E-2</v>
      </c>
      <c r="D70" s="9">
        <f t="shared" si="6"/>
        <v>0.98798485323270757</v>
      </c>
      <c r="E70" s="22">
        <f t="shared" si="5"/>
        <v>2.7146169721614655E-4</v>
      </c>
      <c r="F70" s="9">
        <f t="shared" si="7"/>
        <v>8.7998888064866332E-4</v>
      </c>
      <c r="G70" s="9">
        <f t="shared" si="8"/>
        <v>4.4884591154026321E-4</v>
      </c>
      <c r="H70" s="14">
        <v>1.6080319333000008</v>
      </c>
      <c r="I70" s="14">
        <v>-3.8357800478000033</v>
      </c>
      <c r="J70" s="37">
        <f t="shared" si="3"/>
        <v>-2.2277481145000024</v>
      </c>
    </row>
    <row r="71" spans="2:10" x14ac:dyDescent="0.25">
      <c r="B71" s="8">
        <v>1.2362637362637363</v>
      </c>
      <c r="C71" s="33">
        <f t="shared" si="4"/>
        <v>2.7472527472527597E-2</v>
      </c>
      <c r="D71" s="9">
        <f t="shared" si="6"/>
        <v>0.98771346610263766</v>
      </c>
      <c r="E71" s="22">
        <f t="shared" si="5"/>
        <v>2.7138713006991111E-4</v>
      </c>
      <c r="F71" s="9">
        <f t="shared" si="7"/>
        <v>8.7918339889192509E-4</v>
      </c>
      <c r="G71" s="9">
        <f t="shared" si="8"/>
        <v>4.4864044305614748E-4</v>
      </c>
      <c r="H71" s="14">
        <v>1.6254360733000002</v>
      </c>
      <c r="I71" s="14">
        <v>-3.9218492510999989</v>
      </c>
      <c r="J71" s="37">
        <f t="shared" si="3"/>
        <v>-2.296413177799999</v>
      </c>
    </row>
    <row r="72" spans="2:10" x14ac:dyDescent="0.25">
      <c r="B72" s="8">
        <v>1.2637362637362637</v>
      </c>
      <c r="C72" s="33">
        <f t="shared" si="4"/>
        <v>2.7472527472527375E-2</v>
      </c>
      <c r="D72" s="9">
        <f t="shared" si="6"/>
        <v>0.98744215351923115</v>
      </c>
      <c r="E72" s="22">
        <f t="shared" si="5"/>
        <v>2.7131258340651332E-4</v>
      </c>
      <c r="F72" s="9">
        <f t="shared" si="7"/>
        <v>8.7837865441831031E-4</v>
      </c>
      <c r="G72" s="9">
        <f t="shared" si="8"/>
        <v>4.4843506862934923E-4</v>
      </c>
      <c r="H72" s="14">
        <v>1.6714450742999998</v>
      </c>
      <c r="I72" s="14">
        <v>-3.9231995885999957</v>
      </c>
      <c r="J72" s="37">
        <f t="shared" si="3"/>
        <v>-2.251754514299996</v>
      </c>
    </row>
    <row r="73" spans="2:10" x14ac:dyDescent="0.25">
      <c r="B73" s="8">
        <v>1.2912087912087913</v>
      </c>
      <c r="C73" s="33">
        <f t="shared" si="4"/>
        <v>2.7472527472527597E-2</v>
      </c>
      <c r="D73" s="9">
        <f t="shared" si="6"/>
        <v>0.98717091546201108</v>
      </c>
      <c r="E73" s="22">
        <f t="shared" si="5"/>
        <v>2.71238057220069E-4</v>
      </c>
      <c r="F73" s="9">
        <f t="shared" si="7"/>
        <v>8.7757464655291439E-4</v>
      </c>
      <c r="G73" s="9">
        <f t="shared" si="8"/>
        <v>4.4822978821701387E-4</v>
      </c>
      <c r="H73" s="14">
        <v>1.6682020612999993</v>
      </c>
      <c r="I73" s="14">
        <v>-3.9902803311999993</v>
      </c>
      <c r="J73" s="37">
        <f t="shared" si="3"/>
        <v>-2.3220782699</v>
      </c>
    </row>
    <row r="74" spans="2:10" x14ac:dyDescent="0.25">
      <c r="B74" s="8">
        <v>1.3186813186813187</v>
      </c>
      <c r="C74" s="33">
        <f t="shared" si="4"/>
        <v>2.7472527472527375E-2</v>
      </c>
      <c r="D74" s="9">
        <f t="shared" si="6"/>
        <v>0.98689975191050616</v>
      </c>
      <c r="E74" s="22">
        <f t="shared" si="5"/>
        <v>2.71163551504916E-4</v>
      </c>
      <c r="F74" s="9">
        <f t="shared" si="7"/>
        <v>8.7677137462116583E-4</v>
      </c>
      <c r="G74" s="9">
        <f t="shared" si="8"/>
        <v>4.4802460177606473E-4</v>
      </c>
      <c r="H74" s="14">
        <v>1.6209206122000002</v>
      </c>
      <c r="I74" s="14">
        <v>-4.041096356299998</v>
      </c>
      <c r="J74" s="37">
        <f t="shared" si="3"/>
        <v>-2.420175744099998</v>
      </c>
    </row>
    <row r="75" spans="2:10" x14ac:dyDescent="0.25">
      <c r="B75" s="8">
        <v>1.346153846153846</v>
      </c>
      <c r="C75" s="33">
        <f t="shared" si="4"/>
        <v>2.7472527472527375E-2</v>
      </c>
      <c r="D75" s="9">
        <f t="shared" si="6"/>
        <v>0.98662866284425033</v>
      </c>
      <c r="E75" s="22">
        <f t="shared" si="5"/>
        <v>2.7108906625583629E-4</v>
      </c>
      <c r="F75" s="9">
        <f t="shared" si="7"/>
        <v>8.7596883794993641E-4</v>
      </c>
      <c r="G75" s="9">
        <f t="shared" si="8"/>
        <v>4.4781950926331415E-4</v>
      </c>
      <c r="H75" s="14">
        <v>1.6061513168000003</v>
      </c>
      <c r="I75" s="14">
        <v>-4.0930152316000008</v>
      </c>
      <c r="J75" s="37">
        <f t="shared" si="3"/>
        <v>-2.4868639148000007</v>
      </c>
    </row>
    <row r="76" spans="2:10" x14ac:dyDescent="0.25">
      <c r="B76" s="8">
        <v>1.3736263736263736</v>
      </c>
      <c r="C76" s="33">
        <f t="shared" si="4"/>
        <v>2.7472527472527597E-2</v>
      </c>
      <c r="D76" s="9">
        <f t="shared" si="6"/>
        <v>0.9863576482427836</v>
      </c>
      <c r="E76" s="22">
        <f t="shared" si="5"/>
        <v>2.7101460146672363E-4</v>
      </c>
      <c r="F76" s="9">
        <f t="shared" si="7"/>
        <v>8.7516703586598688E-4</v>
      </c>
      <c r="G76" s="9">
        <f t="shared" si="8"/>
        <v>4.4761451063590751E-4</v>
      </c>
      <c r="H76" s="14">
        <v>1.6156816034000008</v>
      </c>
      <c r="I76" s="14">
        <v>-4.1531968345000054</v>
      </c>
      <c r="J76" s="37">
        <f t="shared" si="3"/>
        <v>-2.5375152311000049</v>
      </c>
    </row>
    <row r="77" spans="2:10" x14ac:dyDescent="0.25">
      <c r="B77" s="8">
        <v>1.401098901098901</v>
      </c>
      <c r="C77" s="33">
        <f t="shared" si="4"/>
        <v>2.7472527472527375E-2</v>
      </c>
      <c r="D77" s="9">
        <f t="shared" si="6"/>
        <v>0.98608670808565135</v>
      </c>
      <c r="E77" s="22">
        <f t="shared" si="5"/>
        <v>2.7094015713224895E-4</v>
      </c>
      <c r="F77" s="9">
        <f t="shared" si="7"/>
        <v>8.7436596769685515E-4</v>
      </c>
      <c r="G77" s="9">
        <f t="shared" si="8"/>
        <v>4.4740960585099021E-4</v>
      </c>
      <c r="H77" s="14">
        <v>1.630026490400001</v>
      </c>
      <c r="I77" s="14">
        <v>-4.2054699088999969</v>
      </c>
      <c r="J77" s="37">
        <f t="shared" si="3"/>
        <v>-2.5754434184999959</v>
      </c>
    </row>
    <row r="78" spans="2:10" x14ac:dyDescent="0.25">
      <c r="B78" s="8">
        <v>1.4285714285714284</v>
      </c>
      <c r="C78" s="33">
        <f t="shared" si="4"/>
        <v>2.7472527472527375E-2</v>
      </c>
      <c r="D78" s="9">
        <f t="shared" si="6"/>
        <v>0.9858158423524046</v>
      </c>
      <c r="E78" s="22">
        <f t="shared" si="5"/>
        <v>2.7086573324675012E-4</v>
      </c>
      <c r="F78" s="9">
        <f t="shared" si="7"/>
        <v>8.735656327708563E-4</v>
      </c>
      <c r="G78" s="9">
        <f t="shared" si="8"/>
        <v>4.4720479486537457E-4</v>
      </c>
      <c r="H78" s="14">
        <v>1.6364606885000004</v>
      </c>
      <c r="I78" s="14">
        <v>-4.2462420624999977</v>
      </c>
      <c r="J78" s="37">
        <f t="shared" si="3"/>
        <v>-2.6097813739999971</v>
      </c>
    </row>
    <row r="79" spans="2:10" x14ac:dyDescent="0.25">
      <c r="B79" s="8">
        <v>1.4560439560439562</v>
      </c>
      <c r="C79" s="33">
        <f t="shared" si="4"/>
        <v>2.7472527472527819E-2</v>
      </c>
      <c r="D79" s="9">
        <f t="shared" si="6"/>
        <v>0.98554505102260026</v>
      </c>
      <c r="E79" s="22">
        <f t="shared" si="5"/>
        <v>2.7079132980434295E-4</v>
      </c>
      <c r="F79" s="9">
        <f t="shared" si="7"/>
        <v>8.7276603041697154E-4</v>
      </c>
      <c r="G79" s="9">
        <f t="shared" si="8"/>
        <v>4.4700007763631699E-4</v>
      </c>
      <c r="H79" s="14">
        <v>1.649052127399999</v>
      </c>
      <c r="I79" s="14">
        <v>-4.2974662828000048</v>
      </c>
      <c r="J79" s="37">
        <f t="shared" si="3"/>
        <v>-2.6484141554000056</v>
      </c>
    </row>
    <row r="80" spans="2:10" x14ac:dyDescent="0.25">
      <c r="B80" s="8">
        <v>1.4835164835164836</v>
      </c>
      <c r="C80" s="33">
        <f t="shared" si="4"/>
        <v>2.7472527472527375E-2</v>
      </c>
      <c r="D80" s="9">
        <f t="shared" si="6"/>
        <v>0.98527433407580034</v>
      </c>
      <c r="E80" s="22">
        <f t="shared" si="5"/>
        <v>2.7071694679992042E-4</v>
      </c>
      <c r="F80" s="9">
        <f t="shared" si="7"/>
        <v>8.7196715996429308E-4</v>
      </c>
      <c r="G80" s="9">
        <f t="shared" si="8"/>
        <v>4.4679545412062982E-4</v>
      </c>
      <c r="H80" s="14">
        <v>1.6612232685000006</v>
      </c>
      <c r="I80" s="14">
        <v>-4.3460336320999984</v>
      </c>
      <c r="J80" s="37">
        <f t="shared" si="3"/>
        <v>-2.6848103635999978</v>
      </c>
    </row>
    <row r="81" spans="2:10" x14ac:dyDescent="0.25">
      <c r="B81" s="8">
        <v>1.5109890109890109</v>
      </c>
      <c r="C81" s="33">
        <f t="shared" si="4"/>
        <v>2.7472527472527375E-2</v>
      </c>
      <c r="D81" s="9">
        <f t="shared" si="6"/>
        <v>0.98500369149157296</v>
      </c>
      <c r="E81" s="22">
        <f t="shared" si="5"/>
        <v>2.706425842273763E-4</v>
      </c>
      <c r="F81" s="9">
        <f t="shared" si="7"/>
        <v>8.711690207431344E-4</v>
      </c>
      <c r="G81" s="9">
        <f t="shared" si="8"/>
        <v>4.4659092427568048E-4</v>
      </c>
      <c r="H81" s="14">
        <v>1.8360324210999999</v>
      </c>
      <c r="I81" s="14">
        <v>-3.8911985730999983</v>
      </c>
      <c r="J81" s="37">
        <f t="shared" si="3"/>
        <v>-2.0551661519999982</v>
      </c>
    </row>
    <row r="82" spans="2:10" x14ac:dyDescent="0.25">
      <c r="B82" s="8">
        <v>1.5384615384615385</v>
      </c>
      <c r="C82" s="33">
        <f t="shared" si="4"/>
        <v>2.7472527472527597E-2</v>
      </c>
      <c r="D82" s="9">
        <f t="shared" si="6"/>
        <v>0.98473312324949158</v>
      </c>
      <c r="E82" s="22">
        <f t="shared" si="5"/>
        <v>2.7056824208138153E-4</v>
      </c>
      <c r="F82" s="9">
        <f t="shared" si="7"/>
        <v>8.7037161208436409E-4</v>
      </c>
      <c r="G82" s="9">
        <f t="shared" si="8"/>
        <v>4.4638648805850334E-4</v>
      </c>
      <c r="H82" s="14">
        <v>1.8815330112000006</v>
      </c>
      <c r="I82" s="14">
        <v>-3.9633051958999972</v>
      </c>
      <c r="J82" s="37">
        <f t="shared" si="3"/>
        <v>-2.0817721846999966</v>
      </c>
    </row>
    <row r="83" spans="2:10" x14ac:dyDescent="0.25">
      <c r="B83" s="8">
        <v>1.5659340659340659</v>
      </c>
      <c r="C83" s="33">
        <f t="shared" si="4"/>
        <v>2.7472527472527375E-2</v>
      </c>
      <c r="D83" s="9">
        <f t="shared" si="6"/>
        <v>0.98446262932913542</v>
      </c>
      <c r="E83" s="22">
        <f t="shared" si="5"/>
        <v>2.7049392035616293E-4</v>
      </c>
      <c r="F83" s="9">
        <f t="shared" si="7"/>
        <v>8.695749333187397E-4</v>
      </c>
      <c r="G83" s="9">
        <f t="shared" si="8"/>
        <v>4.4618214542613277E-4</v>
      </c>
      <c r="H83" s="14">
        <v>1.8962676789999999</v>
      </c>
      <c r="I83" s="14">
        <v>-4.0286413744999967</v>
      </c>
      <c r="J83" s="37">
        <f t="shared" si="3"/>
        <v>-2.1323736954999966</v>
      </c>
    </row>
    <row r="84" spans="2:10" x14ac:dyDescent="0.25">
      <c r="B84" s="8">
        <v>1.5934065934065933</v>
      </c>
      <c r="C84" s="33">
        <f t="shared" si="4"/>
        <v>2.7472527472527375E-2</v>
      </c>
      <c r="D84" s="9">
        <f t="shared" si="6"/>
        <v>0.98419220971008903</v>
      </c>
      <c r="E84" s="22">
        <f t="shared" si="5"/>
        <v>2.7041961904639145E-4</v>
      </c>
      <c r="F84" s="9">
        <f t="shared" si="7"/>
        <v>8.6877898377868412E-4</v>
      </c>
      <c r="G84" s="9">
        <f t="shared" si="8"/>
        <v>4.4597789633593621E-4</v>
      </c>
      <c r="H84" s="14">
        <v>1.8972449101999993</v>
      </c>
      <c r="I84" s="14">
        <v>-4.1131263878000013</v>
      </c>
      <c r="J84" s="37">
        <f t="shared" si="3"/>
        <v>-2.2158814776000018</v>
      </c>
    </row>
    <row r="85" spans="2:10" x14ac:dyDescent="0.25">
      <c r="B85" s="8">
        <v>1.6208791208791209</v>
      </c>
      <c r="C85" s="33">
        <f t="shared" si="4"/>
        <v>2.7472527472527597E-2</v>
      </c>
      <c r="D85" s="9">
        <f t="shared" si="6"/>
        <v>0.98392186437194296</v>
      </c>
      <c r="E85" s="22">
        <f t="shared" si="5"/>
        <v>2.7034533814607187E-4</v>
      </c>
      <c r="F85" s="9">
        <f t="shared" si="7"/>
        <v>8.6798376279639822E-4</v>
      </c>
      <c r="G85" s="9">
        <f t="shared" si="8"/>
        <v>4.4577374074494802E-4</v>
      </c>
      <c r="H85" s="14">
        <v>1.8896248174999999</v>
      </c>
      <c r="I85" s="14">
        <v>-4.1740665856999986</v>
      </c>
      <c r="J85" s="37">
        <f t="shared" si="3"/>
        <v>-2.2844417681999989</v>
      </c>
    </row>
    <row r="86" spans="2:10" x14ac:dyDescent="0.25">
      <c r="B86" s="8">
        <v>1.6483516483516483</v>
      </c>
      <c r="C86" s="33">
        <f t="shared" si="4"/>
        <v>2.7472527472527375E-2</v>
      </c>
      <c r="D86" s="9">
        <f t="shared" si="6"/>
        <v>0.98365159329429308</v>
      </c>
      <c r="E86" s="22">
        <f t="shared" si="5"/>
        <v>2.7027107764987512E-4</v>
      </c>
      <c r="F86" s="9">
        <f t="shared" si="7"/>
        <v>8.6718926970519306E-4</v>
      </c>
      <c r="G86" s="9">
        <f t="shared" si="8"/>
        <v>4.4556967861042462E-4</v>
      </c>
      <c r="H86" s="14">
        <v>1.9386492323000004</v>
      </c>
      <c r="I86" s="14">
        <v>-4.2318468302000003</v>
      </c>
      <c r="J86" s="37">
        <f t="shared" si="3"/>
        <v>-2.2931975978999999</v>
      </c>
    </row>
    <row r="87" spans="2:10" x14ac:dyDescent="0.25">
      <c r="B87" s="8">
        <v>1.6758241758241756</v>
      </c>
      <c r="C87" s="33">
        <f t="shared" si="4"/>
        <v>2.7472527472527375E-2</v>
      </c>
      <c r="D87" s="9">
        <f t="shared" si="6"/>
        <v>0.98338139645674094</v>
      </c>
      <c r="E87" s="22">
        <f t="shared" si="5"/>
        <v>2.7019683755213908E-4</v>
      </c>
      <c r="F87" s="9">
        <f t="shared" si="7"/>
        <v>8.6639550383871278E-4</v>
      </c>
      <c r="G87" s="9">
        <f t="shared" si="8"/>
        <v>4.4536570988940039E-4</v>
      </c>
      <c r="H87" s="14">
        <v>1.9081900907999996</v>
      </c>
      <c r="I87" s="14">
        <v>-4.2528399935000021</v>
      </c>
      <c r="J87" s="37">
        <f t="shared" si="3"/>
        <v>-2.3446499027000023</v>
      </c>
    </row>
    <row r="88" spans="2:10" x14ac:dyDescent="0.25">
      <c r="B88" s="8">
        <v>1.7032967032967035</v>
      </c>
      <c r="C88" s="33">
        <f t="shared" si="4"/>
        <v>2.7472527472527819E-2</v>
      </c>
      <c r="D88" s="9">
        <f t="shared" si="6"/>
        <v>0.98311127383889374</v>
      </c>
      <c r="E88" s="22">
        <f t="shared" si="5"/>
        <v>2.701226178472016E-4</v>
      </c>
      <c r="F88" s="9">
        <f t="shared" si="7"/>
        <v>8.6560246453126766E-4</v>
      </c>
      <c r="G88" s="9">
        <f t="shared" si="8"/>
        <v>4.4516183453946478E-4</v>
      </c>
      <c r="H88" s="14">
        <v>1.8901030322999997</v>
      </c>
      <c r="I88" s="14">
        <v>-4.2771354215999953</v>
      </c>
      <c r="J88" s="37">
        <f t="shared" si="3"/>
        <v>-2.3870323892999954</v>
      </c>
    </row>
    <row r="89" spans="2:10" x14ac:dyDescent="0.25">
      <c r="B89" s="8">
        <v>1.7307692307692308</v>
      </c>
      <c r="C89" s="33">
        <f t="shared" si="4"/>
        <v>2.7472527472527375E-2</v>
      </c>
      <c r="D89" s="9">
        <f t="shared" ref="D89:D120" si="9">EXP(-B89*FundingSpread/10000)</f>
        <v>0.98284122542036434</v>
      </c>
      <c r="E89" s="22">
        <f t="shared" si="5"/>
        <v>2.7004841852940054E-4</v>
      </c>
      <c r="F89" s="9">
        <f t="shared" si="7"/>
        <v>8.6481015111805615E-4</v>
      </c>
      <c r="G89" s="9">
        <f t="shared" si="8"/>
        <v>4.4495805251754117E-4</v>
      </c>
      <c r="H89" s="14">
        <v>1.9143847339000002</v>
      </c>
      <c r="I89" s="14">
        <v>-4.2747444782000006</v>
      </c>
      <c r="J89" s="37">
        <f t="shared" si="3"/>
        <v>-2.3603597443000002</v>
      </c>
    </row>
    <row r="90" spans="2:10" x14ac:dyDescent="0.25">
      <c r="B90" s="8">
        <v>1.7582417582417584</v>
      </c>
      <c r="C90" s="33">
        <f t="shared" si="4"/>
        <v>2.7472527472527597E-2</v>
      </c>
      <c r="D90" s="9">
        <f t="shared" si="9"/>
        <v>0.98257125118077093</v>
      </c>
      <c r="E90" s="22">
        <f t="shared" si="5"/>
        <v>2.6997423959340683E-4</v>
      </c>
      <c r="F90" s="9">
        <f t="shared" ref="F90:F121" si="10">EXP(-B89*CntrptySpread/10000/CntrptyLGD)-EXP(-B90*CntrptySpread/10000/CntrptyLGD)</f>
        <v>8.640185629342767E-4</v>
      </c>
      <c r="G90" s="9">
        <f t="shared" ref="G90:G121" si="11">EXP(-B89*PartySpread/10000/PartyLGD)-EXP(-B90*PartySpread/10000/PartyLGD)</f>
        <v>4.4475436378121902E-4</v>
      </c>
      <c r="H90" s="14">
        <v>1.9256632095999997</v>
      </c>
      <c r="I90" s="14">
        <v>-4.2416270815000017</v>
      </c>
      <c r="J90" s="37">
        <f t="shared" ref="J90:J153" si="12">H90+I90</f>
        <v>-2.315963871900002</v>
      </c>
    </row>
    <row r="91" spans="2:10" x14ac:dyDescent="0.25">
      <c r="B91" s="8">
        <v>1.7857142857142858</v>
      </c>
      <c r="C91" s="33">
        <f t="shared" ref="C91:C154" si="13">B91-B90</f>
        <v>2.7472527472527375E-2</v>
      </c>
      <c r="D91" s="9">
        <f t="shared" si="9"/>
        <v>0.98230135109973771</v>
      </c>
      <c r="E91" s="22">
        <f t="shared" ref="E91:E154" si="14">D90-D91</f>
        <v>2.6990008103322527E-4</v>
      </c>
      <c r="F91" s="9">
        <f t="shared" si="10"/>
        <v>8.6322769931634902E-4</v>
      </c>
      <c r="G91" s="9">
        <f t="shared" si="11"/>
        <v>4.4455076828742168E-4</v>
      </c>
      <c r="H91" s="14">
        <v>1.9096013177999995</v>
      </c>
      <c r="I91" s="14">
        <v>-4.2925714308000043</v>
      </c>
      <c r="J91" s="37">
        <f t="shared" si="12"/>
        <v>-2.3829701130000047</v>
      </c>
    </row>
    <row r="92" spans="2:10" x14ac:dyDescent="0.25">
      <c r="B92" s="8">
        <v>1.8131868131868132</v>
      </c>
      <c r="C92" s="33">
        <f t="shared" si="13"/>
        <v>2.7472527472527375E-2</v>
      </c>
      <c r="D92" s="9">
        <f t="shared" si="9"/>
        <v>0.98203152515689396</v>
      </c>
      <c r="E92" s="22">
        <f t="shared" si="14"/>
        <v>2.6982594284374883E-4</v>
      </c>
      <c r="F92" s="9">
        <f t="shared" si="10"/>
        <v>8.6243755960102586E-4</v>
      </c>
      <c r="G92" s="9">
        <f t="shared" si="11"/>
        <v>4.4434726599373864E-4</v>
      </c>
      <c r="H92" s="14">
        <v>1.8971753347999987</v>
      </c>
      <c r="I92" s="14">
        <v>-4.3234362806000011</v>
      </c>
      <c r="J92" s="37">
        <f t="shared" si="12"/>
        <v>-2.4262609458000024</v>
      </c>
    </row>
    <row r="93" spans="2:10" x14ac:dyDescent="0.25">
      <c r="B93" s="8">
        <v>1.8406593406593408</v>
      </c>
      <c r="C93" s="33">
        <f t="shared" si="13"/>
        <v>2.7472527472527597E-2</v>
      </c>
      <c r="D93" s="9">
        <f t="shared" si="9"/>
        <v>0.98176177333187509</v>
      </c>
      <c r="E93" s="22">
        <f t="shared" si="14"/>
        <v>2.6975182501887129E-4</v>
      </c>
      <c r="F93" s="9">
        <f t="shared" si="10"/>
        <v>8.6164814312561511E-4</v>
      </c>
      <c r="G93" s="9">
        <f t="shared" si="11"/>
        <v>4.4414385685753732E-4</v>
      </c>
      <c r="H93" s="14">
        <v>1.9208302577999987</v>
      </c>
      <c r="I93" s="14">
        <v>-4.3674893538999973</v>
      </c>
      <c r="J93" s="37">
        <f t="shared" si="12"/>
        <v>-2.4466590960999985</v>
      </c>
    </row>
    <row r="94" spans="2:10" x14ac:dyDescent="0.25">
      <c r="B94" s="8">
        <v>1.8681318681318682</v>
      </c>
      <c r="C94" s="33">
        <f t="shared" si="13"/>
        <v>2.7472527472527375E-2</v>
      </c>
      <c r="D94" s="9">
        <f t="shared" si="9"/>
        <v>0.98149209560432171</v>
      </c>
      <c r="E94" s="22">
        <f t="shared" si="14"/>
        <v>2.696777275533746E-4</v>
      </c>
      <c r="F94" s="9">
        <f t="shared" si="10"/>
        <v>8.6085944922820179E-4</v>
      </c>
      <c r="G94" s="9">
        <f t="shared" si="11"/>
        <v>4.439405408358521E-4</v>
      </c>
      <c r="H94" s="14">
        <v>1.8787926490999987</v>
      </c>
      <c r="I94" s="14">
        <v>-4.4178957899999984</v>
      </c>
      <c r="J94" s="37">
        <f t="shared" si="12"/>
        <v>-2.5391031409</v>
      </c>
    </row>
    <row r="95" spans="2:10" x14ac:dyDescent="0.25">
      <c r="B95" s="8">
        <v>1.8956043956043955</v>
      </c>
      <c r="C95" s="33">
        <f t="shared" si="13"/>
        <v>2.7472527472527375E-2</v>
      </c>
      <c r="D95" s="9">
        <f t="shared" si="9"/>
        <v>0.98122249195388034</v>
      </c>
      <c r="E95" s="22">
        <f t="shared" si="14"/>
        <v>2.6960365044137458E-4</v>
      </c>
      <c r="F95" s="9">
        <f t="shared" si="10"/>
        <v>8.6007147724731503E-4</v>
      </c>
      <c r="G95" s="9">
        <f t="shared" si="11"/>
        <v>4.4373731788649451E-4</v>
      </c>
      <c r="H95" s="14">
        <v>1.8916046285999994</v>
      </c>
      <c r="I95" s="14">
        <v>-4.4516651280999975</v>
      </c>
      <c r="J95" s="37">
        <f t="shared" si="12"/>
        <v>-2.5600604994999978</v>
      </c>
    </row>
    <row r="96" spans="2:10" x14ac:dyDescent="0.25">
      <c r="B96" s="8">
        <v>1.9230769230769231</v>
      </c>
      <c r="C96" s="33">
        <f t="shared" si="13"/>
        <v>2.7472527472527597E-2</v>
      </c>
      <c r="D96" s="9">
        <f t="shared" si="9"/>
        <v>0.98095296236020268</v>
      </c>
      <c r="E96" s="22">
        <f t="shared" si="14"/>
        <v>2.6952959367765317E-4</v>
      </c>
      <c r="F96" s="9">
        <f t="shared" si="10"/>
        <v>8.5928422652226111E-4</v>
      </c>
      <c r="G96" s="9">
        <f t="shared" si="11"/>
        <v>4.4353418796649891E-4</v>
      </c>
      <c r="H96" s="14">
        <v>1.8695571538999993</v>
      </c>
      <c r="I96" s="14">
        <v>-4.4557413469000027</v>
      </c>
      <c r="J96" s="37">
        <f t="shared" si="12"/>
        <v>-2.5861841930000034</v>
      </c>
    </row>
    <row r="97" spans="2:10" x14ac:dyDescent="0.25">
      <c r="B97" s="8">
        <v>1.9505494505494505</v>
      </c>
      <c r="C97" s="33">
        <f t="shared" si="13"/>
        <v>2.7472527472527375E-2</v>
      </c>
      <c r="D97" s="9">
        <f t="shared" si="9"/>
        <v>0.98068350680294647</v>
      </c>
      <c r="E97" s="22">
        <f t="shared" si="14"/>
        <v>2.6945555725621517E-4</v>
      </c>
      <c r="F97" s="9">
        <f t="shared" si="10"/>
        <v>8.5849769639267937E-4</v>
      </c>
      <c r="G97" s="9">
        <f t="shared" si="11"/>
        <v>4.4333115103345477E-4</v>
      </c>
      <c r="H97" s="14">
        <v>1.8743583942999986</v>
      </c>
      <c r="I97" s="14">
        <v>-4.507116520900003</v>
      </c>
      <c r="J97" s="37">
        <f t="shared" si="12"/>
        <v>-2.6327581266000042</v>
      </c>
    </row>
    <row r="98" spans="2:10" x14ac:dyDescent="0.25">
      <c r="B98" s="8">
        <v>1.9780219780219779</v>
      </c>
      <c r="C98" s="33">
        <f t="shared" si="13"/>
        <v>2.7472527472527375E-2</v>
      </c>
      <c r="D98" s="9">
        <f t="shared" si="9"/>
        <v>0.98041412526177474</v>
      </c>
      <c r="E98" s="22">
        <f t="shared" si="14"/>
        <v>2.6938154117173152E-4</v>
      </c>
      <c r="F98" s="9">
        <f t="shared" si="10"/>
        <v>8.5771188619920835E-4</v>
      </c>
      <c r="G98" s="9">
        <f t="shared" si="11"/>
        <v>4.4312820704472955E-4</v>
      </c>
      <c r="H98" s="14">
        <v>1.8624764527999986</v>
      </c>
      <c r="I98" s="14">
        <v>-4.524649365200001</v>
      </c>
      <c r="J98" s="37">
        <f t="shared" si="12"/>
        <v>-2.6621729124000026</v>
      </c>
    </row>
    <row r="99" spans="2:10" x14ac:dyDescent="0.25">
      <c r="B99" s="8">
        <v>2.0054945054945055</v>
      </c>
      <c r="C99" s="33">
        <f t="shared" si="13"/>
        <v>2.7472527472527597E-2</v>
      </c>
      <c r="D99" s="9">
        <f t="shared" si="9"/>
        <v>0.98014481771635609</v>
      </c>
      <c r="E99" s="22">
        <f t="shared" si="14"/>
        <v>2.693075454186511E-4</v>
      </c>
      <c r="F99" s="9">
        <f t="shared" si="10"/>
        <v>8.5692679528259763E-4</v>
      </c>
      <c r="G99" s="9">
        <f t="shared" si="11"/>
        <v>4.4292535595791271E-4</v>
      </c>
      <c r="H99" s="14">
        <v>1.903547585399999</v>
      </c>
      <c r="I99" s="14">
        <v>-4.3589549856000005</v>
      </c>
      <c r="J99" s="37">
        <f t="shared" si="12"/>
        <v>-2.4554074002000013</v>
      </c>
    </row>
    <row r="100" spans="2:10" x14ac:dyDescent="0.25">
      <c r="B100" s="8">
        <v>2.0329670329670328</v>
      </c>
      <c r="C100" s="33">
        <f t="shared" si="13"/>
        <v>2.7472527472527375E-2</v>
      </c>
      <c r="D100" s="9">
        <f t="shared" si="9"/>
        <v>0.979875584146365</v>
      </c>
      <c r="E100" s="22">
        <f t="shared" si="14"/>
        <v>2.6923356999108972E-4</v>
      </c>
      <c r="F100" s="9">
        <f t="shared" si="10"/>
        <v>8.5614242298481802E-4</v>
      </c>
      <c r="G100" s="9">
        <f t="shared" si="11"/>
        <v>4.4272259773026068E-4</v>
      </c>
      <c r="H100" s="14">
        <v>2.0047590381000004</v>
      </c>
      <c r="I100" s="14">
        <v>-4.1033888518000046</v>
      </c>
      <c r="J100" s="37">
        <f t="shared" si="12"/>
        <v>-2.0986298137000041</v>
      </c>
    </row>
    <row r="101" spans="2:10" x14ac:dyDescent="0.25">
      <c r="B101" s="8">
        <v>2.0604395604395602</v>
      </c>
      <c r="C101" s="33">
        <f t="shared" si="13"/>
        <v>2.7472527472527375E-2</v>
      </c>
      <c r="D101" s="9">
        <f t="shared" si="9"/>
        <v>0.97960642453148128</v>
      </c>
      <c r="E101" s="22">
        <f t="shared" si="14"/>
        <v>2.6915961488371831E-4</v>
      </c>
      <c r="F101" s="9">
        <f t="shared" si="10"/>
        <v>8.5535876864784033E-4</v>
      </c>
      <c r="G101" s="9">
        <f t="shared" si="11"/>
        <v>4.4251993231947395E-4</v>
      </c>
      <c r="H101" s="14">
        <v>2.0058945236000003</v>
      </c>
      <c r="I101" s="14">
        <v>-4.1529575355000024</v>
      </c>
      <c r="J101" s="37">
        <f t="shared" si="12"/>
        <v>-2.147063011900002</v>
      </c>
    </row>
    <row r="102" spans="2:10" x14ac:dyDescent="0.25">
      <c r="B102" s="8">
        <v>2.087912087912088</v>
      </c>
      <c r="C102" s="33">
        <f t="shared" si="13"/>
        <v>2.7472527472527819E-2</v>
      </c>
      <c r="D102" s="9">
        <f t="shared" si="9"/>
        <v>0.97933733885139029</v>
      </c>
      <c r="E102" s="22">
        <f t="shared" si="14"/>
        <v>2.6908568009098577E-4</v>
      </c>
      <c r="F102" s="9">
        <f t="shared" si="10"/>
        <v>8.5457583161452355E-4</v>
      </c>
      <c r="G102" s="9">
        <f t="shared" si="11"/>
        <v>4.4231735968280894E-4</v>
      </c>
      <c r="H102" s="14">
        <v>2.0270063843999995</v>
      </c>
      <c r="I102" s="14">
        <v>-4.1866385149999994</v>
      </c>
      <c r="J102" s="37">
        <f t="shared" si="12"/>
        <v>-2.1596321305999999</v>
      </c>
    </row>
    <row r="103" spans="2:10" x14ac:dyDescent="0.25">
      <c r="B103" s="8">
        <v>2.1153846153846154</v>
      </c>
      <c r="C103" s="33">
        <f t="shared" si="13"/>
        <v>2.7472527472527375E-2</v>
      </c>
      <c r="D103" s="9">
        <f t="shared" si="9"/>
        <v>0.97906832708578317</v>
      </c>
      <c r="E103" s="22">
        <f t="shared" si="14"/>
        <v>2.6901176560711892E-4</v>
      </c>
      <c r="F103" s="9">
        <f t="shared" si="10"/>
        <v>8.5379361122828179E-4</v>
      </c>
      <c r="G103" s="9">
        <f t="shared" si="11"/>
        <v>4.421148797781882E-4</v>
      </c>
      <c r="H103" s="14">
        <v>2.0057837912999994</v>
      </c>
      <c r="I103" s="14">
        <v>-4.2077775060999967</v>
      </c>
      <c r="J103" s="37">
        <f t="shared" si="12"/>
        <v>-2.2019937147999973</v>
      </c>
    </row>
    <row r="104" spans="2:10" x14ac:dyDescent="0.25">
      <c r="B104" s="8">
        <v>2.1428571428571428</v>
      </c>
      <c r="C104" s="33">
        <f t="shared" si="13"/>
        <v>2.7472527472527375E-2</v>
      </c>
      <c r="D104" s="9">
        <f t="shared" si="9"/>
        <v>0.97879938921435661</v>
      </c>
      <c r="E104" s="22">
        <f t="shared" si="14"/>
        <v>2.6893787142656667E-4</v>
      </c>
      <c r="F104" s="9">
        <f t="shared" si="10"/>
        <v>8.5301210683319528E-4</v>
      </c>
      <c r="G104" s="9">
        <f t="shared" si="11"/>
        <v>4.4191249256264609E-4</v>
      </c>
      <c r="H104" s="14">
        <v>2.0587177651000008</v>
      </c>
      <c r="I104" s="14">
        <v>-4.1865394607000015</v>
      </c>
      <c r="J104" s="37">
        <f t="shared" si="12"/>
        <v>-2.1278216956000007</v>
      </c>
    </row>
    <row r="105" spans="2:10" x14ac:dyDescent="0.25">
      <c r="B105" s="8">
        <v>2.1703296703296706</v>
      </c>
      <c r="C105" s="33">
        <f t="shared" si="13"/>
        <v>2.7472527472527819E-2</v>
      </c>
      <c r="D105" s="9">
        <f t="shared" si="9"/>
        <v>0.9785305252168125</v>
      </c>
      <c r="E105" s="22">
        <f t="shared" si="14"/>
        <v>2.6886399754411094E-4</v>
      </c>
      <c r="F105" s="9">
        <f t="shared" si="10"/>
        <v>8.5223131777389938E-4</v>
      </c>
      <c r="G105" s="9">
        <f t="shared" si="11"/>
        <v>4.4171019799421618E-4</v>
      </c>
      <c r="H105" s="14">
        <v>2.0548083590000008</v>
      </c>
      <c r="I105" s="14">
        <v>-4.1776063297000006</v>
      </c>
      <c r="J105" s="37">
        <f t="shared" si="12"/>
        <v>-2.1227979706999998</v>
      </c>
    </row>
    <row r="106" spans="2:10" x14ac:dyDescent="0.25">
      <c r="B106" s="8">
        <v>2.197802197802198</v>
      </c>
      <c r="C106" s="33">
        <f t="shared" si="13"/>
        <v>2.7472527472527375E-2</v>
      </c>
      <c r="D106" s="9">
        <f t="shared" si="9"/>
        <v>0.97826173507285885</v>
      </c>
      <c r="E106" s="22">
        <f t="shared" si="14"/>
        <v>2.6879014395364553E-4</v>
      </c>
      <c r="F106" s="9">
        <f t="shared" si="10"/>
        <v>8.5145124339569556E-4</v>
      </c>
      <c r="G106" s="9">
        <f t="shared" si="11"/>
        <v>4.4150799603026591E-4</v>
      </c>
      <c r="H106" s="14">
        <v>2.0658057263000003</v>
      </c>
      <c r="I106" s="14">
        <v>-4.1838751285999978</v>
      </c>
      <c r="J106" s="37">
        <f t="shared" si="12"/>
        <v>-2.1180694022999975</v>
      </c>
    </row>
    <row r="107" spans="2:10" x14ac:dyDescent="0.25">
      <c r="B107" s="8">
        <v>2.2252747252747254</v>
      </c>
      <c r="C107" s="33">
        <f t="shared" si="13"/>
        <v>2.7472527472527375E-2</v>
      </c>
      <c r="D107" s="9">
        <f t="shared" si="9"/>
        <v>0.97799301876220901</v>
      </c>
      <c r="E107" s="22">
        <f t="shared" si="14"/>
        <v>2.6871631064984136E-4</v>
      </c>
      <c r="F107" s="9">
        <f t="shared" si="10"/>
        <v>8.5067188304432939E-4</v>
      </c>
      <c r="G107" s="9">
        <f t="shared" si="11"/>
        <v>4.4130588662838477E-4</v>
      </c>
      <c r="H107" s="14">
        <v>2.0597181280000001</v>
      </c>
      <c r="I107" s="14">
        <v>-4.1964229181999979</v>
      </c>
      <c r="J107" s="37">
        <f t="shared" si="12"/>
        <v>-2.1367047901999978</v>
      </c>
    </row>
    <row r="108" spans="2:10" x14ac:dyDescent="0.25">
      <c r="B108" s="8">
        <v>2.2527472527472527</v>
      </c>
      <c r="C108" s="33">
        <f t="shared" si="13"/>
        <v>2.7472527472527375E-2</v>
      </c>
      <c r="D108" s="9">
        <f t="shared" si="9"/>
        <v>0.97772437626458175</v>
      </c>
      <c r="E108" s="22">
        <f t="shared" si="14"/>
        <v>2.6864249762725834E-4</v>
      </c>
      <c r="F108" s="9">
        <f t="shared" si="10"/>
        <v>8.4989323606621259E-4</v>
      </c>
      <c r="G108" s="9">
        <f t="shared" si="11"/>
        <v>4.4110386974627325E-4</v>
      </c>
      <c r="H108" s="14">
        <v>2.0810834219000007</v>
      </c>
      <c r="I108" s="14">
        <v>-4.2129530057000046</v>
      </c>
      <c r="J108" s="37">
        <f t="shared" si="12"/>
        <v>-2.1318695838000039</v>
      </c>
    </row>
    <row r="109" spans="2:10" x14ac:dyDescent="0.25">
      <c r="B109" s="8">
        <v>2.2802197802197801</v>
      </c>
      <c r="C109" s="33">
        <f t="shared" si="13"/>
        <v>2.7472527472527375E-2</v>
      </c>
      <c r="D109" s="9">
        <f t="shared" si="9"/>
        <v>0.97745580755970163</v>
      </c>
      <c r="E109" s="22">
        <f t="shared" si="14"/>
        <v>2.685687048801233E-4</v>
      </c>
      <c r="F109" s="9">
        <f t="shared" si="10"/>
        <v>8.4911530180820094E-4</v>
      </c>
      <c r="G109" s="9">
        <f t="shared" si="11"/>
        <v>4.4090194534163185E-4</v>
      </c>
      <c r="H109" s="14">
        <v>2.0830870183999997</v>
      </c>
      <c r="I109" s="14">
        <v>-4.1527147520000049</v>
      </c>
      <c r="J109" s="37">
        <f t="shared" si="12"/>
        <v>-2.0696277336000053</v>
      </c>
    </row>
    <row r="110" spans="2:10" x14ac:dyDescent="0.25">
      <c r="B110" s="8">
        <v>2.3076923076923079</v>
      </c>
      <c r="C110" s="33">
        <f t="shared" si="13"/>
        <v>2.7472527472527819E-2</v>
      </c>
      <c r="D110" s="9">
        <f t="shared" si="9"/>
        <v>0.97718731262729874</v>
      </c>
      <c r="E110" s="22">
        <f t="shared" si="14"/>
        <v>2.6849493240288513E-4</v>
      </c>
      <c r="F110" s="9">
        <f t="shared" si="10"/>
        <v>8.4833807961848251E-4</v>
      </c>
      <c r="G110" s="9">
        <f t="shared" si="11"/>
        <v>4.4070011337205006E-4</v>
      </c>
      <c r="H110" s="14">
        <v>2.0776300811000006</v>
      </c>
      <c r="I110" s="14">
        <v>-4.1723016293999988</v>
      </c>
      <c r="J110" s="37">
        <f t="shared" si="12"/>
        <v>-2.0946715482999982</v>
      </c>
    </row>
    <row r="111" spans="2:10" x14ac:dyDescent="0.25">
      <c r="B111" s="8">
        <v>2.3351648351648353</v>
      </c>
      <c r="C111" s="33">
        <f t="shared" si="13"/>
        <v>2.7472527472527375E-2</v>
      </c>
      <c r="D111" s="9">
        <f t="shared" si="9"/>
        <v>0.97691889144710864</v>
      </c>
      <c r="E111" s="22">
        <f t="shared" si="14"/>
        <v>2.6842118019010375E-4</v>
      </c>
      <c r="F111" s="9">
        <f t="shared" si="10"/>
        <v>8.475615688444682E-4</v>
      </c>
      <c r="G111" s="9">
        <f t="shared" si="11"/>
        <v>4.4049837379511736E-4</v>
      </c>
      <c r="H111" s="14">
        <v>2.0212066056000002</v>
      </c>
      <c r="I111" s="14">
        <v>-4.1914352064999987</v>
      </c>
      <c r="J111" s="37">
        <f t="shared" si="12"/>
        <v>-2.1702286008999985</v>
      </c>
    </row>
    <row r="112" spans="2:10" x14ac:dyDescent="0.25">
      <c r="B112" s="8">
        <v>2.3626373626373627</v>
      </c>
      <c r="C112" s="33">
        <f t="shared" si="13"/>
        <v>2.7472527472527375E-2</v>
      </c>
      <c r="D112" s="9">
        <f t="shared" si="9"/>
        <v>0.97665054399887252</v>
      </c>
      <c r="E112" s="22">
        <f t="shared" si="14"/>
        <v>2.68347448236117E-4</v>
      </c>
      <c r="F112" s="9">
        <f t="shared" si="10"/>
        <v>8.4678576883578938E-4</v>
      </c>
      <c r="G112" s="9">
        <f t="shared" si="11"/>
        <v>4.4029672656875629E-4</v>
      </c>
      <c r="H112" s="14">
        <v>2.0072577437999999</v>
      </c>
      <c r="I112" s="14">
        <v>-4.2062738627999989</v>
      </c>
      <c r="J112" s="37">
        <f t="shared" si="12"/>
        <v>-2.199016118999999</v>
      </c>
    </row>
    <row r="113" spans="2:10" x14ac:dyDescent="0.25">
      <c r="B113" s="8">
        <v>2.3901098901098901</v>
      </c>
      <c r="C113" s="33">
        <f t="shared" si="13"/>
        <v>2.7472527472527375E-2</v>
      </c>
      <c r="D113" s="9">
        <f t="shared" si="9"/>
        <v>0.97638227026233715</v>
      </c>
      <c r="E113" s="22">
        <f t="shared" si="14"/>
        <v>2.6827373653537379E-4</v>
      </c>
      <c r="F113" s="9">
        <f t="shared" si="10"/>
        <v>8.4601067894130022E-4</v>
      </c>
      <c r="G113" s="9">
        <f t="shared" si="11"/>
        <v>4.4009517165044532E-4</v>
      </c>
      <c r="H113" s="14">
        <v>1.9647558318</v>
      </c>
      <c r="I113" s="14">
        <v>-4.2212167827999965</v>
      </c>
      <c r="J113" s="37">
        <f t="shared" si="12"/>
        <v>-2.2564609509999967</v>
      </c>
    </row>
    <row r="114" spans="2:10" x14ac:dyDescent="0.25">
      <c r="B114" s="8">
        <v>2.4175824175824174</v>
      </c>
      <c r="C114" s="33">
        <f t="shared" si="13"/>
        <v>2.7472527472527375E-2</v>
      </c>
      <c r="D114" s="9">
        <f t="shared" si="9"/>
        <v>0.97611407021725471</v>
      </c>
      <c r="E114" s="22">
        <f t="shared" si="14"/>
        <v>2.68200045082434E-4</v>
      </c>
      <c r="F114" s="9">
        <f t="shared" si="10"/>
        <v>8.4523629851129822E-4</v>
      </c>
      <c r="G114" s="9">
        <f t="shared" si="11"/>
        <v>4.39893708998218E-4</v>
      </c>
      <c r="H114" s="14">
        <v>1.9363182926999998</v>
      </c>
      <c r="I114" s="14">
        <v>-4.2454549224000022</v>
      </c>
      <c r="J114" s="37">
        <f t="shared" si="12"/>
        <v>-2.3091366297000024</v>
      </c>
    </row>
    <row r="115" spans="2:10" x14ac:dyDescent="0.25">
      <c r="B115" s="8">
        <v>2.4450549450549448</v>
      </c>
      <c r="C115" s="33">
        <f t="shared" si="13"/>
        <v>2.7472527472527375E-2</v>
      </c>
      <c r="D115" s="9">
        <f t="shared" si="9"/>
        <v>0.97584594384338341</v>
      </c>
      <c r="E115" s="22">
        <f t="shared" si="14"/>
        <v>2.6812637387130245E-4</v>
      </c>
      <c r="F115" s="9">
        <f t="shared" si="10"/>
        <v>8.4446262689619189E-4</v>
      </c>
      <c r="G115" s="9">
        <f t="shared" si="11"/>
        <v>4.3969233856955281E-4</v>
      </c>
      <c r="H115" s="14">
        <v>1.9159619513999997</v>
      </c>
      <c r="I115" s="14">
        <v>-4.2691886177999949</v>
      </c>
      <c r="J115" s="37">
        <f t="shared" si="12"/>
        <v>-2.353226666399995</v>
      </c>
    </row>
    <row r="116" spans="2:10" x14ac:dyDescent="0.25">
      <c r="B116" s="8">
        <v>2.4725274725274726</v>
      </c>
      <c r="C116" s="33">
        <f t="shared" si="13"/>
        <v>2.7472527472527819E-2</v>
      </c>
      <c r="D116" s="9">
        <f t="shared" si="9"/>
        <v>0.97557789112048632</v>
      </c>
      <c r="E116" s="22">
        <f t="shared" si="14"/>
        <v>2.6805272289709414E-4</v>
      </c>
      <c r="F116" s="9">
        <f t="shared" si="10"/>
        <v>8.4368966344727792E-4</v>
      </c>
      <c r="G116" s="9">
        <f t="shared" si="11"/>
        <v>4.3949106032237228E-4</v>
      </c>
      <c r="H116" s="14">
        <v>1.8634118066999998</v>
      </c>
      <c r="I116" s="14">
        <v>-4.2750549973999989</v>
      </c>
      <c r="J116" s="37">
        <f t="shared" si="12"/>
        <v>-2.4116431906999991</v>
      </c>
    </row>
    <row r="117" spans="2:10" x14ac:dyDescent="0.25">
      <c r="B117" s="8">
        <v>2.5</v>
      </c>
      <c r="C117" s="33">
        <f t="shared" si="13"/>
        <v>2.7472527472527375E-2</v>
      </c>
      <c r="D117" s="9">
        <f t="shared" si="9"/>
        <v>0.97530991202833262</v>
      </c>
      <c r="E117" s="22">
        <f t="shared" si="14"/>
        <v>2.6797909215370286E-4</v>
      </c>
      <c r="F117" s="9">
        <f t="shared" si="10"/>
        <v>8.4291740751629707E-4</v>
      </c>
      <c r="G117" s="9">
        <f t="shared" si="11"/>
        <v>4.3928987421459897E-4</v>
      </c>
      <c r="H117" s="14">
        <v>1.8584127432000015</v>
      </c>
      <c r="I117" s="14">
        <v>-4.310891503299997</v>
      </c>
      <c r="J117" s="37">
        <f t="shared" si="12"/>
        <v>-2.4524787600999955</v>
      </c>
    </row>
    <row r="118" spans="2:10" x14ac:dyDescent="0.25">
      <c r="B118" s="8">
        <v>2.5274725274725274</v>
      </c>
      <c r="C118" s="33">
        <f t="shared" si="13"/>
        <v>2.7472527472527375E-2</v>
      </c>
      <c r="D118" s="9">
        <f t="shared" si="9"/>
        <v>0.97504200654669693</v>
      </c>
      <c r="E118" s="22">
        <f t="shared" si="14"/>
        <v>2.679054816356885E-4</v>
      </c>
      <c r="F118" s="9">
        <f t="shared" si="10"/>
        <v>8.421458584558783E-4</v>
      </c>
      <c r="G118" s="9">
        <f t="shared" si="11"/>
        <v>4.3908878020371134E-4</v>
      </c>
      <c r="H118" s="14">
        <v>2.0053984297000005</v>
      </c>
      <c r="I118" s="14">
        <v>-3.8491530398000013</v>
      </c>
      <c r="J118" s="37">
        <f t="shared" si="12"/>
        <v>-1.8437546101000009</v>
      </c>
    </row>
    <row r="119" spans="2:10" x14ac:dyDescent="0.25">
      <c r="B119" s="8">
        <v>2.5549450549450547</v>
      </c>
      <c r="C119" s="33">
        <f t="shared" si="13"/>
        <v>2.7472527472527375E-2</v>
      </c>
      <c r="D119" s="9">
        <f t="shared" si="9"/>
        <v>0.9747741746553592</v>
      </c>
      <c r="E119" s="22">
        <f t="shared" si="14"/>
        <v>2.6783189133772201E-4</v>
      </c>
      <c r="F119" s="9">
        <f t="shared" si="10"/>
        <v>8.4137501561865058E-4</v>
      </c>
      <c r="G119" s="9">
        <f t="shared" si="11"/>
        <v>4.3888777824796499E-4</v>
      </c>
      <c r="H119" s="14">
        <v>2.0060023549000001</v>
      </c>
      <c r="I119" s="14">
        <v>-3.9165402175999993</v>
      </c>
      <c r="J119" s="37">
        <f t="shared" si="12"/>
        <v>-1.9105378626999991</v>
      </c>
    </row>
    <row r="120" spans="2:10" x14ac:dyDescent="0.25">
      <c r="B120" s="8">
        <v>2.5824175824175826</v>
      </c>
      <c r="C120" s="33">
        <f t="shared" si="13"/>
        <v>2.7472527472527819E-2</v>
      </c>
      <c r="D120" s="9">
        <f t="shared" si="9"/>
        <v>0.97450641633410517</v>
      </c>
      <c r="E120" s="22">
        <f t="shared" si="14"/>
        <v>2.6775832125403021E-4</v>
      </c>
      <c r="F120" s="9">
        <f t="shared" si="10"/>
        <v>8.4060487835835307E-4</v>
      </c>
      <c r="G120" s="9">
        <f t="shared" si="11"/>
        <v>4.3868686830494941E-4</v>
      </c>
      <c r="H120" s="14">
        <v>2.0192074654000001</v>
      </c>
      <c r="I120" s="14">
        <v>-3.9291450132000012</v>
      </c>
      <c r="J120" s="37">
        <f t="shared" si="12"/>
        <v>-1.9099375478000011</v>
      </c>
    </row>
    <row r="121" spans="2:10" x14ac:dyDescent="0.25">
      <c r="B121" s="8">
        <v>2.6098901098901099</v>
      </c>
      <c r="C121" s="33">
        <f t="shared" si="13"/>
        <v>2.7472527472527375E-2</v>
      </c>
      <c r="D121" s="9">
        <f t="shared" ref="D121:D152" si="15">EXP(-B121*FundingSpread/10000)</f>
        <v>0.974238731562726</v>
      </c>
      <c r="E121" s="22">
        <f t="shared" si="14"/>
        <v>2.6768477137917301E-4</v>
      </c>
      <c r="F121" s="9">
        <f t="shared" si="10"/>
        <v>8.3983544602916904E-4</v>
      </c>
      <c r="G121" s="9">
        <f t="shared" si="11"/>
        <v>4.3848605033247612E-4</v>
      </c>
      <c r="H121" s="14">
        <v>1.9869871638999999</v>
      </c>
      <c r="I121" s="14">
        <v>-3.9346270126000009</v>
      </c>
      <c r="J121" s="37">
        <f t="shared" si="12"/>
        <v>-1.9476398487000011</v>
      </c>
    </row>
    <row r="122" spans="2:10" x14ac:dyDescent="0.25">
      <c r="B122" s="8">
        <v>2.6373626373626373</v>
      </c>
      <c r="C122" s="33">
        <f t="shared" si="13"/>
        <v>2.7472527472527375E-2</v>
      </c>
      <c r="D122" s="9">
        <f t="shared" si="15"/>
        <v>0.97397112032101851</v>
      </c>
      <c r="E122" s="22">
        <f t="shared" si="14"/>
        <v>2.6761124170748829E-4</v>
      </c>
      <c r="F122" s="9">
        <f t="shared" ref="F122:F153" si="16">EXP(-B121*CntrptySpread/10000/CntrptyLGD)-EXP(-B122*CntrptySpread/10000/CntrptyLGD)</f>
        <v>8.3906671798583687E-4</v>
      </c>
      <c r="G122" s="9">
        <f t="shared" ref="G122:G153" si="17">EXP(-B121*PartySpread/10000/PartyLGD)-EXP(-B122*PartySpread/10000/PartyLGD)</f>
        <v>4.3828532428868971E-4</v>
      </c>
      <c r="H122" s="14">
        <v>2.0073682815000007</v>
      </c>
      <c r="I122" s="14">
        <v>-3.9359722177999981</v>
      </c>
      <c r="J122" s="37">
        <f t="shared" si="12"/>
        <v>-1.9286039362999974</v>
      </c>
    </row>
    <row r="123" spans="2:10" x14ac:dyDescent="0.25">
      <c r="B123" s="8">
        <v>2.6648351648351647</v>
      </c>
      <c r="C123" s="33">
        <f t="shared" si="13"/>
        <v>2.7472527472527375E-2</v>
      </c>
      <c r="D123" s="9">
        <f t="shared" si="15"/>
        <v>0.97370358258878498</v>
      </c>
      <c r="E123" s="22">
        <f t="shared" si="14"/>
        <v>2.6753773223353594E-4</v>
      </c>
      <c r="F123" s="9">
        <f t="shared" si="16"/>
        <v>8.3829869358376108E-4</v>
      </c>
      <c r="G123" s="9">
        <f t="shared" si="17"/>
        <v>4.3808469013140172E-4</v>
      </c>
      <c r="H123" s="14">
        <v>2.0116647018</v>
      </c>
      <c r="I123" s="14">
        <v>-3.9387481027999991</v>
      </c>
      <c r="J123" s="37">
        <f t="shared" si="12"/>
        <v>-1.9270834009999991</v>
      </c>
    </row>
    <row r="124" spans="2:10" x14ac:dyDescent="0.25">
      <c r="B124" s="8">
        <v>2.6923076923076921</v>
      </c>
      <c r="C124" s="33">
        <f t="shared" si="13"/>
        <v>2.7472527472527375E-2</v>
      </c>
      <c r="D124" s="9">
        <f t="shared" si="15"/>
        <v>0.97343611834583332</v>
      </c>
      <c r="E124" s="22">
        <f t="shared" si="14"/>
        <v>2.6746424295165383E-4</v>
      </c>
      <c r="F124" s="9">
        <f t="shared" si="16"/>
        <v>8.3753137217856821E-4</v>
      </c>
      <c r="G124" s="9">
        <f t="shared" si="17"/>
        <v>4.3788414781853469E-4</v>
      </c>
      <c r="H124" s="14">
        <v>2.0215165250000005</v>
      </c>
      <c r="I124" s="14">
        <v>-3.9298039872000023</v>
      </c>
      <c r="J124" s="37">
        <f t="shared" si="12"/>
        <v>-1.9082874622000019</v>
      </c>
    </row>
    <row r="125" spans="2:10" x14ac:dyDescent="0.25">
      <c r="B125" s="8">
        <v>2.7197802197802194</v>
      </c>
      <c r="C125" s="33">
        <f t="shared" si="13"/>
        <v>2.7472527472527375E-2</v>
      </c>
      <c r="D125" s="9">
        <f t="shared" si="15"/>
        <v>0.97316872757197692</v>
      </c>
      <c r="E125" s="22">
        <f t="shared" si="14"/>
        <v>2.6739077385640186E-4</v>
      </c>
      <c r="F125" s="9">
        <f t="shared" si="16"/>
        <v>8.3676475312710608E-4</v>
      </c>
      <c r="G125" s="9">
        <f t="shared" si="17"/>
        <v>4.3768369730812218E-4</v>
      </c>
      <c r="H125" s="14">
        <v>1.9801819427999996</v>
      </c>
      <c r="I125" s="14">
        <v>-3.924444372</v>
      </c>
      <c r="J125" s="37">
        <f t="shared" si="12"/>
        <v>-1.9442624292000004</v>
      </c>
    </row>
    <row r="126" spans="2:10" x14ac:dyDescent="0.25">
      <c r="B126" s="8">
        <v>2.7472527472527473</v>
      </c>
      <c r="C126" s="33">
        <f t="shared" si="13"/>
        <v>2.7472527472527819E-2</v>
      </c>
      <c r="D126" s="9">
        <f t="shared" si="15"/>
        <v>0.97290141024703469</v>
      </c>
      <c r="E126" s="22">
        <f t="shared" si="14"/>
        <v>2.6731732494222893E-4</v>
      </c>
      <c r="F126" s="9">
        <f t="shared" si="16"/>
        <v>8.3599883578655554E-4</v>
      </c>
      <c r="G126" s="9">
        <f t="shared" si="17"/>
        <v>4.374833385578647E-4</v>
      </c>
      <c r="H126" s="14">
        <v>1.9743453824000017</v>
      </c>
      <c r="I126" s="14">
        <v>-3.9060996258000031</v>
      </c>
      <c r="J126" s="37">
        <f t="shared" si="12"/>
        <v>-1.9317542434000015</v>
      </c>
    </row>
    <row r="127" spans="2:10" x14ac:dyDescent="0.25">
      <c r="B127" s="8">
        <v>2.7747252747252746</v>
      </c>
      <c r="C127" s="33">
        <f t="shared" si="13"/>
        <v>2.7472527472527375E-2</v>
      </c>
      <c r="D127" s="9">
        <f t="shared" si="15"/>
        <v>0.97263416635083122</v>
      </c>
      <c r="E127" s="22">
        <f t="shared" si="14"/>
        <v>2.6724389620347289E-4</v>
      </c>
      <c r="F127" s="9">
        <f t="shared" si="16"/>
        <v>8.3523361951431951E-4</v>
      </c>
      <c r="G127" s="9">
        <f t="shared" si="17"/>
        <v>4.3728307152612889E-4</v>
      </c>
      <c r="H127" s="14">
        <v>1.9953854310999999</v>
      </c>
      <c r="I127" s="14">
        <v>-3.844698429600002</v>
      </c>
      <c r="J127" s="37">
        <f t="shared" si="12"/>
        <v>-1.8493129985000021</v>
      </c>
    </row>
    <row r="128" spans="2:10" x14ac:dyDescent="0.25">
      <c r="B128" s="8">
        <v>2.802197802197802</v>
      </c>
      <c r="C128" s="33">
        <f t="shared" si="13"/>
        <v>2.7472527472527375E-2</v>
      </c>
      <c r="D128" s="9">
        <f t="shared" si="15"/>
        <v>0.97236699586319653</v>
      </c>
      <c r="E128" s="22">
        <f t="shared" si="14"/>
        <v>2.6717048763469364E-4</v>
      </c>
      <c r="F128" s="9">
        <f t="shared" si="16"/>
        <v>8.3446910366880012E-4</v>
      </c>
      <c r="G128" s="9">
        <f t="shared" si="17"/>
        <v>4.3708289617072626E-4</v>
      </c>
      <c r="H128" s="14">
        <v>1.9758399551000012</v>
      </c>
      <c r="I128" s="14">
        <v>-3.8541044901000019</v>
      </c>
      <c r="J128" s="37">
        <f t="shared" si="12"/>
        <v>-1.8782645350000007</v>
      </c>
    </row>
    <row r="129" spans="2:10" x14ac:dyDescent="0.25">
      <c r="B129" s="8">
        <v>2.8296703296703294</v>
      </c>
      <c r="C129" s="33">
        <f t="shared" si="13"/>
        <v>2.7472527472527375E-2</v>
      </c>
      <c r="D129" s="9">
        <f t="shared" si="15"/>
        <v>0.97209989876396607</v>
      </c>
      <c r="E129" s="22">
        <f t="shared" si="14"/>
        <v>2.6709709923045111E-4</v>
      </c>
      <c r="F129" s="9">
        <f t="shared" si="16"/>
        <v>8.3370528760895457E-4</v>
      </c>
      <c r="G129" s="9">
        <f t="shared" si="17"/>
        <v>4.3688281244969041E-4</v>
      </c>
      <c r="H129" s="14">
        <v>1.9425734935999994</v>
      </c>
      <c r="I129" s="14">
        <v>-3.8584470916000018</v>
      </c>
      <c r="J129" s="37">
        <f t="shared" si="12"/>
        <v>-1.9158735980000023</v>
      </c>
    </row>
    <row r="130" spans="2:10" x14ac:dyDescent="0.25">
      <c r="B130" s="8">
        <v>2.8571428571428568</v>
      </c>
      <c r="C130" s="33">
        <f t="shared" si="13"/>
        <v>2.7472527472527375E-2</v>
      </c>
      <c r="D130" s="9">
        <f t="shared" si="15"/>
        <v>0.9718328750329811</v>
      </c>
      <c r="E130" s="22">
        <f t="shared" si="14"/>
        <v>2.6702373098497212E-4</v>
      </c>
      <c r="F130" s="9">
        <f t="shared" si="16"/>
        <v>8.3294217069429521E-4</v>
      </c>
      <c r="G130" s="9">
        <f t="shared" si="17"/>
        <v>4.366828203211659E-4</v>
      </c>
      <c r="H130" s="14">
        <v>1.9117034869000007</v>
      </c>
      <c r="I130" s="14">
        <v>-3.8536106380999948</v>
      </c>
      <c r="J130" s="37">
        <f t="shared" si="12"/>
        <v>-1.9419071511999941</v>
      </c>
    </row>
    <row r="131" spans="2:10" x14ac:dyDescent="0.25">
      <c r="B131" s="8">
        <v>2.8846153846153841</v>
      </c>
      <c r="C131" s="33">
        <f t="shared" si="13"/>
        <v>2.7472527472527375E-2</v>
      </c>
      <c r="D131" s="9">
        <f t="shared" si="15"/>
        <v>0.97156592465008829</v>
      </c>
      <c r="E131" s="22">
        <f t="shared" si="14"/>
        <v>2.6695038289281658E-4</v>
      </c>
      <c r="F131" s="9">
        <f t="shared" si="16"/>
        <v>8.3217975228455643E-4</v>
      </c>
      <c r="G131" s="9">
        <f t="shared" si="17"/>
        <v>4.3648291974318632E-4</v>
      </c>
      <c r="H131" s="14">
        <v>1.8765906466</v>
      </c>
      <c r="I131" s="14">
        <v>-3.8613790811000026</v>
      </c>
      <c r="J131" s="37">
        <f t="shared" si="12"/>
        <v>-1.9847884345000026</v>
      </c>
    </row>
    <row r="132" spans="2:10" x14ac:dyDescent="0.25">
      <c r="B132" s="8">
        <v>2.9120879120879124</v>
      </c>
      <c r="C132" s="33">
        <f t="shared" si="13"/>
        <v>2.7472527472528263E-2</v>
      </c>
      <c r="D132" s="9">
        <f t="shared" si="15"/>
        <v>0.97129904759513963</v>
      </c>
      <c r="E132" s="22">
        <f t="shared" si="14"/>
        <v>2.6687705494865543E-4</v>
      </c>
      <c r="F132" s="9">
        <f t="shared" si="16"/>
        <v>8.3141803174080486E-4</v>
      </c>
      <c r="G132" s="9">
        <f t="shared" si="17"/>
        <v>4.3628311067378522E-4</v>
      </c>
      <c r="H132" s="14">
        <v>1.8334081577000005</v>
      </c>
      <c r="I132" s="14">
        <v>-3.8422542667000013</v>
      </c>
      <c r="J132" s="37">
        <f t="shared" si="12"/>
        <v>-2.0088461090000007</v>
      </c>
    </row>
    <row r="133" spans="2:10" x14ac:dyDescent="0.25">
      <c r="B133" s="8">
        <v>2.9395604395604398</v>
      </c>
      <c r="C133" s="33">
        <f t="shared" si="13"/>
        <v>2.7472527472527375E-2</v>
      </c>
      <c r="D133" s="9">
        <f t="shared" si="15"/>
        <v>0.97103224384799314</v>
      </c>
      <c r="E133" s="22">
        <f t="shared" si="14"/>
        <v>2.6680374714649346E-4</v>
      </c>
      <c r="F133" s="9">
        <f t="shared" si="16"/>
        <v>8.3065700842388512E-4</v>
      </c>
      <c r="G133" s="9">
        <f t="shared" si="17"/>
        <v>4.3608339307099619E-4</v>
      </c>
      <c r="H133" s="14">
        <v>1.8211813866999993</v>
      </c>
      <c r="I133" s="14">
        <v>-3.8567093614000045</v>
      </c>
      <c r="J133" s="37">
        <f t="shared" si="12"/>
        <v>-2.0355279747000052</v>
      </c>
    </row>
    <row r="134" spans="2:10" x14ac:dyDescent="0.25">
      <c r="B134" s="8">
        <v>2.9670329670329672</v>
      </c>
      <c r="C134" s="33">
        <f t="shared" si="13"/>
        <v>2.7472527472527375E-2</v>
      </c>
      <c r="D134" s="9">
        <f t="shared" si="15"/>
        <v>0.97076551338851191</v>
      </c>
      <c r="E134" s="22">
        <f t="shared" si="14"/>
        <v>2.6673045948122365E-4</v>
      </c>
      <c r="F134" s="9">
        <f t="shared" si="16"/>
        <v>8.2989668169586306E-4</v>
      </c>
      <c r="G134" s="9">
        <f t="shared" si="17"/>
        <v>4.3588376689329689E-4</v>
      </c>
      <c r="H134" s="14">
        <v>1.7911087766999996</v>
      </c>
      <c r="I134" s="14">
        <v>-3.8468001059999946</v>
      </c>
      <c r="J134" s="37">
        <f t="shared" si="12"/>
        <v>-2.0556913292999948</v>
      </c>
    </row>
    <row r="135" spans="2:10" x14ac:dyDescent="0.25">
      <c r="B135" s="8">
        <v>2.9945054945054945</v>
      </c>
      <c r="C135" s="33">
        <f t="shared" si="13"/>
        <v>2.7472527472527375E-2</v>
      </c>
      <c r="D135" s="9">
        <f t="shared" si="15"/>
        <v>0.97049885619656473</v>
      </c>
      <c r="E135" s="22">
        <f t="shared" si="14"/>
        <v>2.6665719194718385E-4</v>
      </c>
      <c r="F135" s="9">
        <f t="shared" si="16"/>
        <v>8.2913705091891554E-4</v>
      </c>
      <c r="G135" s="9">
        <f t="shared" si="17"/>
        <v>4.356842320983878E-4</v>
      </c>
      <c r="H135" s="14">
        <v>1.7718778684999998</v>
      </c>
      <c r="I135" s="14">
        <v>-3.8544850591000026</v>
      </c>
      <c r="J135" s="37">
        <f t="shared" si="12"/>
        <v>-2.0826071906000028</v>
      </c>
    </row>
    <row r="136" spans="2:10" x14ac:dyDescent="0.25">
      <c r="B136" s="8">
        <v>3.0219780219780219</v>
      </c>
      <c r="C136" s="33">
        <f t="shared" si="13"/>
        <v>2.7472527472527375E-2</v>
      </c>
      <c r="D136" s="9">
        <f t="shared" si="15"/>
        <v>0.97023227225202591</v>
      </c>
      <c r="E136" s="22">
        <f t="shared" si="14"/>
        <v>2.6658394453882295E-4</v>
      </c>
      <c r="F136" s="9">
        <f t="shared" si="16"/>
        <v>8.2837811545632967E-4</v>
      </c>
      <c r="G136" s="9">
        <f t="shared" si="17"/>
        <v>4.354847886447466E-4</v>
      </c>
      <c r="H136" s="14">
        <v>1.9169793328999996</v>
      </c>
      <c r="I136" s="14">
        <v>-3.3086673555999981</v>
      </c>
      <c r="J136" s="37">
        <f t="shared" si="12"/>
        <v>-1.3916880226999986</v>
      </c>
    </row>
    <row r="137" spans="2:10" x14ac:dyDescent="0.25">
      <c r="B137" s="8">
        <v>3.0494505494505497</v>
      </c>
      <c r="C137" s="33">
        <f t="shared" si="13"/>
        <v>2.7472527472527819E-2</v>
      </c>
      <c r="D137" s="9">
        <f t="shared" si="15"/>
        <v>0.96996576153477532</v>
      </c>
      <c r="E137" s="22">
        <f t="shared" si="14"/>
        <v>2.6651071725058983E-4</v>
      </c>
      <c r="F137" s="9">
        <f t="shared" si="16"/>
        <v>8.2761987467128151E-4</v>
      </c>
      <c r="G137" s="9">
        <f t="shared" si="17"/>
        <v>4.3528543649051787E-4</v>
      </c>
      <c r="H137" s="14">
        <v>1.9067960644000008</v>
      </c>
      <c r="I137" s="14">
        <v>-3.2842307820999972</v>
      </c>
      <c r="J137" s="37">
        <f t="shared" si="12"/>
        <v>-1.3774347176999964</v>
      </c>
    </row>
    <row r="138" spans="2:10" x14ac:dyDescent="0.25">
      <c r="B138" s="8">
        <v>3.0769230769230771</v>
      </c>
      <c r="C138" s="33">
        <f t="shared" si="13"/>
        <v>2.7472527472527375E-2</v>
      </c>
      <c r="D138" s="9">
        <f t="shared" si="15"/>
        <v>0.96969932402469838</v>
      </c>
      <c r="E138" s="22">
        <f t="shared" si="14"/>
        <v>2.6643751007693339E-4</v>
      </c>
      <c r="F138" s="9">
        <f t="shared" si="16"/>
        <v>8.2686232792816838E-4</v>
      </c>
      <c r="G138" s="9">
        <f t="shared" si="17"/>
        <v>4.3508617559384621E-4</v>
      </c>
      <c r="H138" s="14">
        <v>1.8839707074000005</v>
      </c>
      <c r="I138" s="14">
        <v>-3.2303946002000008</v>
      </c>
      <c r="J138" s="37">
        <f t="shared" si="12"/>
        <v>-1.3464238928000003</v>
      </c>
    </row>
    <row r="139" spans="2:10" x14ac:dyDescent="0.25">
      <c r="B139" s="8">
        <v>3.1043956043956045</v>
      </c>
      <c r="C139" s="33">
        <f t="shared" si="13"/>
        <v>2.7472527472527375E-2</v>
      </c>
      <c r="D139" s="9">
        <f t="shared" si="15"/>
        <v>0.96943295970168608</v>
      </c>
      <c r="E139" s="22">
        <f t="shared" si="14"/>
        <v>2.6636432301230251E-4</v>
      </c>
      <c r="F139" s="9">
        <f t="shared" si="16"/>
        <v>8.2610547459160966E-4</v>
      </c>
      <c r="G139" s="9">
        <f t="shared" si="17"/>
        <v>4.3488700591276519E-4</v>
      </c>
      <c r="H139" s="14">
        <v>1.8763561589999989</v>
      </c>
      <c r="I139" s="14">
        <v>-3.1522487827000005</v>
      </c>
      <c r="J139" s="37">
        <f t="shared" si="12"/>
        <v>-1.2758926237000017</v>
      </c>
    </row>
    <row r="140" spans="2:10" x14ac:dyDescent="0.25">
      <c r="B140" s="8">
        <v>3.1318681318681318</v>
      </c>
      <c r="C140" s="33">
        <f t="shared" si="13"/>
        <v>2.7472527472527375E-2</v>
      </c>
      <c r="D140" s="9">
        <f t="shared" si="15"/>
        <v>0.9691666685456346</v>
      </c>
      <c r="E140" s="22">
        <f t="shared" si="14"/>
        <v>2.6629115605147913E-4</v>
      </c>
      <c r="F140" s="9">
        <f t="shared" si="16"/>
        <v>8.2534931402700185E-4</v>
      </c>
      <c r="G140" s="9">
        <f t="shared" si="17"/>
        <v>4.3468792740597451E-4</v>
      </c>
      <c r="H140" s="14">
        <v>1.8446808678999986</v>
      </c>
      <c r="I140" s="14">
        <v>-3.1193166081000001</v>
      </c>
      <c r="J140" s="37">
        <f t="shared" si="12"/>
        <v>-1.2746357402000015</v>
      </c>
    </row>
    <row r="141" spans="2:10" x14ac:dyDescent="0.25">
      <c r="B141" s="8">
        <v>3.1593406593406592</v>
      </c>
      <c r="C141" s="33">
        <f t="shared" si="13"/>
        <v>2.7472527472527375E-2</v>
      </c>
      <c r="D141" s="9">
        <f t="shared" si="15"/>
        <v>0.96890045053644602</v>
      </c>
      <c r="E141" s="22">
        <f t="shared" si="14"/>
        <v>2.6621800918857907E-4</v>
      </c>
      <c r="F141" s="9">
        <f t="shared" si="16"/>
        <v>8.2459384560007454E-4</v>
      </c>
      <c r="G141" s="9">
        <f t="shared" si="17"/>
        <v>4.3448894003128569E-4</v>
      </c>
      <c r="H141" s="14">
        <v>1.7764807420000004</v>
      </c>
      <c r="I141" s="14">
        <v>-3.0756148388999982</v>
      </c>
      <c r="J141" s="37">
        <f t="shared" si="12"/>
        <v>-1.2991340968999978</v>
      </c>
    </row>
    <row r="142" spans="2:10" x14ac:dyDescent="0.25">
      <c r="B142" s="8">
        <v>3.1868131868131866</v>
      </c>
      <c r="C142" s="33">
        <f t="shared" si="13"/>
        <v>2.7472527472527375E-2</v>
      </c>
      <c r="D142" s="9">
        <f t="shared" si="15"/>
        <v>0.96863430565402786</v>
      </c>
      <c r="E142" s="22">
        <f t="shared" si="14"/>
        <v>2.6614488241816225E-4</v>
      </c>
      <c r="F142" s="9">
        <f t="shared" si="16"/>
        <v>8.238390686774455E-4</v>
      </c>
      <c r="G142" s="9">
        <f t="shared" si="17"/>
        <v>4.3429004374739844E-4</v>
      </c>
      <c r="H142" s="14">
        <v>1.7433864474999994</v>
      </c>
      <c r="I142" s="14">
        <v>-3.0452484168999958</v>
      </c>
      <c r="J142" s="37">
        <f t="shared" si="12"/>
        <v>-1.3018619693999964</v>
      </c>
    </row>
    <row r="143" spans="2:10" x14ac:dyDescent="0.25">
      <c r="B143" s="8">
        <v>3.2142857142857144</v>
      </c>
      <c r="C143" s="33">
        <f t="shared" si="13"/>
        <v>2.7472527472527819E-2</v>
      </c>
      <c r="D143" s="9">
        <f t="shared" si="15"/>
        <v>0.96836823387829307</v>
      </c>
      <c r="E143" s="22">
        <f t="shared" si="14"/>
        <v>2.6607177573478857E-4</v>
      </c>
      <c r="F143" s="9">
        <f t="shared" si="16"/>
        <v>8.2308498262606555E-4</v>
      </c>
      <c r="G143" s="9">
        <f t="shared" si="17"/>
        <v>4.3409123851212428E-4</v>
      </c>
      <c r="H143" s="14">
        <v>1.6995162805999995</v>
      </c>
      <c r="I143" s="14">
        <v>-3.0211665166999988</v>
      </c>
      <c r="J143" s="37">
        <f t="shared" si="12"/>
        <v>-1.3216502360999993</v>
      </c>
    </row>
    <row r="144" spans="2:10" x14ac:dyDescent="0.25">
      <c r="B144" s="8">
        <v>3.2417582417582418</v>
      </c>
      <c r="C144" s="33">
        <f t="shared" si="13"/>
        <v>2.7472527472527375E-2</v>
      </c>
      <c r="D144" s="9">
        <f t="shared" si="15"/>
        <v>0.96810223518916005</v>
      </c>
      <c r="E144" s="22">
        <f t="shared" si="14"/>
        <v>2.6599868913301794E-4</v>
      </c>
      <c r="F144" s="9">
        <f t="shared" si="16"/>
        <v>8.2233158681355167E-4</v>
      </c>
      <c r="G144" s="9">
        <f t="shared" si="17"/>
        <v>4.3389252428427394E-4</v>
      </c>
      <c r="H144" s="14">
        <v>1.6834758469000004</v>
      </c>
      <c r="I144" s="14">
        <v>-2.984692243900001</v>
      </c>
      <c r="J144" s="37">
        <f t="shared" si="12"/>
        <v>-1.3012163970000006</v>
      </c>
    </row>
    <row r="145" spans="2:10" x14ac:dyDescent="0.25">
      <c r="B145" s="8">
        <v>3.2692307692307692</v>
      </c>
      <c r="C145" s="33">
        <f t="shared" si="13"/>
        <v>2.7472527472527375E-2</v>
      </c>
      <c r="D145" s="9">
        <f t="shared" si="15"/>
        <v>0.96783630956655298</v>
      </c>
      <c r="E145" s="22">
        <f t="shared" si="14"/>
        <v>2.6592562260707719E-4</v>
      </c>
      <c r="F145" s="9">
        <f t="shared" si="16"/>
        <v>8.2157888060818696E-4</v>
      </c>
      <c r="G145" s="9">
        <f t="shared" si="17"/>
        <v>4.3369390102176997E-4</v>
      </c>
      <c r="H145" s="14">
        <v>1.6441944318999988</v>
      </c>
      <c r="I145" s="14">
        <v>-2.889172671699999</v>
      </c>
      <c r="J145" s="37">
        <f t="shared" si="12"/>
        <v>-1.2449782398000002</v>
      </c>
    </row>
    <row r="146" spans="2:10" x14ac:dyDescent="0.25">
      <c r="B146" s="8">
        <v>3.2967032967032965</v>
      </c>
      <c r="C146" s="33">
        <f t="shared" si="13"/>
        <v>2.7472527472527375E-2</v>
      </c>
      <c r="D146" s="9">
        <f t="shared" si="15"/>
        <v>0.96757045699040134</v>
      </c>
      <c r="E146" s="22">
        <f t="shared" si="14"/>
        <v>2.6585257615163727E-4</v>
      </c>
      <c r="F146" s="9">
        <f t="shared" si="16"/>
        <v>8.2082686337869859E-4</v>
      </c>
      <c r="G146" s="9">
        <f t="shared" si="17"/>
        <v>4.3349536868342309E-4</v>
      </c>
      <c r="H146" s="14">
        <v>1.6043105291999984</v>
      </c>
      <c r="I146" s="14">
        <v>-2.843713112100005</v>
      </c>
      <c r="J146" s="37">
        <f t="shared" si="12"/>
        <v>-1.2394025829000066</v>
      </c>
    </row>
    <row r="147" spans="2:10" x14ac:dyDescent="0.25">
      <c r="B147" s="8">
        <v>3.3241758241758239</v>
      </c>
      <c r="C147" s="33">
        <f t="shared" si="13"/>
        <v>2.7472527472527375E-2</v>
      </c>
      <c r="D147" s="9">
        <f t="shared" si="15"/>
        <v>0.96730467744064008</v>
      </c>
      <c r="E147" s="22">
        <f t="shared" si="14"/>
        <v>2.6577954976125806E-4</v>
      </c>
      <c r="F147" s="9">
        <f t="shared" si="16"/>
        <v>8.200755344944799E-4</v>
      </c>
      <c r="G147" s="9">
        <f t="shared" si="17"/>
        <v>4.3329692722715585E-4</v>
      </c>
      <c r="H147" s="14">
        <v>1.5795738704000002</v>
      </c>
      <c r="I147" s="14">
        <v>-2.7826302863000012</v>
      </c>
      <c r="J147" s="37">
        <f t="shared" si="12"/>
        <v>-1.203056415900001</v>
      </c>
    </row>
    <row r="148" spans="2:10" x14ac:dyDescent="0.25">
      <c r="B148" s="8">
        <v>3.3516483516483513</v>
      </c>
      <c r="C148" s="33">
        <f t="shared" si="13"/>
        <v>2.7472527472527375E-2</v>
      </c>
      <c r="D148" s="9">
        <f t="shared" si="15"/>
        <v>0.96703897089720992</v>
      </c>
      <c r="E148" s="22">
        <f t="shared" si="14"/>
        <v>2.6570654343016642E-4</v>
      </c>
      <c r="F148" s="9">
        <f t="shared" si="16"/>
        <v>8.1932489332536829E-4</v>
      </c>
      <c r="G148" s="9">
        <f t="shared" si="17"/>
        <v>4.3309857661155693E-4</v>
      </c>
      <c r="H148" s="14">
        <v>1.5528314217999994</v>
      </c>
      <c r="I148" s="14">
        <v>-2.7378970691000006</v>
      </c>
      <c r="J148" s="37">
        <f t="shared" si="12"/>
        <v>-1.1850656473000012</v>
      </c>
    </row>
    <row r="149" spans="2:10" x14ac:dyDescent="0.25">
      <c r="B149" s="8">
        <v>3.3791208791208796</v>
      </c>
      <c r="C149" s="33">
        <f t="shared" si="13"/>
        <v>2.7472527472528263E-2</v>
      </c>
      <c r="D149" s="9">
        <f t="shared" si="15"/>
        <v>0.96677333734005677</v>
      </c>
      <c r="E149" s="22">
        <f t="shared" si="14"/>
        <v>2.656335571531443E-4</v>
      </c>
      <c r="F149" s="9">
        <f t="shared" si="16"/>
        <v>8.1857493924197833E-4</v>
      </c>
      <c r="G149" s="9">
        <f t="shared" si="17"/>
        <v>4.3290031679510399E-4</v>
      </c>
      <c r="H149" s="14">
        <v>1.5215380326000003</v>
      </c>
      <c r="I149" s="14">
        <v>-2.6866828497000022</v>
      </c>
      <c r="J149" s="37">
        <f t="shared" si="12"/>
        <v>-1.1651448171000018</v>
      </c>
    </row>
    <row r="150" spans="2:10" x14ac:dyDescent="0.25">
      <c r="B150" s="8">
        <v>3.4065934065934069</v>
      </c>
      <c r="C150" s="33">
        <f t="shared" si="13"/>
        <v>2.7472527472527375E-2</v>
      </c>
      <c r="D150" s="9">
        <f t="shared" si="15"/>
        <v>0.96650777674913235</v>
      </c>
      <c r="E150" s="22">
        <f t="shared" si="14"/>
        <v>2.6556059092441853E-4</v>
      </c>
      <c r="F150" s="9">
        <f t="shared" si="16"/>
        <v>8.178256716154797E-4</v>
      </c>
      <c r="G150" s="9">
        <f t="shared" si="17"/>
        <v>4.3270214773616367E-4</v>
      </c>
      <c r="H150" s="14">
        <v>1.4804901401000015</v>
      </c>
      <c r="I150" s="14">
        <v>-2.6621259933999992</v>
      </c>
      <c r="J150" s="37">
        <f t="shared" si="12"/>
        <v>-1.1816358532999978</v>
      </c>
    </row>
    <row r="151" spans="2:10" x14ac:dyDescent="0.25">
      <c r="B151" s="8">
        <v>3.4340659340659343</v>
      </c>
      <c r="C151" s="33">
        <f t="shared" si="13"/>
        <v>2.7472527472527375E-2</v>
      </c>
      <c r="D151" s="9">
        <f t="shared" si="15"/>
        <v>0.96624228910439369</v>
      </c>
      <c r="E151" s="22">
        <f t="shared" si="14"/>
        <v>2.6548764473866004E-4</v>
      </c>
      <c r="F151" s="9">
        <f t="shared" si="16"/>
        <v>8.170770898171531E-4</v>
      </c>
      <c r="G151" s="9">
        <f t="shared" si="17"/>
        <v>4.3250406939332464E-4</v>
      </c>
      <c r="H151" s="14">
        <v>1.4250771810999989</v>
      </c>
      <c r="I151" s="14">
        <v>-2.6212465418000002</v>
      </c>
      <c r="J151" s="37">
        <f t="shared" si="12"/>
        <v>-1.1961693607000012</v>
      </c>
    </row>
    <row r="152" spans="2:10" x14ac:dyDescent="0.25">
      <c r="B152" s="8">
        <v>3.4615384615384617</v>
      </c>
      <c r="C152" s="33">
        <f t="shared" si="13"/>
        <v>2.7472527472527375E-2</v>
      </c>
      <c r="D152" s="9">
        <f t="shared" si="15"/>
        <v>0.96597687438580337</v>
      </c>
      <c r="E152" s="22">
        <f t="shared" si="14"/>
        <v>2.6541471859031773E-4</v>
      </c>
      <c r="F152" s="9">
        <f t="shared" si="16"/>
        <v>8.1632919321983355E-4</v>
      </c>
      <c r="G152" s="9">
        <f t="shared" si="17"/>
        <v>4.3230608172473151E-4</v>
      </c>
      <c r="H152" s="14">
        <v>1.3792071863999997</v>
      </c>
      <c r="I152" s="14">
        <v>-2.6116041747999992</v>
      </c>
      <c r="J152" s="37">
        <f t="shared" si="12"/>
        <v>-1.2323969883999994</v>
      </c>
    </row>
    <row r="153" spans="2:10" x14ac:dyDescent="0.25">
      <c r="B153" s="8">
        <v>3.4890109890109891</v>
      </c>
      <c r="C153" s="33">
        <f t="shared" si="13"/>
        <v>2.7472527472527375E-2</v>
      </c>
      <c r="D153" s="9">
        <f t="shared" ref="D153:D184" si="18">EXP(-B153*FundingSpread/10000)</f>
        <v>0.96571153257332953</v>
      </c>
      <c r="E153" s="22">
        <f t="shared" si="14"/>
        <v>2.6534181247384048E-4</v>
      </c>
      <c r="F153" s="9">
        <f t="shared" si="16"/>
        <v>8.1558198119580094E-4</v>
      </c>
      <c r="G153" s="9">
        <f t="shared" si="17"/>
        <v>4.3210818468919499E-4</v>
      </c>
      <c r="H153" s="14">
        <v>1.3466586459999996</v>
      </c>
      <c r="I153" s="14">
        <v>-2.5884413000999991</v>
      </c>
      <c r="J153" s="37">
        <f t="shared" si="12"/>
        <v>-1.2417826540999994</v>
      </c>
    </row>
    <row r="154" spans="2:10" x14ac:dyDescent="0.25">
      <c r="B154" s="8">
        <v>3.5164835164835169</v>
      </c>
      <c r="C154" s="33">
        <f t="shared" si="13"/>
        <v>2.7472527472527819E-2</v>
      </c>
      <c r="D154" s="9">
        <f t="shared" si="18"/>
        <v>0.96544626364694563</v>
      </c>
      <c r="E154" s="22">
        <f t="shared" si="14"/>
        <v>2.6526892638389921E-4</v>
      </c>
      <c r="F154" s="9">
        <f t="shared" ref="F154:F185" si="19">EXP(-B153*CntrptySpread/10000/CntrptyLGD)-EXP(-B154*CntrptySpread/10000/CntrptyLGD)</f>
        <v>8.1483545311866745E-4</v>
      </c>
      <c r="G154" s="9">
        <f t="shared" ref="G154:G185" si="20">EXP(-B153*PartySpread/10000/PartyLGD)-EXP(-B154*PartySpread/10000/PartyLGD)</f>
        <v>4.3191037824508172E-4</v>
      </c>
      <c r="H154" s="14">
        <v>1.4890125996999994</v>
      </c>
      <c r="I154" s="14">
        <v>-2.0728763083999997</v>
      </c>
      <c r="J154" s="37">
        <f t="shared" ref="J154:J208" si="21">H154+I154</f>
        <v>-0.58386370870000026</v>
      </c>
    </row>
    <row r="155" spans="2:10" x14ac:dyDescent="0.25">
      <c r="B155" s="8">
        <v>3.5439560439560442</v>
      </c>
      <c r="C155" s="33">
        <f t="shared" ref="C155:C208" si="22">B155-B154</f>
        <v>2.7472527472527375E-2</v>
      </c>
      <c r="D155" s="9">
        <f t="shared" si="18"/>
        <v>0.96518106758663103</v>
      </c>
      <c r="E155" s="22">
        <f t="shared" ref="E155:E208" si="23">D154-D155</f>
        <v>2.6519606031460974E-4</v>
      </c>
      <c r="F155" s="9">
        <f t="shared" si="19"/>
        <v>8.1408960836248934E-4</v>
      </c>
      <c r="G155" s="9">
        <f t="shared" si="20"/>
        <v>4.3171266235098038E-4</v>
      </c>
      <c r="H155" s="14">
        <v>1.4692713349999995</v>
      </c>
      <c r="I155" s="14">
        <v>-2.0628014069000002</v>
      </c>
      <c r="J155" s="37">
        <f t="shared" si="21"/>
        <v>-0.59353007190000073</v>
      </c>
    </row>
    <row r="156" spans="2:10" x14ac:dyDescent="0.25">
      <c r="B156" s="8">
        <v>3.5714285714285716</v>
      </c>
      <c r="C156" s="33">
        <f t="shared" si="22"/>
        <v>2.7472527472527375E-2</v>
      </c>
      <c r="D156" s="9">
        <f t="shared" si="18"/>
        <v>0.96491594437237005</v>
      </c>
      <c r="E156" s="22">
        <f t="shared" si="23"/>
        <v>2.6512321426097607E-4</v>
      </c>
      <c r="F156" s="9">
        <f t="shared" si="19"/>
        <v>8.133444463015449E-4</v>
      </c>
      <c r="G156" s="9">
        <f t="shared" si="20"/>
        <v>4.3151503696536864E-4</v>
      </c>
      <c r="H156" s="14">
        <v>1.4080348786999992</v>
      </c>
      <c r="I156" s="14">
        <v>-2.0487637810000003</v>
      </c>
      <c r="J156" s="37">
        <f t="shared" si="21"/>
        <v>-0.64072890230000112</v>
      </c>
    </row>
    <row r="157" spans="2:10" x14ac:dyDescent="0.25">
      <c r="B157" s="8">
        <v>3.598901098901099</v>
      </c>
      <c r="C157" s="33">
        <f t="shared" si="22"/>
        <v>2.7472527472527375E-2</v>
      </c>
      <c r="D157" s="9">
        <f t="shared" si="18"/>
        <v>0.96465089398415294</v>
      </c>
      <c r="E157" s="22">
        <f t="shared" si="23"/>
        <v>2.6505038821711402E-4</v>
      </c>
      <c r="F157" s="9">
        <f t="shared" si="19"/>
        <v>8.1259996631122267E-4</v>
      </c>
      <c r="G157" s="9">
        <f t="shared" si="20"/>
        <v>4.3131750204694619E-4</v>
      </c>
      <c r="H157" s="14">
        <v>1.3935327176000007</v>
      </c>
      <c r="I157" s="14">
        <v>-2.0257575499000033</v>
      </c>
      <c r="J157" s="37">
        <f t="shared" si="21"/>
        <v>-0.63222483230000259</v>
      </c>
    </row>
    <row r="158" spans="2:10" x14ac:dyDescent="0.25">
      <c r="B158" s="8">
        <v>3.6263736263736264</v>
      </c>
      <c r="C158" s="33">
        <f t="shared" si="22"/>
        <v>2.7472527472527375E-2</v>
      </c>
      <c r="D158" s="9">
        <f t="shared" si="18"/>
        <v>0.96438591640197524</v>
      </c>
      <c r="E158" s="22">
        <f t="shared" si="23"/>
        <v>2.6497758217769452E-4</v>
      </c>
      <c r="F158" s="9">
        <f t="shared" si="19"/>
        <v>8.1185616776691116E-4</v>
      </c>
      <c r="G158" s="9">
        <f t="shared" si="20"/>
        <v>4.3112005755407967E-4</v>
      </c>
      <c r="H158" s="14">
        <v>1.3583327925999997</v>
      </c>
      <c r="I158" s="14">
        <v>-1.9792773217999988</v>
      </c>
      <c r="J158" s="37">
        <f t="shared" si="21"/>
        <v>-0.6209445291999991</v>
      </c>
    </row>
    <row r="159" spans="2:10" x14ac:dyDescent="0.25">
      <c r="B159" s="8">
        <v>3.6538461538461537</v>
      </c>
      <c r="C159" s="33">
        <f t="shared" si="22"/>
        <v>2.7472527472527375E-2</v>
      </c>
      <c r="D159" s="9">
        <f t="shared" si="18"/>
        <v>0.96412101160583819</v>
      </c>
      <c r="E159" s="22">
        <f t="shared" si="23"/>
        <v>2.6490479613705542E-4</v>
      </c>
      <c r="F159" s="9">
        <f t="shared" si="19"/>
        <v>8.1111305004522016E-4</v>
      </c>
      <c r="G159" s="9">
        <f t="shared" si="20"/>
        <v>4.3092270344557981E-4</v>
      </c>
      <c r="H159" s="14">
        <v>1.3242324750999999</v>
      </c>
      <c r="I159" s="14">
        <v>-1.9495130626000023</v>
      </c>
      <c r="J159" s="37">
        <f t="shared" si="21"/>
        <v>-0.62528058750000248</v>
      </c>
    </row>
    <row r="160" spans="2:10" x14ac:dyDescent="0.25">
      <c r="B160" s="8">
        <v>3.6813186813186816</v>
      </c>
      <c r="C160" s="33">
        <f t="shared" si="22"/>
        <v>2.7472527472527819E-2</v>
      </c>
      <c r="D160" s="9">
        <f t="shared" si="18"/>
        <v>0.9638561795757481</v>
      </c>
      <c r="E160" s="22">
        <f t="shared" si="23"/>
        <v>2.6483203009008971E-4</v>
      </c>
      <c r="F160" s="9">
        <f t="shared" si="19"/>
        <v>8.1037061252264841E-4</v>
      </c>
      <c r="G160" s="9">
        <f t="shared" si="20"/>
        <v>4.3072543968003529E-4</v>
      </c>
      <c r="H160" s="14">
        <v>1.2949231207999996</v>
      </c>
      <c r="I160" s="14">
        <v>-1.9085816144999994</v>
      </c>
      <c r="J160" s="37">
        <f t="shared" si="21"/>
        <v>-0.61365849369999981</v>
      </c>
    </row>
    <row r="161" spans="2:10" x14ac:dyDescent="0.25">
      <c r="B161" s="8">
        <v>3.7087912087912089</v>
      </c>
      <c r="C161" s="33">
        <f t="shared" si="22"/>
        <v>2.7472527472527375E-2</v>
      </c>
      <c r="D161" s="9">
        <f t="shared" si="18"/>
        <v>0.96359142029171718</v>
      </c>
      <c r="E161" s="22">
        <f t="shared" si="23"/>
        <v>2.647592840309132E-4</v>
      </c>
      <c r="F161" s="9">
        <f t="shared" si="19"/>
        <v>8.0962885457669387E-4</v>
      </c>
      <c r="G161" s="9">
        <f t="shared" si="20"/>
        <v>4.3052826621603479E-4</v>
      </c>
      <c r="H161" s="14">
        <v>1.2694226198000009</v>
      </c>
      <c r="I161" s="14">
        <v>-1.8569907621999993</v>
      </c>
      <c r="J161" s="37">
        <f t="shared" si="21"/>
        <v>-0.58756814239999833</v>
      </c>
    </row>
    <row r="162" spans="2:10" x14ac:dyDescent="0.25">
      <c r="B162" s="8">
        <v>3.7362637362637363</v>
      </c>
      <c r="C162" s="33">
        <f t="shared" si="22"/>
        <v>2.7472527472527375E-2</v>
      </c>
      <c r="D162" s="9">
        <f t="shared" si="18"/>
        <v>0.9633267337337631</v>
      </c>
      <c r="E162" s="22">
        <f t="shared" si="23"/>
        <v>2.646865579540858E-4</v>
      </c>
      <c r="F162" s="9">
        <f t="shared" si="19"/>
        <v>8.0888777558540959E-4</v>
      </c>
      <c r="G162" s="9">
        <f t="shared" si="20"/>
        <v>4.30331183012167E-4</v>
      </c>
      <c r="H162" s="14">
        <v>1.2175772714000006</v>
      </c>
      <c r="I162" s="14">
        <v>-1.830784419</v>
      </c>
      <c r="J162" s="37">
        <f t="shared" si="21"/>
        <v>-0.61320714759999939</v>
      </c>
    </row>
    <row r="163" spans="2:10" x14ac:dyDescent="0.25">
      <c r="B163" s="8">
        <v>3.7637362637362637</v>
      </c>
      <c r="C163" s="33">
        <f t="shared" si="22"/>
        <v>2.7472527472527375E-2</v>
      </c>
      <c r="D163" s="9">
        <f t="shared" si="18"/>
        <v>0.96306211988190871</v>
      </c>
      <c r="E163" s="22">
        <f t="shared" si="23"/>
        <v>2.6461385185438946E-4</v>
      </c>
      <c r="F163" s="9">
        <f t="shared" si="19"/>
        <v>8.0814737492718169E-4</v>
      </c>
      <c r="G163" s="9">
        <f t="shared" si="20"/>
        <v>4.3013419002724262E-4</v>
      </c>
      <c r="H163" s="14">
        <v>1.2125036749</v>
      </c>
      <c r="I163" s="14">
        <v>-1.7376306279000007</v>
      </c>
      <c r="J163" s="37">
        <f t="shared" si="21"/>
        <v>-0.52512695300000067</v>
      </c>
    </row>
    <row r="164" spans="2:10" x14ac:dyDescent="0.25">
      <c r="B164" s="8">
        <v>3.7912087912087911</v>
      </c>
      <c r="C164" s="33">
        <f t="shared" si="22"/>
        <v>2.7472527472527375E-2</v>
      </c>
      <c r="D164" s="9">
        <f t="shared" si="18"/>
        <v>0.96279757871618266</v>
      </c>
      <c r="E164" s="22">
        <f t="shared" si="23"/>
        <v>2.6454116572605102E-4</v>
      </c>
      <c r="F164" s="9">
        <f t="shared" si="19"/>
        <v>8.0740765198117348E-4</v>
      </c>
      <c r="G164" s="9">
        <f t="shared" si="20"/>
        <v>4.2993728722007241E-4</v>
      </c>
      <c r="H164" s="14">
        <v>1.1539618217000005</v>
      </c>
      <c r="I164" s="14">
        <v>-1.7034358826999978</v>
      </c>
      <c r="J164" s="37">
        <f t="shared" si="21"/>
        <v>-0.54947406099999729</v>
      </c>
    </row>
    <row r="165" spans="2:10" x14ac:dyDescent="0.25">
      <c r="B165" s="8">
        <v>3.8186813186813184</v>
      </c>
      <c r="C165" s="33">
        <f t="shared" si="22"/>
        <v>2.7472527472527375E-2</v>
      </c>
      <c r="D165" s="9">
        <f t="shared" si="18"/>
        <v>0.96253311021661903</v>
      </c>
      <c r="E165" s="22">
        <f t="shared" si="23"/>
        <v>2.6446849956363039E-4</v>
      </c>
      <c r="F165" s="9">
        <f t="shared" si="19"/>
        <v>8.0666860612721436E-4</v>
      </c>
      <c r="G165" s="9">
        <f t="shared" si="20"/>
        <v>4.2974047454902298E-4</v>
      </c>
      <c r="H165" s="14">
        <v>1.1068862867000004</v>
      </c>
      <c r="I165" s="14">
        <v>-1.6585855132000009</v>
      </c>
      <c r="J165" s="37">
        <f t="shared" si="21"/>
        <v>-0.55169922650000047</v>
      </c>
    </row>
    <row r="166" spans="2:10" x14ac:dyDescent="0.25">
      <c r="B166" s="8">
        <v>3.8461538461538463</v>
      </c>
      <c r="C166" s="33">
        <f t="shared" si="22"/>
        <v>2.7472527472527819E-2</v>
      </c>
      <c r="D166" s="9">
        <f t="shared" si="18"/>
        <v>0.96226871436325723</v>
      </c>
      <c r="E166" s="22">
        <f t="shared" si="23"/>
        <v>2.6439585336179849E-4</v>
      </c>
      <c r="F166" s="9">
        <f t="shared" si="19"/>
        <v>8.0593023674513375E-4</v>
      </c>
      <c r="G166" s="9">
        <f t="shared" si="20"/>
        <v>4.2954375197323813E-4</v>
      </c>
      <c r="H166" s="14">
        <v>1.0766944434000003</v>
      </c>
      <c r="I166" s="14">
        <v>-1.6219988096</v>
      </c>
      <c r="J166" s="37">
        <f t="shared" si="21"/>
        <v>-0.54530436619999967</v>
      </c>
    </row>
    <row r="167" spans="2:10" x14ac:dyDescent="0.25">
      <c r="B167" s="8">
        <v>3.8736263736263736</v>
      </c>
      <c r="C167" s="33">
        <f t="shared" si="22"/>
        <v>2.7472527472527375E-2</v>
      </c>
      <c r="D167" s="9">
        <f t="shared" si="18"/>
        <v>0.96200439113614233</v>
      </c>
      <c r="E167" s="22">
        <f t="shared" si="23"/>
        <v>2.643232271148932E-4</v>
      </c>
      <c r="F167" s="9">
        <f t="shared" si="19"/>
        <v>8.0519254321620437E-4</v>
      </c>
      <c r="G167" s="9">
        <f t="shared" si="20"/>
        <v>4.293471194510845E-4</v>
      </c>
      <c r="H167" s="14">
        <v>1.0532272353999999</v>
      </c>
      <c r="I167" s="14">
        <v>-1.5836375860000014</v>
      </c>
      <c r="J167" s="37">
        <f t="shared" si="21"/>
        <v>-0.53041035060000152</v>
      </c>
    </row>
    <row r="168" spans="2:10" x14ac:dyDescent="0.25">
      <c r="B168" s="8">
        <v>3.901098901098901</v>
      </c>
      <c r="C168" s="33">
        <f t="shared" si="22"/>
        <v>2.7472527472527375E-2</v>
      </c>
      <c r="D168" s="9">
        <f t="shared" si="18"/>
        <v>0.96174014051532475</v>
      </c>
      <c r="E168" s="22">
        <f t="shared" si="23"/>
        <v>2.6425062081758544E-4</v>
      </c>
      <c r="F168" s="9">
        <f t="shared" si="19"/>
        <v>8.0445552492147687E-4</v>
      </c>
      <c r="G168" s="9">
        <f t="shared" si="20"/>
        <v>4.2915057694159486E-4</v>
      </c>
      <c r="H168" s="14">
        <v>1.0004268328999997</v>
      </c>
      <c r="I168" s="14">
        <v>-1.5621651598000017</v>
      </c>
      <c r="J168" s="37">
        <f t="shared" si="21"/>
        <v>-0.56173832690000203</v>
      </c>
    </row>
    <row r="169" spans="2:10" x14ac:dyDescent="0.25">
      <c r="B169" s="8">
        <v>3.9285714285714284</v>
      </c>
      <c r="C169" s="33">
        <f t="shared" si="22"/>
        <v>2.7472527472527375E-2</v>
      </c>
      <c r="D169" s="9">
        <f t="shared" si="18"/>
        <v>0.96147596248086042</v>
      </c>
      <c r="E169" s="22">
        <f t="shared" si="23"/>
        <v>2.6417803446432409E-4</v>
      </c>
      <c r="F169" s="9">
        <f t="shared" si="19"/>
        <v>8.0371918124300112E-4</v>
      </c>
      <c r="G169" s="9">
        <f t="shared" si="20"/>
        <v>4.2895412440346892E-4</v>
      </c>
      <c r="H169" s="14">
        <v>0.98019205949999977</v>
      </c>
      <c r="I169" s="14">
        <v>-1.5560312983000011</v>
      </c>
      <c r="J169" s="37">
        <f t="shared" si="21"/>
        <v>-0.57583923880000132</v>
      </c>
    </row>
    <row r="170" spans="2:10" x14ac:dyDescent="0.25">
      <c r="B170" s="8">
        <v>3.9560439560439558</v>
      </c>
      <c r="C170" s="33">
        <f t="shared" si="22"/>
        <v>2.7472527472527375E-2</v>
      </c>
      <c r="D170" s="9">
        <f t="shared" si="18"/>
        <v>0.96121185701281087</v>
      </c>
      <c r="E170" s="22">
        <f t="shared" si="23"/>
        <v>2.6410546804955803E-4</v>
      </c>
      <c r="F170" s="9">
        <f t="shared" si="19"/>
        <v>8.0298351156327108E-4</v>
      </c>
      <c r="G170" s="9">
        <f t="shared" si="20"/>
        <v>4.2875776179573943E-4</v>
      </c>
      <c r="H170" s="14">
        <v>0.93581986030000031</v>
      </c>
      <c r="I170" s="14">
        <v>-1.5458544088999995</v>
      </c>
      <c r="J170" s="37">
        <f t="shared" si="21"/>
        <v>-0.61003454859999917</v>
      </c>
    </row>
    <row r="171" spans="2:10" x14ac:dyDescent="0.25">
      <c r="B171" s="8">
        <v>3.9835164835164831</v>
      </c>
      <c r="C171" s="33">
        <f t="shared" si="22"/>
        <v>2.7472527472527375E-2</v>
      </c>
      <c r="D171" s="9">
        <f t="shared" si="18"/>
        <v>0.96094782409124291</v>
      </c>
      <c r="E171" s="22">
        <f t="shared" si="23"/>
        <v>2.6403292156795821E-4</v>
      </c>
      <c r="F171" s="9">
        <f t="shared" si="19"/>
        <v>8.022485152653358E-4</v>
      </c>
      <c r="G171" s="9">
        <f t="shared" si="20"/>
        <v>4.2856148907677305E-4</v>
      </c>
      <c r="H171" s="14">
        <v>0.90454505990000045</v>
      </c>
      <c r="I171" s="14">
        <v>-1.5441940796000018</v>
      </c>
      <c r="J171" s="37">
        <f t="shared" si="21"/>
        <v>-0.63964901970000132</v>
      </c>
    </row>
    <row r="172" spans="2:10" x14ac:dyDescent="0.25">
      <c r="B172" s="8">
        <v>4.0109890109890109</v>
      </c>
      <c r="C172" s="33">
        <f t="shared" si="22"/>
        <v>2.7472527472527819E-2</v>
      </c>
      <c r="D172" s="9">
        <f t="shared" si="18"/>
        <v>0.96068386369622893</v>
      </c>
      <c r="E172" s="22">
        <f t="shared" si="23"/>
        <v>2.639603950139735E-4</v>
      </c>
      <c r="F172" s="9">
        <f t="shared" si="19"/>
        <v>8.015141917329105E-4</v>
      </c>
      <c r="G172" s="9">
        <f t="shared" si="20"/>
        <v>4.2836530620582458E-4</v>
      </c>
      <c r="H172" s="14">
        <v>0.94984450400000009</v>
      </c>
      <c r="I172" s="14">
        <v>-1.3678369137999991</v>
      </c>
      <c r="J172" s="37">
        <f t="shared" si="21"/>
        <v>-0.41799240979999897</v>
      </c>
    </row>
    <row r="173" spans="2:10" x14ac:dyDescent="0.25">
      <c r="B173" s="8">
        <v>4.0384615384615383</v>
      </c>
      <c r="C173" s="33">
        <f t="shared" si="22"/>
        <v>2.7472527472527375E-2</v>
      </c>
      <c r="D173" s="9">
        <f t="shared" si="18"/>
        <v>0.96041997580784699</v>
      </c>
      <c r="E173" s="22">
        <f t="shared" si="23"/>
        <v>2.6388788838194177E-4</v>
      </c>
      <c r="F173" s="9">
        <f t="shared" si="19"/>
        <v>8.0078054035004342E-4</v>
      </c>
      <c r="G173" s="9">
        <f t="shared" si="20"/>
        <v>4.2816921314170475E-4</v>
      </c>
      <c r="H173" s="14">
        <v>1.0441272800999992</v>
      </c>
      <c r="I173" s="14">
        <v>-1.1050194229999988</v>
      </c>
      <c r="J173" s="37">
        <f t="shared" si="21"/>
        <v>-6.0892142899999557E-2</v>
      </c>
    </row>
    <row r="174" spans="2:10" x14ac:dyDescent="0.25">
      <c r="B174" s="8">
        <v>4.0659340659340657</v>
      </c>
      <c r="C174" s="33">
        <f t="shared" si="22"/>
        <v>2.7472527472527375E-2</v>
      </c>
      <c r="D174" s="9">
        <f t="shared" si="18"/>
        <v>0.96015616040618013</v>
      </c>
      <c r="E174" s="22">
        <f t="shared" si="23"/>
        <v>2.6381540166686701E-4</v>
      </c>
      <c r="F174" s="9">
        <f t="shared" si="19"/>
        <v>8.0004756050156001E-4</v>
      </c>
      <c r="G174" s="9">
        <f t="shared" si="20"/>
        <v>4.2797320984311327E-4</v>
      </c>
      <c r="H174" s="14">
        <v>0.98956747539999868</v>
      </c>
      <c r="I174" s="14">
        <v>-1.1259104586000013</v>
      </c>
      <c r="J174" s="37">
        <f t="shared" si="21"/>
        <v>-0.1363429832000026</v>
      </c>
    </row>
    <row r="175" spans="2:10" x14ac:dyDescent="0.25">
      <c r="B175" s="8">
        <v>4.0934065934065931</v>
      </c>
      <c r="C175" s="33">
        <f t="shared" si="22"/>
        <v>2.7472527472527375E-2</v>
      </c>
      <c r="D175" s="9">
        <f t="shared" si="18"/>
        <v>0.95989241747131726</v>
      </c>
      <c r="E175" s="22">
        <f t="shared" si="23"/>
        <v>2.6374293486286504E-4</v>
      </c>
      <c r="F175" s="9">
        <f t="shared" si="19"/>
        <v>7.993152515729518E-4</v>
      </c>
      <c r="G175" s="9">
        <f t="shared" si="20"/>
        <v>4.2777729626919392E-4</v>
      </c>
      <c r="H175" s="14">
        <v>0.94856365149999944</v>
      </c>
      <c r="I175" s="14">
        <v>-1.1441959154999997</v>
      </c>
      <c r="J175" s="37">
        <f t="shared" si="21"/>
        <v>-0.19563226400000022</v>
      </c>
    </row>
    <row r="176" spans="2:10" x14ac:dyDescent="0.25">
      <c r="B176" s="8">
        <v>4.1208791208791204</v>
      </c>
      <c r="C176" s="33">
        <f t="shared" si="22"/>
        <v>2.7472527472527375E-2</v>
      </c>
      <c r="D176" s="9">
        <f t="shared" si="18"/>
        <v>0.95962874698335277</v>
      </c>
      <c r="E176" s="22">
        <f t="shared" si="23"/>
        <v>2.6367048796449577E-4</v>
      </c>
      <c r="F176" s="9">
        <f t="shared" si="19"/>
        <v>7.9858361294971036E-4</v>
      </c>
      <c r="G176" s="9">
        <f t="shared" si="20"/>
        <v>4.2758147237864641E-4</v>
      </c>
      <c r="H176" s="14">
        <v>0.91891435349999917</v>
      </c>
      <c r="I176" s="14">
        <v>-1.1499395877</v>
      </c>
      <c r="J176" s="37">
        <f t="shared" si="21"/>
        <v>-0.23102523420000087</v>
      </c>
    </row>
    <row r="177" spans="2:10" x14ac:dyDescent="0.25">
      <c r="B177" s="8">
        <v>4.1483516483516487</v>
      </c>
      <c r="C177" s="33">
        <f t="shared" si="22"/>
        <v>2.7472527472528263E-2</v>
      </c>
      <c r="D177" s="9">
        <f t="shared" si="18"/>
        <v>0.95936514892238622</v>
      </c>
      <c r="E177" s="22">
        <f t="shared" si="23"/>
        <v>2.6359806096654115E-4</v>
      </c>
      <c r="F177" s="9">
        <f t="shared" si="19"/>
        <v>7.9785264401877054E-4</v>
      </c>
      <c r="G177" s="9">
        <f t="shared" si="20"/>
        <v>4.2738573813061453E-4</v>
      </c>
      <c r="H177" s="14">
        <v>0.90535989509999959</v>
      </c>
      <c r="I177" s="14">
        <v>-1.1608384111000005</v>
      </c>
      <c r="J177" s="37">
        <f t="shared" si="21"/>
        <v>-0.25547851600000093</v>
      </c>
    </row>
    <row r="178" spans="2:10" x14ac:dyDescent="0.25">
      <c r="B178" s="8">
        <v>4.1758241758241761</v>
      </c>
      <c r="C178" s="33">
        <f t="shared" si="22"/>
        <v>2.7472527472527375E-2</v>
      </c>
      <c r="D178" s="9">
        <f t="shared" si="18"/>
        <v>0.95910162326852288</v>
      </c>
      <c r="E178" s="22">
        <f t="shared" si="23"/>
        <v>2.6352565386333904E-4</v>
      </c>
      <c r="F178" s="9">
        <f t="shared" si="19"/>
        <v>7.9712234416684513E-4</v>
      </c>
      <c r="G178" s="9">
        <f t="shared" si="20"/>
        <v>4.2719009348390902E-4</v>
      </c>
      <c r="H178" s="14">
        <v>0.87010210919999986</v>
      </c>
      <c r="I178" s="14">
        <v>-1.1671354982000004</v>
      </c>
      <c r="J178" s="37">
        <f t="shared" si="21"/>
        <v>-0.29703338900000054</v>
      </c>
    </row>
    <row r="179" spans="2:10" x14ac:dyDescent="0.25">
      <c r="B179" s="8">
        <v>4.2032967032967035</v>
      </c>
      <c r="C179" s="33">
        <f t="shared" si="22"/>
        <v>2.7472527472527375E-2</v>
      </c>
      <c r="D179" s="9">
        <f t="shared" si="18"/>
        <v>0.95883817000187355</v>
      </c>
      <c r="E179" s="22">
        <f t="shared" si="23"/>
        <v>2.6345326664933832E-4</v>
      </c>
      <c r="F179" s="9">
        <f t="shared" si="19"/>
        <v>7.9639271278142409E-4</v>
      </c>
      <c r="G179" s="9">
        <f t="shared" si="20"/>
        <v>4.2699453839756263E-4</v>
      </c>
      <c r="H179" s="14">
        <v>0.82836632869999971</v>
      </c>
      <c r="I179" s="14">
        <v>-1.1826826347999997</v>
      </c>
      <c r="J179" s="37">
        <f t="shared" si="21"/>
        <v>-0.35431630609999998</v>
      </c>
    </row>
    <row r="180" spans="2:10" x14ac:dyDescent="0.25">
      <c r="B180" s="8">
        <v>4.2307692307692308</v>
      </c>
      <c r="C180" s="33">
        <f t="shared" si="22"/>
        <v>2.7472527472527375E-2</v>
      </c>
      <c r="D180" s="9">
        <f t="shared" si="18"/>
        <v>0.95857478910255423</v>
      </c>
      <c r="E180" s="22">
        <f t="shared" si="23"/>
        <v>2.6338089931932096E-4</v>
      </c>
      <c r="F180" s="9">
        <f t="shared" si="19"/>
        <v>7.9566374925077454E-4</v>
      </c>
      <c r="G180" s="9">
        <f t="shared" si="20"/>
        <v>4.2679907283071916E-4</v>
      </c>
      <c r="H180" s="14">
        <v>0.78590519179999985</v>
      </c>
      <c r="I180" s="14">
        <v>-1.1996594648000014</v>
      </c>
      <c r="J180" s="37">
        <f t="shared" si="21"/>
        <v>-0.41375427300000156</v>
      </c>
    </row>
    <row r="181" spans="2:10" x14ac:dyDescent="0.25">
      <c r="B181" s="8">
        <v>4.2582417582417582</v>
      </c>
      <c r="C181" s="33">
        <f t="shared" si="22"/>
        <v>2.7472527472527375E-2</v>
      </c>
      <c r="D181" s="9">
        <f t="shared" si="18"/>
        <v>0.95831148055068649</v>
      </c>
      <c r="E181" s="22">
        <f t="shared" si="23"/>
        <v>2.6330855186773583E-4</v>
      </c>
      <c r="F181" s="9">
        <f t="shared" si="19"/>
        <v>7.9493545296382973E-4</v>
      </c>
      <c r="G181" s="9">
        <f t="shared" si="20"/>
        <v>4.2660369674207832E-4</v>
      </c>
      <c r="H181" s="14">
        <v>0.73150107799999942</v>
      </c>
      <c r="I181" s="14">
        <v>-1.2320683555000003</v>
      </c>
      <c r="J181" s="37">
        <f t="shared" si="21"/>
        <v>-0.50056727750000085</v>
      </c>
    </row>
    <row r="182" spans="2:10" x14ac:dyDescent="0.25">
      <c r="B182" s="8">
        <v>4.2857142857142856</v>
      </c>
      <c r="C182" s="33">
        <f t="shared" si="22"/>
        <v>2.7472527472527375E-2</v>
      </c>
      <c r="D182" s="9">
        <f t="shared" si="18"/>
        <v>0.95804824432639746</v>
      </c>
      <c r="E182" s="22">
        <f t="shared" si="23"/>
        <v>2.6323622428903182E-4</v>
      </c>
      <c r="F182" s="9">
        <f t="shared" si="19"/>
        <v>7.9420782330930084E-4</v>
      </c>
      <c r="G182" s="9">
        <f t="shared" si="20"/>
        <v>4.2640841009111696E-4</v>
      </c>
      <c r="H182" s="14">
        <v>0.72185831779999976</v>
      </c>
      <c r="I182" s="14">
        <v>-1.1853279629</v>
      </c>
      <c r="J182" s="37">
        <f t="shared" si="21"/>
        <v>-0.46346964510000022</v>
      </c>
    </row>
    <row r="183" spans="2:10" x14ac:dyDescent="0.25">
      <c r="B183" s="8">
        <v>4.3131868131868139</v>
      </c>
      <c r="C183" s="33">
        <f t="shared" si="22"/>
        <v>2.7472527472528263E-2</v>
      </c>
      <c r="D183" s="9">
        <f t="shared" si="18"/>
        <v>0.95778508040981958</v>
      </c>
      <c r="E183" s="22">
        <f t="shared" si="23"/>
        <v>2.6316391657787985E-4</v>
      </c>
      <c r="F183" s="9">
        <f t="shared" si="19"/>
        <v>7.9348085967745341E-4</v>
      </c>
      <c r="G183" s="9">
        <f t="shared" si="20"/>
        <v>4.2621321283642377E-4</v>
      </c>
      <c r="H183" s="14">
        <v>0.68381711579999938</v>
      </c>
      <c r="I183" s="14">
        <v>-1.2032946193999987</v>
      </c>
      <c r="J183" s="37">
        <f t="shared" si="21"/>
        <v>-0.51947750359999934</v>
      </c>
    </row>
    <row r="184" spans="2:10" x14ac:dyDescent="0.25">
      <c r="B184" s="8">
        <v>4.3406593406593412</v>
      </c>
      <c r="C184" s="33">
        <f t="shared" si="22"/>
        <v>2.7472527472527375E-2</v>
      </c>
      <c r="D184" s="9">
        <f t="shared" si="18"/>
        <v>0.95752198878109096</v>
      </c>
      <c r="E184" s="22">
        <f t="shared" si="23"/>
        <v>2.630916287286178E-4</v>
      </c>
      <c r="F184" s="9">
        <f t="shared" si="19"/>
        <v>7.9275456145844192E-4</v>
      </c>
      <c r="G184" s="9">
        <f t="shared" si="20"/>
        <v>4.2601810493747561E-4</v>
      </c>
      <c r="H184" s="14">
        <v>0.65062909839999983</v>
      </c>
      <c r="I184" s="14">
        <v>-1.2220850033000012</v>
      </c>
      <c r="J184" s="37">
        <f t="shared" si="21"/>
        <v>-0.57145590490000142</v>
      </c>
    </row>
    <row r="185" spans="2:10" x14ac:dyDescent="0.25">
      <c r="B185" s="8">
        <v>4.3681318681318686</v>
      </c>
      <c r="C185" s="33">
        <f t="shared" si="22"/>
        <v>2.7472527472527375E-2</v>
      </c>
      <c r="D185" s="9">
        <f t="shared" ref="D185:D208" si="24">EXP(-B185*FundingSpread/10000)</f>
        <v>0.95725896942035493</v>
      </c>
      <c r="E185" s="22">
        <f t="shared" si="23"/>
        <v>2.6301936073602761E-4</v>
      </c>
      <c r="F185" s="9">
        <f t="shared" si="19"/>
        <v>7.9202892804330904E-4</v>
      </c>
      <c r="G185" s="9">
        <f t="shared" si="20"/>
        <v>4.2582308635319421E-4</v>
      </c>
      <c r="H185" s="14">
        <v>0.61160819290000001</v>
      </c>
      <c r="I185" s="14">
        <v>-1.2433459674000009</v>
      </c>
      <c r="J185" s="37">
        <f t="shared" si="21"/>
        <v>-0.6317377745000009</v>
      </c>
    </row>
    <row r="186" spans="2:10" x14ac:dyDescent="0.25">
      <c r="B186" s="8">
        <v>4.395604395604396</v>
      </c>
      <c r="C186" s="33">
        <f t="shared" si="22"/>
        <v>2.7472527472527375E-2</v>
      </c>
      <c r="D186" s="9">
        <f t="shared" si="24"/>
        <v>0.95699602230776037</v>
      </c>
      <c r="E186" s="22">
        <f t="shared" si="23"/>
        <v>2.6294711259455816E-4</v>
      </c>
      <c r="F186" s="9">
        <f t="shared" ref="F186:F208" si="25">EXP(-B185*CntrptySpread/10000/CntrptyLGD)-EXP(-B186*CntrptySpread/10000/CntrptyLGD)</f>
        <v>7.913039588233195E-4</v>
      </c>
      <c r="G186" s="9">
        <f t="shared" ref="G186:G208" si="26">EXP(-B185*PartySpread/10000/PartyLGD)-EXP(-B186*PartySpread/10000/PartyLGD)</f>
        <v>4.2562815704250134E-4</v>
      </c>
      <c r="H186" s="14">
        <v>0.58083712460000003</v>
      </c>
      <c r="I186" s="14">
        <v>-1.2704039706999999</v>
      </c>
      <c r="J186" s="37">
        <f t="shared" si="21"/>
        <v>-0.68956684609999985</v>
      </c>
    </row>
    <row r="187" spans="2:10" x14ac:dyDescent="0.25">
      <c r="B187" s="8">
        <v>4.4230769230769234</v>
      </c>
      <c r="C187" s="33">
        <f t="shared" si="22"/>
        <v>2.7472527472527375E-2</v>
      </c>
      <c r="D187" s="9">
        <f t="shared" si="24"/>
        <v>0.95673314742346161</v>
      </c>
      <c r="E187" s="22">
        <f t="shared" si="23"/>
        <v>2.6287488429876937E-4</v>
      </c>
      <c r="F187" s="9">
        <f t="shared" si="25"/>
        <v>7.9057965319084822E-4</v>
      </c>
      <c r="G187" s="9">
        <f t="shared" si="26"/>
        <v>4.2543331696498488E-4</v>
      </c>
      <c r="H187" s="14">
        <v>0.55412374460000013</v>
      </c>
      <c r="I187" s="14">
        <v>-1.3004048002999999</v>
      </c>
      <c r="J187" s="37">
        <f t="shared" si="21"/>
        <v>-0.74628105569999981</v>
      </c>
    </row>
    <row r="188" spans="2:10" x14ac:dyDescent="0.25">
      <c r="B188" s="8">
        <v>4.4505494505494507</v>
      </c>
      <c r="C188" s="33">
        <f t="shared" si="22"/>
        <v>2.7472527472527375E-2</v>
      </c>
      <c r="D188" s="9">
        <f t="shared" si="24"/>
        <v>0.95647034474761849</v>
      </c>
      <c r="E188" s="22">
        <f t="shared" si="23"/>
        <v>2.6280267584311012E-4</v>
      </c>
      <c r="F188" s="9">
        <f t="shared" si="25"/>
        <v>7.8985601053827015E-4</v>
      </c>
      <c r="G188" s="9">
        <f t="shared" si="26"/>
        <v>4.2523856607934452E-4</v>
      </c>
      <c r="H188" s="14">
        <v>0.52620075589999959</v>
      </c>
      <c r="I188" s="14">
        <v>-1.3328247432999991</v>
      </c>
      <c r="J188" s="37">
        <f t="shared" si="21"/>
        <v>-0.80662398739999952</v>
      </c>
    </row>
    <row r="189" spans="2:10" x14ac:dyDescent="0.25">
      <c r="B189" s="8">
        <v>4.4780219780219781</v>
      </c>
      <c r="C189" s="33">
        <f t="shared" si="22"/>
        <v>2.7472527472527375E-2</v>
      </c>
      <c r="D189" s="9">
        <f t="shared" si="24"/>
        <v>0.95620761426039624</v>
      </c>
      <c r="E189" s="22">
        <f t="shared" si="23"/>
        <v>2.6273048722225134E-4</v>
      </c>
      <c r="F189" s="9">
        <f t="shared" si="25"/>
        <v>7.8913303025873738E-4</v>
      </c>
      <c r="G189" s="9">
        <f t="shared" si="26"/>
        <v>4.2504390434505712E-4</v>
      </c>
      <c r="H189" s="14">
        <v>0.49566504390000032</v>
      </c>
      <c r="I189" s="14">
        <v>-1.3742055412999994</v>
      </c>
      <c r="J189" s="37">
        <f t="shared" si="21"/>
        <v>-0.87854049739999907</v>
      </c>
    </row>
    <row r="190" spans="2:10" x14ac:dyDescent="0.25">
      <c r="B190" s="8">
        <v>4.5054945054945055</v>
      </c>
      <c r="C190" s="33">
        <f t="shared" si="22"/>
        <v>2.7472527472527375E-2</v>
      </c>
      <c r="D190" s="9">
        <f t="shared" si="24"/>
        <v>0.95594495594196549</v>
      </c>
      <c r="E190" s="22">
        <f t="shared" si="23"/>
        <v>2.6265831843075294E-4</v>
      </c>
      <c r="F190" s="9">
        <f t="shared" si="25"/>
        <v>7.8841071174606814E-4</v>
      </c>
      <c r="G190" s="9">
        <f t="shared" si="26"/>
        <v>4.2484933172115547E-4</v>
      </c>
      <c r="H190" s="14">
        <v>0.51864981140000033</v>
      </c>
      <c r="I190" s="14">
        <v>-1.2211976061000005</v>
      </c>
      <c r="J190" s="37">
        <f t="shared" si="21"/>
        <v>-0.70254779470000017</v>
      </c>
    </row>
    <row r="191" spans="2:10" x14ac:dyDescent="0.25">
      <c r="B191" s="8">
        <v>4.5329670329670328</v>
      </c>
      <c r="C191" s="33">
        <f t="shared" si="22"/>
        <v>2.7472527472527375E-2</v>
      </c>
      <c r="D191" s="9">
        <f t="shared" si="24"/>
        <v>0.95568236977250232</v>
      </c>
      <c r="E191" s="22">
        <f t="shared" si="23"/>
        <v>2.6258616946317481E-4</v>
      </c>
      <c r="F191" s="9">
        <f t="shared" si="25"/>
        <v>7.876890543943027E-4</v>
      </c>
      <c r="G191" s="9">
        <f t="shared" si="26"/>
        <v>4.2465484816678334E-4</v>
      </c>
      <c r="H191" s="14">
        <v>0.63177622509999964</v>
      </c>
      <c r="I191" s="14">
        <v>-0.92689680480000025</v>
      </c>
      <c r="J191" s="37">
        <f t="shared" si="21"/>
        <v>-0.29512057970000061</v>
      </c>
    </row>
    <row r="192" spans="2:10" x14ac:dyDescent="0.25">
      <c r="B192" s="8">
        <v>4.5604395604395602</v>
      </c>
      <c r="C192" s="33">
        <f t="shared" si="22"/>
        <v>2.7472527472527375E-2</v>
      </c>
      <c r="D192" s="9">
        <f t="shared" si="24"/>
        <v>0.95541985573218857</v>
      </c>
      <c r="E192" s="22">
        <f t="shared" si="23"/>
        <v>2.6251404031374381E-4</v>
      </c>
      <c r="F192" s="9">
        <f t="shared" si="25"/>
        <v>7.8696805759870259E-4</v>
      </c>
      <c r="G192" s="9">
        <f t="shared" si="26"/>
        <v>4.244604536414176E-4</v>
      </c>
      <c r="H192" s="14">
        <v>0.62201942229999996</v>
      </c>
      <c r="I192" s="14">
        <v>-0.92712171609999949</v>
      </c>
      <c r="J192" s="37">
        <f t="shared" si="21"/>
        <v>-0.30510229379999954</v>
      </c>
    </row>
    <row r="193" spans="2:10" x14ac:dyDescent="0.25">
      <c r="B193" s="8">
        <v>4.5879120879120876</v>
      </c>
      <c r="C193" s="33">
        <f t="shared" si="22"/>
        <v>2.7472527472527375E-2</v>
      </c>
      <c r="D193" s="9">
        <f t="shared" si="24"/>
        <v>0.95515741380121089</v>
      </c>
      <c r="E193" s="22">
        <f t="shared" si="23"/>
        <v>2.6244193097768598E-4</v>
      </c>
      <c r="F193" s="9">
        <f t="shared" si="25"/>
        <v>7.8624772075408522E-4</v>
      </c>
      <c r="G193" s="9">
        <f t="shared" si="26"/>
        <v>4.2426614810420205E-4</v>
      </c>
      <c r="H193" s="14">
        <v>0.60901503559999992</v>
      </c>
      <c r="I193" s="14">
        <v>-0.93144037179999994</v>
      </c>
      <c r="J193" s="37">
        <f t="shared" si="21"/>
        <v>-0.32242533620000002</v>
      </c>
    </row>
    <row r="194" spans="2:10" x14ac:dyDescent="0.25">
      <c r="B194" s="8">
        <v>4.6153846153846159</v>
      </c>
      <c r="C194" s="33">
        <f t="shared" si="22"/>
        <v>2.7472527472528263E-2</v>
      </c>
      <c r="D194" s="9">
        <f t="shared" si="24"/>
        <v>0.9548950439597621</v>
      </c>
      <c r="E194" s="22">
        <f t="shared" si="23"/>
        <v>2.6236984144878406E-4</v>
      </c>
      <c r="F194" s="9">
        <f t="shared" si="25"/>
        <v>7.8552804325682235E-4</v>
      </c>
      <c r="G194" s="9">
        <f t="shared" si="26"/>
        <v>4.2407193151428046E-4</v>
      </c>
      <c r="H194" s="14">
        <v>0.58606048709999914</v>
      </c>
      <c r="I194" s="14">
        <v>-0.92519800200000057</v>
      </c>
      <c r="J194" s="37">
        <f t="shared" si="21"/>
        <v>-0.33913751490000144</v>
      </c>
    </row>
    <row r="195" spans="2:10" x14ac:dyDescent="0.25">
      <c r="B195" s="8">
        <v>4.6428571428571432</v>
      </c>
      <c r="C195" s="33">
        <f t="shared" si="22"/>
        <v>2.7472527472527375E-2</v>
      </c>
      <c r="D195" s="9">
        <f t="shared" si="24"/>
        <v>0.95463274618803984</v>
      </c>
      <c r="E195" s="22">
        <f t="shared" si="23"/>
        <v>2.6229777172226409E-4</v>
      </c>
      <c r="F195" s="9">
        <f t="shared" si="25"/>
        <v>7.8480902450306367E-4</v>
      </c>
      <c r="G195" s="9">
        <f t="shared" si="26"/>
        <v>4.2387780383090767E-4</v>
      </c>
      <c r="H195" s="14">
        <v>0.57079836340000034</v>
      </c>
      <c r="I195" s="14">
        <v>-0.92525078379999992</v>
      </c>
      <c r="J195" s="37">
        <f t="shared" si="21"/>
        <v>-0.35445242039999958</v>
      </c>
    </row>
    <row r="196" spans="2:10" x14ac:dyDescent="0.25">
      <c r="B196" s="8">
        <v>4.6703296703296706</v>
      </c>
      <c r="C196" s="33">
        <f t="shared" si="22"/>
        <v>2.7472527472527375E-2</v>
      </c>
      <c r="D196" s="9">
        <f t="shared" si="24"/>
        <v>0.9543705204662476</v>
      </c>
      <c r="E196" s="22">
        <f t="shared" si="23"/>
        <v>2.6222572179224191E-4</v>
      </c>
      <c r="F196" s="9">
        <f t="shared" si="25"/>
        <v>7.840906638900691E-4</v>
      </c>
      <c r="G196" s="9">
        <f t="shared" si="26"/>
        <v>4.2368376501356053E-4</v>
      </c>
      <c r="H196" s="14">
        <v>0.56035363300000007</v>
      </c>
      <c r="I196" s="14">
        <v>-0.9214336332000006</v>
      </c>
      <c r="J196" s="37">
        <f t="shared" si="21"/>
        <v>-0.36108000020000053</v>
      </c>
    </row>
    <row r="197" spans="2:10" x14ac:dyDescent="0.25">
      <c r="B197" s="8">
        <v>4.697802197802198</v>
      </c>
      <c r="C197" s="33">
        <f t="shared" si="22"/>
        <v>2.7472527472527375E-2</v>
      </c>
      <c r="D197" s="9">
        <f t="shared" si="24"/>
        <v>0.9541083667745941</v>
      </c>
      <c r="E197" s="22">
        <f t="shared" si="23"/>
        <v>2.6215369165349944E-4</v>
      </c>
      <c r="F197" s="9">
        <f t="shared" si="25"/>
        <v>7.8337296081543162E-4</v>
      </c>
      <c r="G197" s="9">
        <f t="shared" si="26"/>
        <v>4.2348981502160488E-4</v>
      </c>
      <c r="H197" s="14">
        <v>0.54972417959999964</v>
      </c>
      <c r="I197" s="14">
        <v>-0.92055922619999841</v>
      </c>
      <c r="J197" s="37">
        <f t="shared" si="21"/>
        <v>-0.37083504659999877</v>
      </c>
    </row>
    <row r="198" spans="2:10" x14ac:dyDescent="0.25">
      <c r="B198" s="8">
        <v>4.7252747252747254</v>
      </c>
      <c r="C198" s="33">
        <f t="shared" si="22"/>
        <v>2.7472527472527375E-2</v>
      </c>
      <c r="D198" s="9">
        <f t="shared" si="24"/>
        <v>0.95384628509329361</v>
      </c>
      <c r="E198" s="22">
        <f t="shared" si="23"/>
        <v>2.6208168130048559E-4</v>
      </c>
      <c r="F198" s="9">
        <f t="shared" si="25"/>
        <v>7.8265591467718831E-4</v>
      </c>
      <c r="G198" s="9">
        <f t="shared" si="26"/>
        <v>4.232959538141845E-4</v>
      </c>
      <c r="H198" s="14">
        <v>0.5437006477999996</v>
      </c>
      <c r="I198" s="14">
        <v>-0.91747792120000105</v>
      </c>
      <c r="J198" s="37">
        <f t="shared" si="21"/>
        <v>-0.37377727340000144</v>
      </c>
    </row>
    <row r="199" spans="2:10" x14ac:dyDescent="0.25">
      <c r="B199" s="8">
        <v>4.7527472527472527</v>
      </c>
      <c r="C199" s="33">
        <f t="shared" si="22"/>
        <v>2.7472527472527375E-2</v>
      </c>
      <c r="D199" s="9">
        <f t="shared" si="24"/>
        <v>0.95358427540256563</v>
      </c>
      <c r="E199" s="22">
        <f t="shared" si="23"/>
        <v>2.620096907279823E-4</v>
      </c>
      <c r="F199" s="9">
        <f t="shared" si="25"/>
        <v>7.8193952487382035E-4</v>
      </c>
      <c r="G199" s="9">
        <f t="shared" si="26"/>
        <v>4.2310218135077626E-4</v>
      </c>
      <c r="H199" s="14">
        <v>0.54479580309999986</v>
      </c>
      <c r="I199" s="14">
        <v>-0.92947687589999994</v>
      </c>
      <c r="J199" s="37">
        <f t="shared" si="21"/>
        <v>-0.38468107280000008</v>
      </c>
    </row>
    <row r="200" spans="2:10" x14ac:dyDescent="0.25">
      <c r="B200" s="8">
        <v>4.7802197802197801</v>
      </c>
      <c r="C200" s="33">
        <f t="shared" si="22"/>
        <v>2.7472527472527375E-2</v>
      </c>
      <c r="D200" s="9">
        <f t="shared" si="24"/>
        <v>0.95332233768263552</v>
      </c>
      <c r="E200" s="22">
        <f t="shared" si="23"/>
        <v>2.6193771993010539E-4</v>
      </c>
      <c r="F200" s="9">
        <f t="shared" si="25"/>
        <v>7.8122379080503013E-4</v>
      </c>
      <c r="G200" s="9">
        <f t="shared" si="26"/>
        <v>4.2290849759052396E-4</v>
      </c>
      <c r="H200" s="14">
        <v>0.57478643249999928</v>
      </c>
      <c r="I200" s="14">
        <v>-0.87835371700000042</v>
      </c>
      <c r="J200" s="37">
        <f t="shared" si="21"/>
        <v>-0.30356728450000114</v>
      </c>
    </row>
    <row r="201" spans="2:10" x14ac:dyDescent="0.25">
      <c r="B201" s="8">
        <v>4.8076923076923075</v>
      </c>
      <c r="C201" s="33">
        <f t="shared" si="22"/>
        <v>2.7472527472527375E-2</v>
      </c>
      <c r="D201" s="9">
        <f t="shared" si="24"/>
        <v>0.95306047191373355</v>
      </c>
      <c r="E201" s="22">
        <f t="shared" si="23"/>
        <v>2.6186576890196989E-4</v>
      </c>
      <c r="F201" s="9">
        <f t="shared" si="25"/>
        <v>7.8050871187029802E-4</v>
      </c>
      <c r="G201" s="9">
        <f t="shared" si="26"/>
        <v>4.2271490249323751E-4</v>
      </c>
      <c r="H201" s="14">
        <v>0.57688840639999994</v>
      </c>
      <c r="I201" s="14">
        <v>-0.87823491920000052</v>
      </c>
      <c r="J201" s="37">
        <f t="shared" si="21"/>
        <v>-0.30134651280000058</v>
      </c>
    </row>
    <row r="202" spans="2:10" x14ac:dyDescent="0.25">
      <c r="B202" s="8">
        <v>4.8351648351648349</v>
      </c>
      <c r="C202" s="33">
        <f t="shared" si="22"/>
        <v>2.7472527472527375E-2</v>
      </c>
      <c r="D202" s="9">
        <f t="shared" si="24"/>
        <v>0.95279867807609575</v>
      </c>
      <c r="E202" s="22">
        <f t="shared" si="23"/>
        <v>2.6179383763780262E-4</v>
      </c>
      <c r="F202" s="9">
        <f t="shared" si="25"/>
        <v>7.7979428746988155E-4</v>
      </c>
      <c r="G202" s="9">
        <f t="shared" si="26"/>
        <v>4.2252139601806071E-4</v>
      </c>
      <c r="H202" s="14">
        <v>0.57359981930000004</v>
      </c>
      <c r="I202" s="14">
        <v>-0.87857047610000139</v>
      </c>
      <c r="J202" s="37">
        <f t="shared" si="21"/>
        <v>-0.30497065680000135</v>
      </c>
    </row>
    <row r="203" spans="2:10" x14ac:dyDescent="0.25">
      <c r="B203" s="8">
        <v>4.8626373626373622</v>
      </c>
      <c r="C203" s="33">
        <f t="shared" si="22"/>
        <v>2.7472527472527375E-2</v>
      </c>
      <c r="D203" s="9">
        <f t="shared" si="24"/>
        <v>0.95253695614996359</v>
      </c>
      <c r="E203" s="22">
        <f t="shared" si="23"/>
        <v>2.617219261321635E-4</v>
      </c>
      <c r="F203" s="9">
        <f t="shared" si="25"/>
        <v>7.7908051700492642E-4</v>
      </c>
      <c r="G203" s="9">
        <f t="shared" si="26"/>
        <v>4.223279781243594E-4</v>
      </c>
      <c r="H203" s="14">
        <v>0.56627184680000053</v>
      </c>
      <c r="I203" s="14">
        <v>-0.88204910110000012</v>
      </c>
      <c r="J203" s="37">
        <f t="shared" si="21"/>
        <v>-0.31577725429999959</v>
      </c>
    </row>
    <row r="204" spans="2:10" x14ac:dyDescent="0.25">
      <c r="B204" s="8">
        <v>4.8901098901098896</v>
      </c>
      <c r="C204" s="33">
        <f t="shared" si="22"/>
        <v>2.7472527472527375E-2</v>
      </c>
      <c r="D204" s="9">
        <f t="shared" si="24"/>
        <v>0.95227530611558375</v>
      </c>
      <c r="E204" s="22">
        <f t="shared" si="23"/>
        <v>2.6165003437983447E-4</v>
      </c>
      <c r="F204" s="9">
        <f t="shared" si="25"/>
        <v>7.7836739987668935E-4</v>
      </c>
      <c r="G204" s="9">
        <f t="shared" si="26"/>
        <v>4.2213464877183249E-4</v>
      </c>
      <c r="H204" s="14">
        <v>0.5640830202999999</v>
      </c>
      <c r="I204" s="14">
        <v>-0.89157611299999973</v>
      </c>
      <c r="J204" s="37">
        <f t="shared" si="21"/>
        <v>-0.32749309269999982</v>
      </c>
    </row>
    <row r="205" spans="2:10" x14ac:dyDescent="0.25">
      <c r="B205" s="8">
        <v>4.917582417582417</v>
      </c>
      <c r="C205" s="33">
        <f t="shared" si="22"/>
        <v>2.7472527472527375E-2</v>
      </c>
      <c r="D205" s="9">
        <f t="shared" si="24"/>
        <v>0.95201372795320849</v>
      </c>
      <c r="E205" s="22">
        <f t="shared" si="23"/>
        <v>2.6157816237526443E-4</v>
      </c>
      <c r="F205" s="9">
        <f t="shared" si="25"/>
        <v>7.7765493548731524E-4</v>
      </c>
      <c r="G205" s="9">
        <f t="shared" si="26"/>
        <v>4.2194140791962376E-4</v>
      </c>
      <c r="H205" s="14">
        <v>0.56038117959999967</v>
      </c>
      <c r="I205" s="14">
        <v>-0.89962674269999965</v>
      </c>
      <c r="J205" s="37">
        <f t="shared" si="21"/>
        <v>-0.33924556309999998</v>
      </c>
    </row>
    <row r="206" spans="2:10" x14ac:dyDescent="0.25">
      <c r="B206" s="8">
        <v>4.9450549450549453</v>
      </c>
      <c r="C206" s="33">
        <f t="shared" si="22"/>
        <v>2.7472527472528263E-2</v>
      </c>
      <c r="D206" s="9">
        <f t="shared" si="24"/>
        <v>0.95175222164309548</v>
      </c>
      <c r="E206" s="22">
        <f t="shared" si="23"/>
        <v>2.6150631011301328E-4</v>
      </c>
      <c r="F206" s="9">
        <f t="shared" si="25"/>
        <v>7.7694312323906001E-4</v>
      </c>
      <c r="G206" s="9">
        <f t="shared" si="26"/>
        <v>4.2174825552765416E-4</v>
      </c>
      <c r="H206" s="14">
        <v>0.55708858549999984</v>
      </c>
      <c r="I206" s="14">
        <v>-0.9147935028999995</v>
      </c>
      <c r="J206" s="37">
        <f t="shared" si="21"/>
        <v>-0.35770491739999966</v>
      </c>
    </row>
    <row r="207" spans="2:10" x14ac:dyDescent="0.25">
      <c r="B207" s="8">
        <v>4.9725274725274726</v>
      </c>
      <c r="C207" s="33">
        <f t="shared" si="22"/>
        <v>2.7472527472527375E-2</v>
      </c>
      <c r="D207" s="9">
        <f t="shared" si="24"/>
        <v>0.95149078716550783</v>
      </c>
      <c r="E207" s="22">
        <f t="shared" si="23"/>
        <v>2.6143447758764093E-4</v>
      </c>
      <c r="F207" s="9">
        <f t="shared" si="25"/>
        <v>7.7623196253517879E-4</v>
      </c>
      <c r="G207" s="9">
        <f t="shared" si="26"/>
        <v>4.2155519155495647E-4</v>
      </c>
      <c r="H207" s="14">
        <v>0.55374304730000012</v>
      </c>
      <c r="I207" s="14">
        <v>-0.93200614459999997</v>
      </c>
      <c r="J207" s="37">
        <f t="shared" si="21"/>
        <v>-0.37826309729999985</v>
      </c>
    </row>
    <row r="208" spans="2:10" ht="13.8" thickBot="1" x14ac:dyDescent="0.3">
      <c r="B208" s="10">
        <v>5</v>
      </c>
      <c r="C208" s="35">
        <f t="shared" si="22"/>
        <v>2.7472527472527375E-2</v>
      </c>
      <c r="D208" s="11">
        <f t="shared" si="24"/>
        <v>0.95122942450071402</v>
      </c>
      <c r="E208" s="36">
        <f t="shared" si="23"/>
        <v>2.6136266479381831E-4</v>
      </c>
      <c r="F208" s="11">
        <f t="shared" si="25"/>
        <v>7.7552145277925977E-4</v>
      </c>
      <c r="G208" s="11">
        <f t="shared" si="26"/>
        <v>4.213622159613406E-4</v>
      </c>
      <c r="H208" s="38">
        <v>0.54973271309999983</v>
      </c>
      <c r="I208" s="38">
        <v>-0.95740683380000025</v>
      </c>
      <c r="J208" s="39">
        <f t="shared" si="21"/>
        <v>-0.40767412070000042</v>
      </c>
    </row>
    <row r="209" spans="8:8" x14ac:dyDescent="0.25">
      <c r="H209" s="4"/>
    </row>
    <row r="210" spans="8:8" x14ac:dyDescent="0.25">
      <c r="H210" s="4"/>
    </row>
    <row r="211" spans="8:8" x14ac:dyDescent="0.25">
      <c r="H211" s="4"/>
    </row>
    <row r="212" spans="8:8" x14ac:dyDescent="0.25">
      <c r="H212" s="4"/>
    </row>
    <row r="213" spans="8:8" x14ac:dyDescent="0.25">
      <c r="H213" s="4"/>
    </row>
    <row r="214" spans="8:8" x14ac:dyDescent="0.25">
      <c r="H214" s="4"/>
    </row>
    <row r="215" spans="8:8" x14ac:dyDescent="0.25">
      <c r="H215" s="4"/>
    </row>
    <row r="216" spans="8:8" x14ac:dyDescent="0.25">
      <c r="H216" s="4"/>
    </row>
    <row r="217" spans="8:8" x14ac:dyDescent="0.25">
      <c r="H217" s="4"/>
    </row>
  </sheetData>
  <mergeCells count="6">
    <mergeCell ref="B17:C17"/>
    <mergeCell ref="D17:E17"/>
    <mergeCell ref="B10:C10"/>
    <mergeCell ref="B11:C11"/>
    <mergeCell ref="B12:C12"/>
    <mergeCell ref="B13:C13"/>
  </mergeCells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ignoredErrors>
    <ignoredError sqref="E18:E19 C19" formulaRange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Spreadsheet15.1</vt:lpstr>
      <vt:lpstr>CntrptyLGD</vt:lpstr>
      <vt:lpstr>CntrptySpread</vt:lpstr>
      <vt:lpstr>FundingSpread</vt:lpstr>
      <vt:lpstr>Spreadsheet15.1!IntensityCntrpty</vt:lpstr>
      <vt:lpstr>PartyLGD</vt:lpstr>
      <vt:lpstr>PartySpread</vt:lpstr>
    </vt:vector>
  </TitlesOfParts>
  <Company>Home Use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</cp:lastModifiedBy>
  <dcterms:created xsi:type="dcterms:W3CDTF">2009-11-27T11:14:55Z</dcterms:created>
  <dcterms:modified xsi:type="dcterms:W3CDTF">2015-09-03T13:48:32Z</dcterms:modified>
</cp:coreProperties>
</file>