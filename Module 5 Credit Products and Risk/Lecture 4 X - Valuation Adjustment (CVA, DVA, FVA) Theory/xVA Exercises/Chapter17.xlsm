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08" windowWidth="11352" windowHeight="7932"/>
  </bookViews>
  <sheets>
    <sheet name="Spreadsheet17.1" sheetId="4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LS1">#REF!</definedName>
    <definedName name="_LS2">#REF!</definedName>
    <definedName name="_mu1">#REF!</definedName>
    <definedName name="_mu2">#REF!</definedName>
    <definedName name="_Mu3">#REF!</definedName>
    <definedName name="_nd1">#REF!</definedName>
    <definedName name="_nd2">#REF!</definedName>
    <definedName name="_PV1">#REF!</definedName>
    <definedName name="_PV2">#REF!</definedName>
    <definedName name="_RDV01">[1]CancellableCDS!#REF!</definedName>
    <definedName name="_Rho1">[1]CDOPricer!$Q$15</definedName>
    <definedName name="_Rho2">[1]CDOPricer!$Q$16</definedName>
    <definedName name="_Val1">[2]CVA!$J$3</definedName>
    <definedName name="_Val2">[2]CVA!$J$4</definedName>
    <definedName name="_Val3">[2]CVA!$J$5</definedName>
    <definedName name="_VaR10">#REF!</definedName>
    <definedName name="_VAR2">#REF!</definedName>
    <definedName name="_VAR3">#REF!</definedName>
    <definedName name="_vd1">#REF!</definedName>
    <definedName name="_vd2">#REF!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Cell">#REF!</definedName>
    <definedName name="AccrChoice">#REF!</definedName>
    <definedName name="AccruedCell">#REF!</definedName>
    <definedName name="AccruedChoice">#REF!</definedName>
    <definedName name="AccruedInterest">'[5]Bond Price with Excel'!$B$24</definedName>
    <definedName name="AccruedOptions">#REF!</definedName>
    <definedName name="AccruedOrNot">#REF!</definedName>
    <definedName name="AccruedPrem">#REF!</definedName>
    <definedName name="AccruedYesNo">#REF!</definedName>
    <definedName name="Accured">#REF!</definedName>
    <definedName name="ActIntensity1">[6]CVA!#REF!</definedName>
    <definedName name="ActIntensity2">[6]CVA!#REF!</definedName>
    <definedName name="ActMat">#REF!</definedName>
    <definedName name="Actual_Rating_11">#REF!</definedName>
    <definedName name="AgentRec">[2]CVA!#REF!</definedName>
    <definedName name="AllRandomNumbers">#REF!</definedName>
    <definedName name="Alpha" localSheetId="0">Spreadsheet17.1!#REF!</definedName>
    <definedName name="Alpha">#REF!</definedName>
    <definedName name="AlphaEPE">[2]Portfolio!$J$9</definedName>
    <definedName name="AlphaParam">#REF!</definedName>
    <definedName name="AmortChoice">#REF!</definedName>
    <definedName name="Amortisation">#REF!</definedName>
    <definedName name="AmortisedTime">#REF!</definedName>
    <definedName name="Amortising">#REF!</definedName>
    <definedName name="Amortizing">#REF!</definedName>
    <definedName name="AmortOrNot">#REF!</definedName>
    <definedName name="amount1">[7]SimpleCovarianceWithWeights!$J$3</definedName>
    <definedName name="amount2">[7]SimpleCovarianceWithWeights!$K$3</definedName>
    <definedName name="AmountToLiquidate">#REF!</definedName>
    <definedName name="AnalyticalDeltas">#REF!</definedName>
    <definedName name="Annuity">'[1]Bond-CDS Basis'!$C$19</definedName>
    <definedName name="Asset2">[8]MonteCarlo!#REF!</definedName>
    <definedName name="AssetCorrelation">[2]Portfolio!$J$11</definedName>
    <definedName name="AssetMC">[8]MonteCarlo!$C$3</definedName>
    <definedName name="AssetPrice">#REF!</definedName>
    <definedName name="AssetVal">#REF!</definedName>
    <definedName name="AssetValue">#REF!</definedName>
    <definedName name="Assetvol">[9]CreditGrades!$C$14</definedName>
    <definedName name="AssetVolatility">#REF!</definedName>
    <definedName name="At">[9]CreditGrades!$C$15</definedName>
    <definedName name="Attach">[1]CDOPricer!$C$17</definedName>
    <definedName name="Attach2">#REF!</definedName>
    <definedName name="AvDefProb">[2]Portfolio!#REF!</definedName>
    <definedName name="AvRecovery">[9]Portfolio!#REF!</definedName>
    <definedName name="AvSpread">[10]IndexBasis!$I$10</definedName>
    <definedName name="AvSpread2">#REF!</definedName>
    <definedName name="Barrier">[4]OptionPricer!$C$20</definedName>
    <definedName name="BaseCorrel1">#REF!</definedName>
    <definedName name="BaseCorrel2">#REF!</definedName>
    <definedName name="BaseCorrelComb">#REF!</definedName>
    <definedName name="BaseCorrelCurve">#REF!</definedName>
    <definedName name="BaseCorrelEUR">#REF!</definedName>
    <definedName name="BaseCorrelUS">#REF!</definedName>
    <definedName name="BaseCorrEuro">#REF!</definedName>
    <definedName name="BaseCorrUS">#REF!</definedName>
    <definedName name="Basis">#REF!</definedName>
    <definedName name="Basis1">#REF!</definedName>
    <definedName name="Basis2">#REF!</definedName>
    <definedName name="BasisChoices">#REF!</definedName>
    <definedName name="BasisIndex">#REF!</definedName>
    <definedName name="BasisTable1">#REF!</definedName>
    <definedName name="BasisTable2">#REF!</definedName>
    <definedName name="BasketMaturity">[1]BasketPricer!$C$14</definedName>
    <definedName name="BasketPV">#REF!</definedName>
    <definedName name="BasketSize">[1]BasketPricer!$C$15</definedName>
    <definedName name="BasketType">#REF!</definedName>
    <definedName name="bBasis">#REF!</definedName>
    <definedName name="bBasisIndex">#REF!</definedName>
    <definedName name="BCorrel">#REF!</definedName>
    <definedName name="Beta">#REF!</definedName>
    <definedName name="bFreq">#REF!</definedName>
    <definedName name="bFreqIndex">#REF!</definedName>
    <definedName name="BID">#REF!</definedName>
    <definedName name="bilateral_penalty">#REF!</definedName>
    <definedName name="bilaterla_penalty">#REF!</definedName>
    <definedName name="blank_ref_cell">#REF!</definedName>
    <definedName name="bMatDate">#REF!</definedName>
    <definedName name="Bond_Data_11">#REF!</definedName>
    <definedName name="BondCoupon">'[1]Bond-CDS Basis'!$C$13</definedName>
    <definedName name="BondDeltaApprox">#REF!</definedName>
    <definedName name="BondDeltaApprox2">#REF!</definedName>
    <definedName name="BondDuration">#REF!</definedName>
    <definedName name="BondMaturity">'[1]Bond-CDS Basis'!$Q$9</definedName>
    <definedName name="BondPrice">#REF!</definedName>
    <definedName name="BondPrice_11">#REF!</definedName>
    <definedName name="BondPriceNow">#REF!</definedName>
    <definedName name="BondRecovery">'[1]Bond-CDS Basis'!$C$14</definedName>
    <definedName name="bRecovery">#REF!</definedName>
    <definedName name="BumpType">#REF!</definedName>
    <definedName name="BuyFrom">#REF!</definedName>
    <definedName name="CalChoices">#REF!</definedName>
    <definedName name="CalChoose">#REF!</definedName>
    <definedName name="CalcOptions">#REF!</definedName>
    <definedName name="CalcTypeIndex">#REF!</definedName>
    <definedName name="CalcTypeOption">#REF!</definedName>
    <definedName name="CalculationType">#REF!</definedName>
    <definedName name="CalibChoice">#REF!</definedName>
    <definedName name="CalibChoices">#REF!</definedName>
    <definedName name="calibopencol">OFFSET([0]!LGMChoice,2,0,[0]!NumLGMChoices,1)</definedName>
    <definedName name="calibopencol1">OFFSET([0]!LGMChoice,2,0,[0]!NumLGMChoices,1)</definedName>
    <definedName name="CalibPoints">#REF!</definedName>
    <definedName name="Calibration">#REF!</definedName>
    <definedName name="CalibrationChoices">#REF!</definedName>
    <definedName name="CalibrationMode">#REF!</definedName>
    <definedName name="CalibrationResults">#REF!</definedName>
    <definedName name="CalibrationType">#REF!</definedName>
    <definedName name="CalibType">#REF!</definedName>
    <definedName name="CaliCell">#REF!</definedName>
    <definedName name="CaliChoice">#REF!</definedName>
    <definedName name="CallPut">#REF!</definedName>
    <definedName name="CallRetYesNo">[2]CollateralMarginCall!$C$14</definedName>
    <definedName name="CallYesNo">#REF!</definedName>
    <definedName name="CallYesNo2">#REF!</definedName>
    <definedName name="CancellableCDSPrem">[1]CancellableCDS!$F$18</definedName>
    <definedName name="CancelOption">[1]CancellableCDS!$F$22</definedName>
    <definedName name="cBasis">#REF!</definedName>
    <definedName name="cBasisIndex">#REF!</definedName>
    <definedName name="CCY">#REF!</definedName>
    <definedName name="CDOCorrel">#REF!</definedName>
    <definedName name="CDODef">#REF!</definedName>
    <definedName name="CDODef2">#REF!</definedName>
    <definedName name="CDOMaturity">[1]CDOPricer!$C$12</definedName>
    <definedName name="CDOPrem">#REF!</definedName>
    <definedName name="CDOPrem2">#REF!</definedName>
    <definedName name="CDOPV">#REF!</definedName>
    <definedName name="CDOPV2">#REF!</definedName>
    <definedName name="CDSCurve">[1]CMDS!$B$15</definedName>
    <definedName name="CDSMarket">#REF!</definedName>
    <definedName name="CDSMaturities">[1]CMDS!$B$16:$B$26</definedName>
    <definedName name="CDSMaturity">[1]SimpleSpreadCDSPricer!$C$15</definedName>
    <definedName name="CDSPrem">[1]SimpleSpreadCDSPricer!$C$11</definedName>
    <definedName name="CDSPremium">[1]CancellableCDS!$F$17</definedName>
    <definedName name="CDSPV">#REF!</definedName>
    <definedName name="CDSQuotes">[1]CMDS!$C$16:$C$26</definedName>
    <definedName name="cFreq">#REF!</definedName>
    <definedName name="cFreqIndex">#REF!</definedName>
    <definedName name="CholeskyInverse">#REF!</definedName>
    <definedName name="CholeskyMatrix">#REF!</definedName>
    <definedName name="CleanPrice">'[5]Bond Price with Excel'!$B$23</definedName>
    <definedName name="cMatDate">#REF!</definedName>
    <definedName name="CMDSMaturity">[1]CMDS!$C$12</definedName>
    <definedName name="CntrptyDefProb">[2]CDSCntrptyRisk!$C$14</definedName>
    <definedName name="CntrptyRec">[2]CVA!#REF!</definedName>
    <definedName name="CntrptySpread">[2]CDSCntrptyRisk!$C$8</definedName>
    <definedName name="Collateral">#REF!</definedName>
    <definedName name="CollateralChoice">#REF!</definedName>
    <definedName name="CollateralChoices">#REF!</definedName>
    <definedName name="CollateralHeld">[2]CollateralMarginCall!$C$9</definedName>
    <definedName name="CollateralHeld2">#REF!</definedName>
    <definedName name="CollateralisedExposure">#REF!</definedName>
    <definedName name="CollateralMultiplier">#REF!</definedName>
    <definedName name="CollateralRequired">[2]CollateralMarginCall!$C$13</definedName>
    <definedName name="CollateralRequired2">#REF!</definedName>
    <definedName name="CollateralThreshold">#REF!</definedName>
    <definedName name="CollateralType">#REF!</definedName>
    <definedName name="CompoundCorrel">#REF!</definedName>
    <definedName name="ComputCreditPort">#REF!</definedName>
    <definedName name="ConfidenceAlpha">[2]Portfolio!$J$8</definedName>
    <definedName name="Constaints">#REF!</definedName>
    <definedName name="Constant">[4]CoherentRiskMeasuresExample!$I$7</definedName>
    <definedName name="Constr">#REF!</definedName>
    <definedName name="ConstTerm">[8]MonteCarlo!$F$6</definedName>
    <definedName name="CopulaCorrelation">[2]CDSCntrptyRisk!$C$9</definedName>
    <definedName name="CorP">#REF!</definedName>
    <definedName name="Corr">#REF!</definedName>
    <definedName name="CorrectionTerm">'[2]Impact of PV'!$C$22</definedName>
    <definedName name="CORRECTPASSWORD">#REF!</definedName>
    <definedName name="Correl">#REF!</definedName>
    <definedName name="Correlation">Spreadsheet17.1!$C$14</definedName>
    <definedName name="Correlation_Matrix_11">#REF!</definedName>
    <definedName name="Correlation2">#REF!</definedName>
    <definedName name="CorrelationMatrix">#REF!</definedName>
    <definedName name="CorrelAttach">#REF!</definedName>
    <definedName name="CorrelAttach2">#REF!</definedName>
    <definedName name="CorrelBump">#REF!</definedName>
    <definedName name="CorrelDetach">#REF!</definedName>
    <definedName name="CorrelDetach2">#REF!</definedName>
    <definedName name="CorrelExpColl">#REF!</definedName>
    <definedName name="CorrelLowerTranche">#REF!</definedName>
    <definedName name="CorrelScenario">#REF!</definedName>
    <definedName name="CorrelUpperTranche">#REF!</definedName>
    <definedName name="Countries">#REF!</definedName>
    <definedName name="Country_Key">#REF!</definedName>
    <definedName name="Country_Name">#REF!</definedName>
    <definedName name="Country_Rating">#REF!</definedName>
    <definedName name="Country_Region">#REF!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">#REF!</definedName>
    <definedName name="CovarianceMatrixInverse">[5]MeanVariance!$G$11:$J$14</definedName>
    <definedName name="CPCHOICES">#REF!</definedName>
    <definedName name="cpIndex">#REF!</definedName>
    <definedName name="cRecovery">#REF!</definedName>
    <definedName name="CREDIT_STAMP">"DSPricer"</definedName>
    <definedName name="CreditCurveStart">#REF!</definedName>
    <definedName name="CreditModel">#REF!</definedName>
    <definedName name="CreditModelType">#REF!</definedName>
    <definedName name="CreditTau">#REF!</definedName>
    <definedName name="CreditVol">#REF!</definedName>
    <definedName name="Currency">#REF!</definedName>
    <definedName name="currency_mismatch_penalty">#REF!</definedName>
    <definedName name="CurrentEquity">[3]TradingStrategy!$C$8</definedName>
    <definedName name="CurrentExposure">#REF!</definedName>
    <definedName name="CurrentSpread">[3]TradingStrategy!$C$9</definedName>
    <definedName name="CurrentStock">[3]TreePricer!$C$14</definedName>
    <definedName name="CURVE_INDEX">#REF!</definedName>
    <definedName name="CURVE_LIST">#REF!</definedName>
    <definedName name="DailyVol">#REF!</definedName>
    <definedName name="DailyVol2">#REF!</definedName>
    <definedName name="DailyVolatility">#REF!</definedName>
    <definedName name="DateToday">#REF!</definedName>
    <definedName name="DayCount">'[5]Bond Price with Excel'!#REF!</definedName>
    <definedName name="DaysToLiquidation">#REF!</definedName>
    <definedName name="DealTerm">#REF!</definedName>
    <definedName name="Debt">[9]Merton!$C$17</definedName>
    <definedName name="DebtPerShare">#REF!</definedName>
    <definedName name="DefaultBarrier">#REF!</definedName>
    <definedName name="DefaultLoss">#REF!</definedName>
    <definedName name="DefaultPayoff">'[1]Bond-CDS Basis'!$C$21</definedName>
    <definedName name="DefaultTime">#REF!</definedName>
    <definedName name="DefaultTimes">#REF!</definedName>
    <definedName name="DefComp">#REF!</definedName>
    <definedName name="DefEventLoss">#REF!</definedName>
    <definedName name="DefLegLowerTranche">#REF!</definedName>
    <definedName name="DefLegUpperTranche">#REF!</definedName>
    <definedName name="DefProb">#REF!</definedName>
    <definedName name="DefProb1">#REF!</definedName>
    <definedName name="DefProb2">#REF!</definedName>
    <definedName name="DefProb3">#REF!</definedName>
    <definedName name="DefProb4">#REF!</definedName>
    <definedName name="DefProb5">#REF!</definedName>
    <definedName name="DefProbs">OFFSET(#REF!,0,#REF!,#REF!,1)</definedName>
    <definedName name="DefThreshold">#REF!</definedName>
    <definedName name="DefTimesOut">#REF!</definedName>
    <definedName name="delay">#REF!</definedName>
    <definedName name="deliveredvol">[4]HedgingSimulation!$G$8</definedName>
    <definedName name="Delta">#REF!</definedName>
    <definedName name="DeltaApprox2">#REF!</definedName>
    <definedName name="DeltaBump">#REF!</definedName>
    <definedName name="DeltaShift">#REF!</definedName>
    <definedName name="DeltaStart">#REF!</definedName>
    <definedName name="Detach">[1]CDOPricer!$C$18</definedName>
    <definedName name="Detach2">#REF!</definedName>
    <definedName name="DFSCurve">#REF!</definedName>
    <definedName name="DFSSheets">#REF!</definedName>
    <definedName name="DirtyPrice">'[5]Bond Price with Excel'!$B$25</definedName>
    <definedName name="DividendYield">#REF!</definedName>
    <definedName name="DivYield">#REF!</definedName>
    <definedName name="DL">#REF!</definedName>
    <definedName name="DperS">#REF!</definedName>
    <definedName name="dPV">#REF!</definedName>
    <definedName name="Draws">[4]BinomialVsNormal!$C$7</definedName>
    <definedName name="Drift">#REF!</definedName>
    <definedName name="drift2">[4]HedgingSimulation!$G$7</definedName>
    <definedName name="Dt">[8]MonteCarlo!$F$5</definedName>
    <definedName name="DTDays">#REF!</definedName>
    <definedName name="DTMarketPrem">#REF!</definedName>
    <definedName name="Dump">[2]MonteCarlo!$N$2</definedName>
    <definedName name="Duration">'[5]Bond Price with Excel'!$B$27</definedName>
    <definedName name="DurationIndex">#REF!</definedName>
    <definedName name="Dval">[9]CreditGrades!$C$10</definedName>
    <definedName name="EE" localSheetId="0">Spreadsheet17.1!$B$11</definedName>
    <definedName name="EE">#REF!</definedName>
    <definedName name="EL">#REF!</definedName>
    <definedName name="EL_E2">#REF!</definedName>
    <definedName name="ELBaseTranche1">#REF!</definedName>
    <definedName name="ELBaseTranche2">#REF!</definedName>
    <definedName name="end_date">#REF!</definedName>
    <definedName name="EndDate">#REF!</definedName>
    <definedName name="EPE">[2]EPEAllocation!$C$19</definedName>
    <definedName name="EPEs">[2]Portfolio!$G$8</definedName>
    <definedName name="Equity">[9]Merton!$C$16</definedName>
    <definedName name="EquityPrice">#REF!</definedName>
    <definedName name="EquityVol">#REF!</definedName>
    <definedName name="Error1">#REF!</definedName>
    <definedName name="Errors">[2]CDSStripper!$H$9</definedName>
    <definedName name="EstBeta">#REF!</definedName>
    <definedName name="EURExpLoss">#REF!</definedName>
    <definedName name="EuropeWeight">#REF!</definedName>
    <definedName name="EuropeWeightOveride">#REF!</definedName>
    <definedName name="ExcessReturn">#REF!</definedName>
    <definedName name="ExchangeNotional">#REF!</definedName>
    <definedName name="ExerciseFreq">#REF!</definedName>
    <definedName name="ExerciseOptions">#REF!</definedName>
    <definedName name="ExerciseType">#REF!</definedName>
    <definedName name="ExerFreqChoice">#REF!</definedName>
    <definedName name="ExerTypeIndex">#REF!</definedName>
    <definedName name="Expiry">#REF!</definedName>
    <definedName name="ExpLoss">#REF!</definedName>
    <definedName name="ExpLoss1">#REF!</definedName>
    <definedName name="ExpLoss2">#REF!</definedName>
    <definedName name="Exposure">#REF!</definedName>
    <definedName name="Exposure2">#REF!</definedName>
    <definedName name="ExposurePaths">#REF!</definedName>
    <definedName name="ExposurePaths2">#REF!</definedName>
    <definedName name="Exposures">[2]Portfolio!$E$8</definedName>
    <definedName name="ExposureStart">#REF!</definedName>
    <definedName name="ExposureVol">[2]CollateralMarginCall!$G$6</definedName>
    <definedName name="ExpRetVector">[5]MeanVariance!$D$3:$D$6</definedName>
    <definedName name="external_costs">#REF!</definedName>
    <definedName name="EXTRAINFO">#REF!</definedName>
    <definedName name="FaceValue">[9]Merton!$C$6</definedName>
    <definedName name="FairCDSPrem">[1]SimpleSpreadCDSPricer!$C$12</definedName>
    <definedName name="FairPremium">#REF!</definedName>
    <definedName name="FFChoice">#REF!</definedName>
    <definedName name="FinalIssCurveRange">OFFSET(#REF!,1,0,#REF!,1)</definedName>
    <definedName name="FinalTotIssCurveRange">#REF!</definedName>
    <definedName name="FirmValue">[9]Merton!$C$7</definedName>
    <definedName name="FirstAnalDelta">#REF!</definedName>
    <definedName name="FirstBondMat">#REF!</definedName>
    <definedName name="FirstCalcDelta">#REF!</definedName>
    <definedName name="FirstDefDate">#REF!</definedName>
    <definedName name="FirstDeltaDispl">#REF!</definedName>
    <definedName name="FirstExerciseDate">#REF!</definedName>
    <definedName name="FirstLiborRate1">#REF!</definedName>
    <definedName name="FirstLiborRate2">#REF!</definedName>
    <definedName name="FirstMaturity">#REF!</definedName>
    <definedName name="FirstMaxLoss">#REF!</definedName>
    <definedName name="FirstMinLoss">#REF!</definedName>
    <definedName name="FirstNotional">#REF!</definedName>
    <definedName name="FirstPrem">#REF!</definedName>
    <definedName name="FirstQCDDelta">[11]CDO!#REF!</definedName>
    <definedName name="FirstRho">#REF!</definedName>
    <definedName name="FirstSeed">#REF!</definedName>
    <definedName name="FirstSeeed">#REF!</definedName>
    <definedName name="FirstSwapDate">#REF!</definedName>
    <definedName name="FirstTenor">#REF!</definedName>
    <definedName name="FirstToDefault">#REF!</definedName>
    <definedName name="FitCorrmat">#REF!</definedName>
    <definedName name="Fixed_Rate">#REF!</definedName>
    <definedName name="FixedBasis">#REF!</definedName>
    <definedName name="FixedFreq">#REF!</definedName>
    <definedName name="FixedOrFloat">#REF!</definedName>
    <definedName name="FixedOrNot">#REF!</definedName>
    <definedName name="FlaotRefRateChoiceIndex">#REF!</definedName>
    <definedName name="FloatBasis">#REF!</definedName>
    <definedName name="FloatFreq">#REF!</definedName>
    <definedName name="FloatRate">#REF!</definedName>
    <definedName name="FloatRefRateChoice">#REF!</definedName>
    <definedName name="FloatRefRateChoiceIndex">#REF!</definedName>
    <definedName name="Floor">#REF!</definedName>
    <definedName name="Freq">#REF!</definedName>
    <definedName name="Freq1">#REF!</definedName>
    <definedName name="Freq2">#REF!</definedName>
    <definedName name="FreqChoices">#REF!</definedName>
    <definedName name="FreqIndex">#REF!</definedName>
    <definedName name="FreqTable1">#REF!</definedName>
    <definedName name="FreqTable2">#REF!</definedName>
    <definedName name="FVMDef">#REF!</definedName>
    <definedName name="FVMMarketPrem">#REF!</definedName>
    <definedName name="FVMPrem">#REF!</definedName>
    <definedName name="FVMPV">#REF!</definedName>
    <definedName name="FVMResults">#REF!</definedName>
    <definedName name="Fwd">#REF!</definedName>
    <definedName name="FXVol">#REF!</definedName>
    <definedName name="Gamma">[5]MeanVariance!$O$23</definedName>
    <definedName name="gamma2">[5]MeanVariance!$C$32</definedName>
    <definedName name="GaussC">[1]CDOPricer!$Q$14</definedName>
    <definedName name="GI">#REF!</definedName>
    <definedName name="Global_Local">#REF!</definedName>
    <definedName name="GlobalRec">[1]CDOPricer!$C$11</definedName>
    <definedName name="Gone">#REF!</definedName>
    <definedName name="Greeks">#REF!</definedName>
    <definedName name="GuessYield">[5]YieldExample!$C$3</definedName>
    <definedName name="HazardRae">[12]Survival!#REF!</definedName>
    <definedName name="HazardRage">[12]Survival!#REF!</definedName>
    <definedName name="HazardRate">Spreadsheet17.1!#REF!</definedName>
    <definedName name="HazardRate1">#REF!</definedName>
    <definedName name="HazardRate2">#REF!</definedName>
    <definedName name="HazardRate3">#REF!</definedName>
    <definedName name="HazardRate4">#REF!</definedName>
    <definedName name="HazardRate5">#REF!</definedName>
    <definedName name="HazardRates">[2]CDSStripper!$C$9</definedName>
    <definedName name="HedgeAmount">[3]TradingStrategy!$C$10</definedName>
    <definedName name="HedgingFreq">#REF!</definedName>
    <definedName name="HistHigh">#REF!</definedName>
    <definedName name="HistLow">#REF!</definedName>
    <definedName name="Histogram1Output">#REF!</definedName>
    <definedName name="Histogram2Output">#REF!</definedName>
    <definedName name="HistoricalError">#REF!</definedName>
    <definedName name="HistStart">#REF!</definedName>
    <definedName name="HistWeight">#REF!</definedName>
    <definedName name="HR">[1]CancellableCDS!#REF!</definedName>
    <definedName name="IA">[6]CollateralMarginCall!#REF!</definedName>
    <definedName name="ImpliedVolatility">[4]HedgingSimulation!$C$10</definedName>
    <definedName name="IndependentAmount">[2]CollateralMarginCall!$C$7</definedName>
    <definedName name="IndependentAmount2">[2]CollateralMarginCall!$D$7</definedName>
    <definedName name="Index">#REF!</definedName>
    <definedName name="IndexELEur">#REF!</definedName>
    <definedName name="IndexELUS">#REF!</definedName>
    <definedName name="IndexExpLossEUR">#REF!</definedName>
    <definedName name="IndexExpLossUS">#REF!</definedName>
    <definedName name="IndexLevels">#REF!</definedName>
    <definedName name="IndexPV">#REF!</definedName>
    <definedName name="IndexRiskyLevel">#REF!</definedName>
    <definedName name="IndexStart">#REF!</definedName>
    <definedName name="Industry_Description">#REF!</definedName>
    <definedName name="Industry_Lookup_Table">#REF!</definedName>
    <definedName name="Industry_Number">#REF!</definedName>
    <definedName name="InitialCollateral">#REF!</definedName>
    <definedName name="InitialExposure">#REF!</definedName>
    <definedName name="InitialPV">'[13]Sheet1 (2)'!$D$4</definedName>
    <definedName name="INST_TYPE">#REF!</definedName>
    <definedName name="InstName">#REF!</definedName>
    <definedName name="IntegrationPoints">[1]CDOPricer!$C$15</definedName>
    <definedName name="IntegrationPoints2">#REF!</definedName>
    <definedName name="Intensity">#REF!</definedName>
    <definedName name="IntensityCntrpty">[2]CVA!$D$8</definedName>
    <definedName name="IntensitySystemic">[2]CVA!#REF!</definedName>
    <definedName name="IntensityUs">[2]CVA!#REF!</definedName>
    <definedName name="InterCorrel">[11]CDO!#REF!</definedName>
    <definedName name="Interest_Rate">[1]CDOPricer!$C$14</definedName>
    <definedName name="InterestR">[3]TreePricer!$C$18</definedName>
    <definedName name="InterestRate">'[1]Bond-CDS Basis'!$C$11</definedName>
    <definedName name="InterestRateNow">#REF!</definedName>
    <definedName name="InterpType">[14]BaseCorrelation!$C$16</definedName>
    <definedName name="Interval">#REF!</definedName>
    <definedName name="IntPoints">#REF!</definedName>
    <definedName name="IntRate">#REF!</definedName>
    <definedName name="iNumUnderlyings">#REF!</definedName>
    <definedName name="IR">[4]OptionPricer!$C$9</definedName>
    <definedName name="IRate">[2]CVA!$C$13</definedName>
    <definedName name="IRMC">[8]MonteCarlo!$C$5</definedName>
    <definedName name="IRModel">#REF!</definedName>
    <definedName name="IRModelType">#REF!</definedName>
    <definedName name="IRTau">#REF!</definedName>
    <definedName name="IRVol">#REF!</definedName>
    <definedName name="IssCurveRangeCopy">OFFSET(#REF!,1+#REF!,0,#REF!,1)</definedName>
    <definedName name="ISSUE_DATE">#REF!</definedName>
    <definedName name="ISSUER">#REF!</definedName>
    <definedName name="Issuer_Curve_cell">#REF!</definedName>
    <definedName name="ISSUER_INDEX">#REF!</definedName>
    <definedName name="ISSUER_LIST">#REF!</definedName>
    <definedName name="ISSUER_MAPPINGS">#REF!</definedName>
    <definedName name="IssuerCurves">OFFSET(#REF!,0,0,#REF!,1)</definedName>
    <definedName name="iter">#REF!</definedName>
    <definedName name="JumpFreq">#REF!</definedName>
    <definedName name="JumpSize">#REF!</definedName>
    <definedName name="Knockout">#REF!</definedName>
    <definedName name="Knockout2">#REF!</definedName>
    <definedName name="kurtosis">#REF!</definedName>
    <definedName name="Label">#REF!</definedName>
    <definedName name="Lamba">[9]CreditGrades!$C$8</definedName>
    <definedName name="lambda">#REF!</definedName>
    <definedName name="lamda">#REF!</definedName>
    <definedName name="lamda2">[4]ExponentialDampingEstimate!$C$6</definedName>
    <definedName name="lamda3">[4]ExponentialDampingEstimate!$C$6</definedName>
    <definedName name="LASTCPN_RATE">#REF!</definedName>
    <definedName name="LastExerciseDate">#REF!</definedName>
    <definedName name="Lbar">[9]CreditGrades!$C$7</definedName>
    <definedName name="LengthBCCurve">#REF!</definedName>
    <definedName name="LengthBCEur">#REF!</definedName>
    <definedName name="LengthBCUS">#REF!</definedName>
    <definedName name="Leverage">#REF!</definedName>
    <definedName name="LGD">Spreadsheet17.1!$C$13</definedName>
    <definedName name="LGM_STAMP">"LGM"</definedName>
    <definedName name="LGMChoice">#REF!</definedName>
    <definedName name="LGMopencol">OFFSET([0]!LGMChoice,2,0,[0]!NumLGMChoices,1)</definedName>
    <definedName name="LiborRateChoice">#REF!</definedName>
    <definedName name="LiborRateCol">OFFSET(#REF!,0,0,#REF!,1)</definedName>
    <definedName name="LiborRateCol1">OFFSET(#REF!,0,0,#REF!,1)</definedName>
    <definedName name="littled">[9]CreditGrades!$C$16</definedName>
    <definedName name="LOAD_MKT">#REF!</definedName>
    <definedName name="LookUnderlying">#REF!</definedName>
    <definedName name="LossBins">#REF!</definedName>
    <definedName name="LossGivenDefault">[9]Merton!$C$25</definedName>
    <definedName name="LossonLiquidation">#REF!</definedName>
    <definedName name="Lower">[7]SimpleIntegration!$C$2</definedName>
    <definedName name="LowerBaseTrancheAttach">#REF!</definedName>
    <definedName name="LowerTrancheEURCorrel">#REF!</definedName>
    <definedName name="LowerTrancheUSCorrel">#REF!</definedName>
    <definedName name="LTBorrowings">#REF!</definedName>
    <definedName name="LTMean">#REF!</definedName>
    <definedName name="MAN_IP">#REF!</definedName>
    <definedName name="MAN_MKT">#REF!</definedName>
    <definedName name="ManualMarket">#REF!</definedName>
    <definedName name="Mapset">#REF!</definedName>
    <definedName name="Mapsets_count_cell">#REF!</definedName>
    <definedName name="MargEPE">'[2]Impact of PV'!$C$19</definedName>
    <definedName name="MargEPE1">[2]EPEAllocation!$C$22</definedName>
    <definedName name="MargEPE2">[2]EPEAllocation!$D$22</definedName>
    <definedName name="MargPayoff">[1]CDOPricer!$L$14</definedName>
    <definedName name="Market">#REF!</definedName>
    <definedName name="MarketChoice">#REF!</definedName>
    <definedName name="MarketChoiceCell">#REF!</definedName>
    <definedName name="marketcountcol">#REF!</definedName>
    <definedName name="MarketId">#REF!</definedName>
    <definedName name="MarketPrem">#REF!</definedName>
    <definedName name="MarketSheet">#REF!</definedName>
    <definedName name="Mat">[9]CreditGrades!$C$11</definedName>
    <definedName name="MatDate">#REF!</definedName>
    <definedName name="Maturity">#REF!</definedName>
    <definedName name="Maturity_11">#REF!</definedName>
    <definedName name="maturity_mismatch_penalty">#REF!</definedName>
    <definedName name="Maturity2">#REF!</definedName>
    <definedName name="MaturityDate">'[5]Bond Price with Excel'!$B$16</definedName>
    <definedName name="MaturityMC">[8]MonteCarlo!$C$6</definedName>
    <definedName name="MaxBinLoss">#REF!</definedName>
    <definedName name="MaxDefaults">#REF!</definedName>
    <definedName name="MaxLossStart">#REF!</definedName>
    <definedName name="MCDefLeg">[1]CDOPricer!$C$22</definedName>
    <definedName name="MCorTree">#REF!</definedName>
    <definedName name="MCOutput">[2]MonteCarlo!$J$8</definedName>
    <definedName name="MCPaths">[2]CollateralMarginCall!$G$9</definedName>
    <definedName name="MCPremLeg">[1]CDOPricer!$C$23</definedName>
    <definedName name="MCSims">[2]MonteCarlo!$C$8</definedName>
    <definedName name="Mean">#REF!</definedName>
    <definedName name="Mean1">[7]SimpleCovarianceWithWeights!$C$6</definedName>
    <definedName name="Mean2">[7]SimpleCovarianceWithWeights!$C$7</definedName>
    <definedName name="MeanExposure">[2]Netting!$D$8</definedName>
    <definedName name="MeanReturn">#REF!</definedName>
    <definedName name="MeanRev">#REF!</definedName>
    <definedName name="MertonMaturity">[14]Merton!$C$13</definedName>
    <definedName name="MinAmountInput">#REF!</definedName>
    <definedName name="MinDefaults">#REF!</definedName>
    <definedName name="MinimumTransferAmount">[2]CollateralMarginCall!$C$10</definedName>
    <definedName name="MinimumTransferAmount2">[2]CollateralMarginCall!$D$10</definedName>
    <definedName name="MinLossStart">#REF!</definedName>
    <definedName name="MinorityInterest">#REF!</definedName>
    <definedName name="MKT">#REF!</definedName>
    <definedName name="mktid">#REF!</definedName>
    <definedName name="MktPriceCell">#REF!</definedName>
    <definedName name="MnL">#REF!</definedName>
    <definedName name="ModelChoiceInt">#REF!</definedName>
    <definedName name="ModelNameMod">#REF!</definedName>
    <definedName name="ModifiedDuration">'[5]Bond Price with Excel'!#REF!</definedName>
    <definedName name="MTMVals">[1]ImpliedDefProb!$K$11</definedName>
    <definedName name="Mu" localSheetId="0">Spreadsheet17.1!$C$10</definedName>
    <definedName name="Mu">#REF!</definedName>
    <definedName name="mu1a">[4]TwoAssetsEfficientFrontier!$C$7</definedName>
    <definedName name="mu2a">[4]TwoAssetsEfficientFrontier!$C$8</definedName>
    <definedName name="Mult1">[2]EPEAllocation!$H$7</definedName>
    <definedName name="Mult2">[2]EPEAllocation!$I$7</definedName>
    <definedName name="Multiplier">[4]CoherentRiskMeasuresExample!$I$8</definedName>
    <definedName name="MxL">#REF!</definedName>
    <definedName name="NAME">#REF!</definedName>
    <definedName name="NameInDef">#REF!</definedName>
    <definedName name="NbBond">#REF!</definedName>
    <definedName name="NbParam">#REF!</definedName>
    <definedName name="NbPoints">#REF!</definedName>
    <definedName name="NewEstimate">[2]CDSStripper!$L$10</definedName>
    <definedName name="NextCouponDate">'[5]Bond Price with Excel'!$B$19</definedName>
    <definedName name="non_utilisation_relief">#REF!</definedName>
    <definedName name="Notional">#REF!</definedName>
    <definedName name="Notional_11">#REF!</definedName>
    <definedName name="Notionals">#REF!</definedName>
    <definedName name="NUM_CURVES">#REF!</definedName>
    <definedName name="NUM_ISSUERS">#REF!</definedName>
    <definedName name="NUM_MAPPINGS">#REF!</definedName>
    <definedName name="NUM_QUOTES">#REF!</definedName>
    <definedName name="NumBonds">#REF!</definedName>
    <definedName name="NumCalibInstruments">#REF!</definedName>
    <definedName name="NumCalls">#REF!</definedName>
    <definedName name="NumCoupons">#REF!</definedName>
    <definedName name="NumDeltas">#REF!</definedName>
    <definedName name="NumExercises">#REF!</definedName>
    <definedName name="NumFactors">#REF!</definedName>
    <definedName name="NumFloatCoupons">#REF!</definedName>
    <definedName name="NumInstruments">#REF!</definedName>
    <definedName name="NumLGMChoices">#REF!</definedName>
    <definedName name="NumMarketChoices">#REF!</definedName>
    <definedName name="NumNames">[1]CDOPricer!$C$13</definedName>
    <definedName name="NumNames2">#REF!</definedName>
    <definedName name="NumPremiums">#REF!</definedName>
    <definedName name="NumRatings">#REF!</definedName>
    <definedName name="NumRefRateChoices">#REF!</definedName>
    <definedName name="NumReqTnors">#REF!</definedName>
    <definedName name="NumSims">#REF!</definedName>
    <definedName name="NumSimulations">[1]CDOPricer!$C$19</definedName>
    <definedName name="NumSteps">[3]TreePricer!$C$10</definedName>
    <definedName name="NumTenors">#REF!</definedName>
    <definedName name="NumTranches">#REF!</definedName>
    <definedName name="NumUnderlyings">#REF!</definedName>
    <definedName name="Obligor_Group">#REF!</definedName>
    <definedName name="Obligor_Location">#REF!</definedName>
    <definedName name="Obligor_Name">#REF!</definedName>
    <definedName name="OFFER">#REF!</definedName>
    <definedName name="OptComp">#REF!</definedName>
    <definedName name="OptionData">[3]OptionPriceTree!$A$1</definedName>
    <definedName name="OptionDelta">#REF!</definedName>
    <definedName name="OptionDeltaApprox">#REF!</definedName>
    <definedName name="OptionImpVol">#REF!</definedName>
    <definedName name="OptionIR">#REF!</definedName>
    <definedName name="OptionMaturity">[1]CancellableCDS!$C$12</definedName>
    <definedName name="OptionPayoff">[3]TreePricer!$C$9</definedName>
    <definedName name="OptionPrem">#REF!</definedName>
    <definedName name="OptionPrice">[3]TreePricer!$C$22</definedName>
    <definedName name="OptionPVMC">#REF!</definedName>
    <definedName name="OptionSpot">#REF!</definedName>
    <definedName name="OptionStrike">#REF!</definedName>
    <definedName name="OptionType">#REF!</definedName>
    <definedName name="OptionTypeCell">#REF!</definedName>
    <definedName name="OptionValue">#REF!</definedName>
    <definedName name="Original_Obl_Loc">#REF!</definedName>
    <definedName name="OtherLTLiab">#REF!</definedName>
    <definedName name="OtherSTLIab">#REF!</definedName>
    <definedName name="Output">'[2]Impact of PV'!$B$25</definedName>
    <definedName name="OutputGI">#REF!</definedName>
    <definedName name="OverwriteBaseCorrel">#REF!</definedName>
    <definedName name="Param">[6]MonteCarlo!#REF!</definedName>
    <definedName name="Param1">[6]MonteCarlo!#REF!</definedName>
    <definedName name="Param2">#REF!</definedName>
    <definedName name="PASSWORD">#REF!</definedName>
    <definedName name="PayDateCell">#REF!</definedName>
    <definedName name="Payoff">[1]CDOPricer!$K$14</definedName>
    <definedName name="PayoffRef">#REF!</definedName>
    <definedName name="Payoffs">OFFSET(#REF!,0,0,#REF!,1)</definedName>
    <definedName name="Percentile">[4]CoherentRiskMeasuresExample!$I$9</definedName>
    <definedName name="PercPriceImpact">#REF!</definedName>
    <definedName name="PFE" localSheetId="0">Spreadsheet17.1!$B$12</definedName>
    <definedName name="PFE">#REF!</definedName>
    <definedName name="Points">[7]SimpleIntegration!$C$4</definedName>
    <definedName name="PortExpLoss">#REF!</definedName>
    <definedName name="PortfolioMTM">[2]CollateralMarginCall!$C$6</definedName>
    <definedName name="Positions">#REF!</definedName>
    <definedName name="PostInterval">[2]CollateralMarginCall!$G$7</definedName>
    <definedName name="PreferredEquity">#REF!</definedName>
    <definedName name="Prem1">#REF!</definedName>
    <definedName name="Prem2">#REF!</definedName>
    <definedName name="PremComp">#REF!</definedName>
    <definedName name="Premium">#REF!</definedName>
    <definedName name="PremiumDateCell">#REF!</definedName>
    <definedName name="PremiumModel">#REF!</definedName>
    <definedName name="PremiumPaid">#REF!</definedName>
    <definedName name="PremiumPaid2">#REF!</definedName>
    <definedName name="PremiumStart">#REF!</definedName>
    <definedName name="PremLeg2">#REF!</definedName>
    <definedName name="Price">[5]YieldExample!$C$2</definedName>
    <definedName name="PrincingError">#REF!</definedName>
    <definedName name="Prob">[4]BinomialVsNormal!$C$6</definedName>
    <definedName name="ProductType">#REF!</definedName>
    <definedName name="PVDef">#REF!</definedName>
    <definedName name="PVDef2">#REF!</definedName>
    <definedName name="PVPrem">#REF!</definedName>
    <definedName name="PVPrem2">#REF!</definedName>
    <definedName name="Quantile">#REF!</definedName>
    <definedName name="QuantoMkt">#REF!</definedName>
    <definedName name="RandomNumberRange">#REF!</definedName>
    <definedName name="RandomNumbers">#REF!</definedName>
    <definedName name="RanNums">[15]RandomNumbers!$B$4</definedName>
    <definedName name="RanNums2">[15]RandomNumbers!$H$4</definedName>
    <definedName name="rate">'[16]Class Problems'!$H$39</definedName>
    <definedName name="Rate2">#REF!</definedName>
    <definedName name="Rating">#REF!</definedName>
    <definedName name="Rating_11">#REF!</definedName>
    <definedName name="RatingT1">#REF!</definedName>
    <definedName name="RatingT2">#REF!</definedName>
    <definedName name="RatingT3">#REF!</definedName>
    <definedName name="RatingTable">#REF!</definedName>
    <definedName name="RBasis">#REF!</definedName>
    <definedName name="RBondStrike">#REF!</definedName>
    <definedName name="RCalibWeight">#REF!</definedName>
    <definedName name="Rec">#REF!</definedName>
    <definedName name="RecCntrpty">#REF!</definedName>
    <definedName name="RecInstitution">#REF!</definedName>
    <definedName name="Recovery">[2]CDSCntrptyRisk!$C$10</definedName>
    <definedName name="Recovery_Pricing">#REF!</definedName>
    <definedName name="Recovery_Stripping">#REF!</definedName>
    <definedName name="Recovery2">#REF!</definedName>
    <definedName name="RecoveryPercent">[9]Merton!$C$24</definedName>
    <definedName name="RecoveryR">#REF!</definedName>
    <definedName name="RecoveryRate">[1]BasketMC!$C$11</definedName>
    <definedName name="recovrate">#REF!</definedName>
    <definedName name="RecovRate_11">#REF!</definedName>
    <definedName name="RecPayCell">#REF!</definedName>
    <definedName name="RecRate">[1]SimpleSpreadCDSPricer!$C$14</definedName>
    <definedName name="Redemption">'[5]Bond Price with Excel'!$B$58</definedName>
    <definedName name="ref_currency">#REF!</definedName>
    <definedName name="RefDefProb">[2]CDSCntrptyRisk!$C$13</definedName>
    <definedName name="RefRate">#REF!</definedName>
    <definedName name="RefRateCell">#REF!</definedName>
    <definedName name="RefRateChoiceCell">#REF!</definedName>
    <definedName name="RefRec">#REF!</definedName>
    <definedName name="Region">#REF!</definedName>
    <definedName name="repoCurve">#REF!</definedName>
    <definedName name="ReqCorrMat">#REF!</definedName>
    <definedName name="RescaleEL">#REF!</definedName>
    <definedName name="RescaleRatio">#REF!</definedName>
    <definedName name="Reserve">#REF!</definedName>
    <definedName name="result_11">#REF!</definedName>
    <definedName name="Result1">[2]CVA!$J$6</definedName>
    <definedName name="Result2">[2]CVA!$K$6</definedName>
    <definedName name="Results">#REF!</definedName>
    <definedName name="RetPV">#REF!</definedName>
    <definedName name="RetPV2">#REF!</definedName>
    <definedName name="Return">#REF!</definedName>
    <definedName name="RExerFrontierBounds">OFFSET([0]!ExerRatesBoundsTopCell,0,0,[0]!NumExercises,1)</definedName>
    <definedName name="RFwdVols">OFFSET([0]!FwdVolRangeTopCell,0,0,[0]!NumExercises,[0]!NumExercises)</definedName>
    <definedName name="rho">#REF!</definedName>
    <definedName name="Rhos">#REF!</definedName>
    <definedName name="RhoTerm">#REF!</definedName>
    <definedName name="RISKY_MARKET">#REF!</definedName>
    <definedName name="RiskyAnnuity">[1]SimpleSpreadCDSPricer!$C$19</definedName>
    <definedName name="RiskyInsDef">#REF!</definedName>
    <definedName name="RiskyInsParRate">#REF!</definedName>
    <definedName name="RiskyInsPrem">#REF!</definedName>
    <definedName name="RiskyInsPV">#REF!</definedName>
    <definedName name="RiskyLevel">#REF!</definedName>
    <definedName name="RiskyLevels">#REF!</definedName>
    <definedName name="RiskyMarket">#REF!</definedName>
    <definedName name="RL">#REF!</definedName>
    <definedName name="RLBaseTranche1">#REF!</definedName>
    <definedName name="RLBaseTranche2">#REF!</definedName>
    <definedName name="RLevel">[10]BlackModel!$D$10</definedName>
    <definedName name="RLevel2">#REF!</definedName>
    <definedName name="Rounding">[2]CollateralMarginCall!$C$11</definedName>
    <definedName name="Rounding2">#REF!</definedName>
    <definedName name="sA">[5]MeanVariance!$O$17</definedName>
    <definedName name="sB">[5]MeanVariance!$O$18</definedName>
    <definedName name="sC">[5]MeanVariance!$O$19</definedName>
    <definedName name="ScenarioOutput">#REF!</definedName>
    <definedName name="Scenarios">#REF!</definedName>
    <definedName name="sD">[5]MeanVariance!$O$20</definedName>
    <definedName name="secondcurrency">#REF!</definedName>
    <definedName name="Seed">[2]MonteCarlo!$C$9</definedName>
    <definedName name="Seed2">[2]CollateralMarginCall!$G$8</definedName>
    <definedName name="SET_DATE">#REF!</definedName>
    <definedName name="SettleDate">'[5]Bond Price with Excel'!$B$14</definedName>
    <definedName name="SharesOutstanding">#REF!</definedName>
    <definedName name="ShiftAmount">#REF!</definedName>
    <definedName name="ShowPath">#REF!</definedName>
    <definedName name="ShowPaths">[3]TreePricer!$C$11</definedName>
    <definedName name="Sigma" localSheetId="0">Spreadsheet17.1!$C$11</definedName>
    <definedName name="Sigma">#REF!</definedName>
    <definedName name="sigma1">#REF!</definedName>
    <definedName name="sigma2">#REF!</definedName>
    <definedName name="Sigma3">#REF!</definedName>
    <definedName name="SigmaVector">[5]MeanVariance!$E$3:$E$6</definedName>
    <definedName name="SigmaVolume">#REF!</definedName>
    <definedName name="SimCount">[1]CDOPricer!$K$11</definedName>
    <definedName name="Sims">[8]MonteCarlo!$F$4</definedName>
    <definedName name="SimulationResults">[3]HedgingSimulation!$R$4</definedName>
    <definedName name="Simulations">#REF!</definedName>
    <definedName name="SizeCouponSchedule">#REF!</definedName>
    <definedName name="SOURCE">#REF!</definedName>
    <definedName name="SourceCell">#REF!</definedName>
    <definedName name="SplinePointsa">#REF!</definedName>
    <definedName name="Spot">#REF!</definedName>
    <definedName name="SprdInstitution">#REF!</definedName>
    <definedName name="Spread">Spreadsheet17.1!$C$12</definedName>
    <definedName name="SpreadAgent">[6]CVA!#REF!</definedName>
    <definedName name="SpreadCntrpty">[2]CVA!#REF!</definedName>
    <definedName name="SpreadLowerTranche">#REF!</definedName>
    <definedName name="SpreadMulti">#REF!</definedName>
    <definedName name="SpreadRef">[2]CDSCntrptyRisk!$C$7</definedName>
    <definedName name="SpreadScenario">#REF!</definedName>
    <definedName name="SpreadSys">[6]CVA!#REF!</definedName>
    <definedName name="SpreadUpperTranche">#REF!</definedName>
    <definedName name="SQrtTerm">#REF!</definedName>
    <definedName name="Sstar">[9]CreditGrades!$C$6</definedName>
    <definedName name="start_date">#REF!</definedName>
    <definedName name="StartCopyCell">#REF!</definedName>
    <definedName name="StartCouponSchedule">#REF!</definedName>
    <definedName name="Starting_Point">#REF!</definedName>
    <definedName name="STBorrowings">#REF!</definedName>
    <definedName name="StdDev">#REF!</definedName>
    <definedName name="StdDevExposure">[2]Netting!$D$9</definedName>
    <definedName name="StdExposures">[2]Portfolio!$F$8</definedName>
    <definedName name="Steps">[8]MonteCarlo!$F$3</definedName>
    <definedName name="StepSize">#REF!</definedName>
    <definedName name="StepsPerHedge">#REF!</definedName>
    <definedName name="Stock">[4]OptionPricer!$C$7</definedName>
    <definedName name="StockData">[3]UnderlyingValueTree!$A$1</definedName>
    <definedName name="StockPrice">#REF!</definedName>
    <definedName name="StockVol">[3]CreditGrades!$C$9</definedName>
    <definedName name="Strike">#REF!</definedName>
    <definedName name="StrikeMC">[8]MonteCarlo!$C$4</definedName>
    <definedName name="SttDev">#REF!</definedName>
    <definedName name="Study_Period">#REF!</definedName>
    <definedName name="SurvProb">[17]BlackModel!#REF!</definedName>
    <definedName name="SVol">[9]CreditGrades!$C$9</definedName>
    <definedName name="SwapChoices">#REF!</definedName>
    <definedName name="SwapChoices3">#REF!</definedName>
    <definedName name="SwapPayments">#REF!</definedName>
    <definedName name="SwapType">#REF!</definedName>
    <definedName name="TargetReturn">[5]MeanVariance!$J$18</definedName>
    <definedName name="TargetSpread">#REF!</definedName>
    <definedName name="TargSpread">#REF!</definedName>
    <definedName name="Tau">#REF!</definedName>
    <definedName name="TENOR">#REF!</definedName>
    <definedName name="Tenors">#REF!</definedName>
    <definedName name="TenorToShift">#REF!</definedName>
    <definedName name="TenYearFactor">#REF!</definedName>
    <definedName name="term">#REF!</definedName>
    <definedName name="ThisDefLeg">[1]CDOPricer!$G$11</definedName>
    <definedName name="ThisMaturity">#REF!</definedName>
    <definedName name="ThisPremLeg">[1]CDOPricer!$G$12</definedName>
    <definedName name="Threshold">#REF!</definedName>
    <definedName name="Threshold1">#REF!</definedName>
    <definedName name="Threshold2">[2]CollateralMarginCall!$D$8</definedName>
    <definedName name="Threshold3">#REF!</definedName>
    <definedName name="Threshold4">#REF!</definedName>
    <definedName name="Threshold5">#REF!</definedName>
    <definedName name="ThresholdInput">#REF!</definedName>
    <definedName name="Thresholds">[2]Portfolio!$D$8</definedName>
    <definedName name="Ticker">#REF!</definedName>
    <definedName name="tier_one_ratio">#REF!</definedName>
    <definedName name="Time">#REF!</definedName>
    <definedName name="Time2">#REF!</definedName>
    <definedName name="TimeHorizon">#REF!</definedName>
    <definedName name="TimeIntPoints">#REF!</definedName>
    <definedName name="timestep">[4]HedgingSimulation!$G$9</definedName>
    <definedName name="tmat">#REF!</definedName>
    <definedName name="tmat2">#REF!</definedName>
    <definedName name="tmat3">#REF!</definedName>
    <definedName name="tmat4">#REF!</definedName>
    <definedName name="TMTopLeft">#REF!</definedName>
    <definedName name="TODAY">#REF!</definedName>
    <definedName name="Total_Facilities">#REF!</definedName>
    <definedName name="TotalCommonEquity">#REF!</definedName>
    <definedName name="TotalExposure">[2]CollateralMarginCall!$C$12</definedName>
    <definedName name="TotalMargEPE">[2]EPEAllocation!$C$23</definedName>
    <definedName name="TotalNot">#REF!</definedName>
    <definedName name="TotalPnL">[3]HedgingSimulation!$L$10</definedName>
    <definedName name="TotalPV">#REF!</definedName>
    <definedName name="TotalRequiredCollateralisation2">#REF!</definedName>
    <definedName name="TotalRequiredCollaterlisation">#REF!</definedName>
    <definedName name="TotIssCurveRange">#REF!</definedName>
    <definedName name="TotZeroCurveRange">#REF!</definedName>
    <definedName name="TrancheDefLeg">#REF!</definedName>
    <definedName name="TrancheEL">#REF!</definedName>
    <definedName name="TrancheNot">#REF!</definedName>
    <definedName name="TrancheNotional">#REF!</definedName>
    <definedName name="TranchePremiums">#REF!</definedName>
    <definedName name="TranchePremLeg">#REF!</definedName>
    <definedName name="TrancheRL">#REF!</definedName>
    <definedName name="transaction_notional_Amont">#REF!</definedName>
    <definedName name="Transition_Matrix">#REF!</definedName>
    <definedName name="TreeStep">#REF!</definedName>
    <definedName name="type">#REF!</definedName>
    <definedName name="typeasset">#REF!</definedName>
    <definedName name="TypeChoices">#REF!</definedName>
    <definedName name="typeIndex">#REF!</definedName>
    <definedName name="Typeofswap">#REF!</definedName>
    <definedName name="U1CMT">#REF!</definedName>
    <definedName name="Uncertainty_of_Barrier">#REF!</definedName>
    <definedName name="UnitVector">[5]MeanVariance!$L$3:$L$6</definedName>
    <definedName name="Unwind">#REF!</definedName>
    <definedName name="UnwindCost">#REF!</definedName>
    <definedName name="Upper">[7]SimpleIntegration!$C$3</definedName>
    <definedName name="UpperBaseTrancheAttach">#REF!</definedName>
    <definedName name="UpperTrancheEURCorrel">#REF!</definedName>
    <definedName name="UpperTrancheUSCorrel">#REF!</definedName>
    <definedName name="UseApprox">[1]ImpliedDefProb!$C$14</definedName>
    <definedName name="UseCouponSchedule">#REF!</definedName>
    <definedName name="UseMigrationLoss">#REF!</definedName>
    <definedName name="USExpLoss">#REF!</definedName>
    <definedName name="Val1A">[6]CVA!#REF!</definedName>
    <definedName name="Val2A">[2]CVA!$I$4</definedName>
    <definedName name="Val3A">[2]CVA!$I$5</definedName>
    <definedName name="ValueDate">#REF!</definedName>
    <definedName name="VaR">#REF!</definedName>
    <definedName name="Variables">#REF!</definedName>
    <definedName name="Variance">#REF!</definedName>
    <definedName name="VarianceBarrier">#REF!</definedName>
    <definedName name="vnot">'[16]Class Problems'!$G$39</definedName>
    <definedName name="Vol">#REF!</definedName>
    <definedName name="Volatilities">#REF!</definedName>
    <definedName name="Volatility">#REF!</definedName>
    <definedName name="VolatilityOfPosition">#REF!</definedName>
    <definedName name="VolCollateral">#REF!</definedName>
    <definedName name="volCurve">#REF!</definedName>
    <definedName name="volCurve2">#REF!</definedName>
    <definedName name="VolExposure">#REF!</definedName>
    <definedName name="VolMC">[8]MonteCarlo!$C$7</definedName>
    <definedName name="VolSqrtDt">[8]MonteCarlo!$F$7</definedName>
    <definedName name="Volume">#REF!</definedName>
    <definedName name="VolumeToLiquidate">#REF!</definedName>
    <definedName name="WADP">#REF!</definedName>
    <definedName name="WeBuyFrom">#REF!</definedName>
    <definedName name="WeightEUR">#REF!</definedName>
    <definedName name="Weights">#REF!</definedName>
    <definedName name="WeightVector">[5]MeanVariance!$C$3:$C$6</definedName>
    <definedName name="WeightVector1">[5]MeanVariance!$G$18:$G$21</definedName>
    <definedName name="WeightVector2">[5]MeanVariance!$K$18:$K$21</definedName>
    <definedName name="WestMarket">#REF!</definedName>
    <definedName name="Workbook">#REF!</definedName>
    <definedName name="Worksheet_List">#REF!</definedName>
    <definedName name="X2OverS">[4]OptionPricer!$C$21</definedName>
    <definedName name="xx">#REF!</definedName>
    <definedName name="YearToMaturity">'[5]Bond Price with Excel'!$B$18</definedName>
    <definedName name="Yield">'[5]Bond Price with Excel'!$B$13</definedName>
    <definedName name="YieldCurveId">#REF!</definedName>
    <definedName name="YieldCurveName">#REF!</definedName>
    <definedName name="zeroCurve">#REF!</definedName>
    <definedName name="ZeroCurveRange">OFFSET(#REF!,1,0,#REF!,1)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I68" i="4" l="1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1" i="4"/>
  <c r="I12" i="4"/>
  <c r="J68" i="4" l="1"/>
  <c r="G68" i="4"/>
  <c r="K68" i="4" s="1"/>
  <c r="F68" i="4"/>
  <c r="J67" i="4"/>
  <c r="G67" i="4"/>
  <c r="K67" i="4" s="1"/>
  <c r="F67" i="4"/>
  <c r="J66" i="4"/>
  <c r="G66" i="4"/>
  <c r="K66" i="4" s="1"/>
  <c r="F66" i="4"/>
  <c r="J65" i="4"/>
  <c r="G65" i="4"/>
  <c r="K65" i="4" s="1"/>
  <c r="F65" i="4"/>
  <c r="J64" i="4"/>
  <c r="G64" i="4"/>
  <c r="K64" i="4" s="1"/>
  <c r="F64" i="4"/>
  <c r="J63" i="4"/>
  <c r="G63" i="4"/>
  <c r="K63" i="4" s="1"/>
  <c r="F63" i="4"/>
  <c r="J62" i="4"/>
  <c r="G62" i="4"/>
  <c r="K62" i="4" s="1"/>
  <c r="F62" i="4"/>
  <c r="J61" i="4"/>
  <c r="G61" i="4"/>
  <c r="K61" i="4" s="1"/>
  <c r="F61" i="4"/>
  <c r="J13" i="4"/>
  <c r="F12" i="4"/>
  <c r="G12" i="4"/>
  <c r="K12" i="4" s="1"/>
  <c r="J12" i="4"/>
  <c r="F11" i="4"/>
  <c r="G11" i="4"/>
  <c r="K11" i="4" s="1"/>
  <c r="J11" i="4"/>
  <c r="F13" i="4"/>
  <c r="G13" i="4"/>
  <c r="J14" i="4"/>
  <c r="G14" i="4"/>
  <c r="F14" i="4"/>
  <c r="F15" i="4"/>
  <c r="J15" i="4"/>
  <c r="G15" i="4"/>
  <c r="K15" i="4" s="1"/>
  <c r="G16" i="4"/>
  <c r="K16" i="4" s="1"/>
  <c r="J16" i="4"/>
  <c r="F16" i="4"/>
  <c r="J17" i="4"/>
  <c r="G17" i="4"/>
  <c r="K17" i="4" s="1"/>
  <c r="F17" i="4"/>
  <c r="J18" i="4"/>
  <c r="G18" i="4"/>
  <c r="K18" i="4" s="1"/>
  <c r="F18" i="4"/>
  <c r="F19" i="4"/>
  <c r="J19" i="4"/>
  <c r="G19" i="4"/>
  <c r="K19" i="4" s="1"/>
  <c r="G20" i="4"/>
  <c r="K20" i="4" s="1"/>
  <c r="J20" i="4"/>
  <c r="F20" i="4"/>
  <c r="J21" i="4"/>
  <c r="G21" i="4"/>
  <c r="K21" i="4" s="1"/>
  <c r="F21" i="4"/>
  <c r="J22" i="4"/>
  <c r="G22" i="4"/>
  <c r="K22" i="4" s="1"/>
  <c r="F22" i="4"/>
  <c r="F23" i="4"/>
  <c r="G23" i="4"/>
  <c r="K23" i="4" s="1"/>
  <c r="J23" i="4"/>
  <c r="G24" i="4"/>
  <c r="K24" i="4" s="1"/>
  <c r="F24" i="4"/>
  <c r="J24" i="4"/>
  <c r="J25" i="4"/>
  <c r="G25" i="4"/>
  <c r="K25" i="4" s="1"/>
  <c r="F25" i="4"/>
  <c r="J26" i="4"/>
  <c r="G26" i="4"/>
  <c r="K26" i="4" s="1"/>
  <c r="F26" i="4"/>
  <c r="F27" i="4"/>
  <c r="J27" i="4"/>
  <c r="G27" i="4"/>
  <c r="K27" i="4" s="1"/>
  <c r="G28" i="4"/>
  <c r="K28" i="4" s="1"/>
  <c r="J28" i="4"/>
  <c r="F28" i="4"/>
  <c r="J29" i="4"/>
  <c r="G29" i="4"/>
  <c r="K29" i="4" s="1"/>
  <c r="F29" i="4"/>
  <c r="F30" i="4"/>
  <c r="J30" i="4"/>
  <c r="G30" i="4"/>
  <c r="K30" i="4" s="1"/>
  <c r="F31" i="4"/>
  <c r="J31" i="4"/>
  <c r="G31" i="4"/>
  <c r="K31" i="4" s="1"/>
  <c r="G32" i="4"/>
  <c r="K32" i="4" s="1"/>
  <c r="J32" i="4"/>
  <c r="F32" i="4"/>
  <c r="J33" i="4"/>
  <c r="G33" i="4"/>
  <c r="K33" i="4" s="1"/>
  <c r="F33" i="4"/>
  <c r="J34" i="4"/>
  <c r="G34" i="4"/>
  <c r="K34" i="4" s="1"/>
  <c r="F34" i="4"/>
  <c r="F35" i="4"/>
  <c r="G35" i="4"/>
  <c r="K35" i="4" s="1"/>
  <c r="J35" i="4"/>
  <c r="G36" i="4"/>
  <c r="K36" i="4" s="1"/>
  <c r="F36" i="4"/>
  <c r="J36" i="4"/>
  <c r="J37" i="4"/>
  <c r="G37" i="4"/>
  <c r="K37" i="4" s="1"/>
  <c r="F37" i="4"/>
  <c r="F38" i="4"/>
  <c r="J38" i="4"/>
  <c r="G38" i="4"/>
  <c r="K38" i="4" s="1"/>
  <c r="F39" i="4"/>
  <c r="J39" i="4"/>
  <c r="G39" i="4"/>
  <c r="K39" i="4" s="1"/>
  <c r="G40" i="4"/>
  <c r="K40" i="4" s="1"/>
  <c r="J40" i="4"/>
  <c r="F40" i="4"/>
  <c r="J41" i="4"/>
  <c r="G41" i="4"/>
  <c r="K41" i="4" s="1"/>
  <c r="F41" i="4"/>
  <c r="J42" i="4"/>
  <c r="G42" i="4"/>
  <c r="F42" i="4"/>
  <c r="F43" i="4"/>
  <c r="G43" i="4"/>
  <c r="K43" i="4" s="1"/>
  <c r="J43" i="4"/>
  <c r="G44" i="4"/>
  <c r="K44" i="4" s="1"/>
  <c r="F44" i="4"/>
  <c r="J44" i="4"/>
  <c r="J45" i="4"/>
  <c r="G45" i="4"/>
  <c r="K45" i="4" s="1"/>
  <c r="F45" i="4"/>
  <c r="G46" i="4"/>
  <c r="F46" i="4"/>
  <c r="J46" i="4"/>
  <c r="F47" i="4"/>
  <c r="J47" i="4"/>
  <c r="G47" i="4"/>
  <c r="K47" i="4" s="1"/>
  <c r="G48" i="4"/>
  <c r="K48" i="4" s="1"/>
  <c r="J48" i="4"/>
  <c r="F48" i="4"/>
  <c r="J49" i="4"/>
  <c r="G49" i="4"/>
  <c r="K49" i="4" s="1"/>
  <c r="F49" i="4"/>
  <c r="F50" i="4"/>
  <c r="J50" i="4"/>
  <c r="G50" i="4"/>
  <c r="F51" i="4"/>
  <c r="G51" i="4"/>
  <c r="K51" i="4" s="1"/>
  <c r="J51" i="4"/>
  <c r="G52" i="4"/>
  <c r="K52" i="4" s="1"/>
  <c r="F52" i="4"/>
  <c r="J52" i="4"/>
  <c r="J53" i="4"/>
  <c r="G53" i="4"/>
  <c r="K53" i="4" s="1"/>
  <c r="F53" i="4"/>
  <c r="F54" i="4"/>
  <c r="J54" i="4"/>
  <c r="G54" i="4"/>
  <c r="K54" i="4" s="1"/>
  <c r="F55" i="4"/>
  <c r="G55" i="4"/>
  <c r="J55" i="4"/>
  <c r="G56" i="4"/>
  <c r="K56" i="4" s="1"/>
  <c r="F56" i="4"/>
  <c r="J56" i="4"/>
  <c r="J57" i="4"/>
  <c r="G57" i="4"/>
  <c r="K57" i="4" s="1"/>
  <c r="F57" i="4"/>
  <c r="F58" i="4"/>
  <c r="J58" i="4"/>
  <c r="G58" i="4"/>
  <c r="K58" i="4" s="1"/>
  <c r="F59" i="4"/>
  <c r="J59" i="4"/>
  <c r="G59" i="4"/>
  <c r="K59" i="4" s="1"/>
  <c r="G60" i="4"/>
  <c r="K60" i="4" s="1"/>
  <c r="J60" i="4"/>
  <c r="F60" i="4"/>
  <c r="H41" i="4" l="1"/>
  <c r="L41" i="4"/>
  <c r="L23" i="4"/>
  <c r="M23" i="4" s="1"/>
  <c r="H31" i="4"/>
  <c r="H47" i="4"/>
  <c r="H42" i="4"/>
  <c r="H40" i="4"/>
  <c r="H11" i="4"/>
  <c r="L40" i="4"/>
  <c r="M40" i="4" s="1"/>
  <c r="H28" i="4"/>
  <c r="H20" i="4"/>
  <c r="H16" i="4"/>
  <c r="H65" i="4"/>
  <c r="L52" i="4"/>
  <c r="H51" i="4"/>
  <c r="H12" i="4"/>
  <c r="H64" i="4"/>
  <c r="M52" i="4"/>
  <c r="L22" i="4"/>
  <c r="M22" i="4" s="1"/>
  <c r="H62" i="4"/>
  <c r="H54" i="4"/>
  <c r="L50" i="4"/>
  <c r="L47" i="4"/>
  <c r="M47" i="4" s="1"/>
  <c r="H22" i="4"/>
  <c r="H18" i="4"/>
  <c r="L65" i="4"/>
  <c r="M65" i="4" s="1"/>
  <c r="L68" i="4"/>
  <c r="M68" i="4" s="1"/>
  <c r="L18" i="4"/>
  <c r="M18" i="4" s="1"/>
  <c r="L15" i="4"/>
  <c r="M15" i="4" s="1"/>
  <c r="L62" i="4"/>
  <c r="M62" i="4" s="1"/>
  <c r="L58" i="4"/>
  <c r="M58" i="4" s="1"/>
  <c r="H27" i="4"/>
  <c r="H24" i="4"/>
  <c r="H23" i="4"/>
  <c r="L20" i="4"/>
  <c r="M20" i="4" s="1"/>
  <c r="H19" i="4"/>
  <c r="L16" i="4"/>
  <c r="M16" i="4" s="1"/>
  <c r="H15" i="4"/>
  <c r="L17" i="4"/>
  <c r="M17" i="4" s="1"/>
  <c r="H17" i="4"/>
  <c r="H33" i="4"/>
  <c r="H52" i="4"/>
  <c r="H49" i="4"/>
  <c r="L37" i="4"/>
  <c r="M37" i="4" s="1"/>
  <c r="H13" i="4"/>
  <c r="L19" i="4"/>
  <c r="M19" i="4" s="1"/>
  <c r="H38" i="4"/>
  <c r="H32" i="4"/>
  <c r="L25" i="4"/>
  <c r="M25" i="4" s="1"/>
  <c r="L61" i="4"/>
  <c r="M61" i="4" s="1"/>
  <c r="H60" i="4"/>
  <c r="L51" i="4"/>
  <c r="M51" i="4" s="1"/>
  <c r="L49" i="4"/>
  <c r="M49" i="4" s="1"/>
  <c r="H46" i="4"/>
  <c r="H39" i="4"/>
  <c r="H37" i="4"/>
  <c r="L32" i="4"/>
  <c r="M32" i="4" s="1"/>
  <c r="L24" i="4"/>
  <c r="M24" i="4" s="1"/>
  <c r="H63" i="4"/>
  <c r="H58" i="4"/>
  <c r="L29" i="4"/>
  <c r="M29" i="4" s="1"/>
  <c r="H59" i="4"/>
  <c r="L60" i="4"/>
  <c r="M60" i="4" s="1"/>
  <c r="L59" i="4"/>
  <c r="M59" i="4" s="1"/>
  <c r="H55" i="4"/>
  <c r="H44" i="4"/>
  <c r="H36" i="4"/>
  <c r="L36" i="4"/>
  <c r="M36" i="4" s="1"/>
  <c r="L30" i="4"/>
  <c r="M30" i="4" s="1"/>
  <c r="L27" i="4"/>
  <c r="M27" i="4" s="1"/>
  <c r="L63" i="4"/>
  <c r="M63" i="4" s="1"/>
  <c r="L66" i="4"/>
  <c r="M66" i="4" s="1"/>
  <c r="L67" i="4"/>
  <c r="M67" i="4" s="1"/>
  <c r="L39" i="4"/>
  <c r="M39" i="4" s="1"/>
  <c r="H30" i="4"/>
  <c r="L28" i="4"/>
  <c r="M28" i="4" s="1"/>
  <c r="H25" i="4"/>
  <c r="L11" i="4"/>
  <c r="M11" i="4" s="1"/>
  <c r="L64" i="4"/>
  <c r="M64" i="4" s="1"/>
  <c r="H61" i="4"/>
  <c r="H53" i="4"/>
  <c r="H29" i="4"/>
  <c r="H14" i="4"/>
  <c r="L12" i="4"/>
  <c r="M12" i="4" s="1"/>
  <c r="H45" i="4"/>
  <c r="K13" i="4"/>
  <c r="L13" i="4"/>
  <c r="L57" i="4"/>
  <c r="M57" i="4" s="1"/>
  <c r="H57" i="4"/>
  <c r="L43" i="4"/>
  <c r="M43" i="4" s="1"/>
  <c r="H43" i="4"/>
  <c r="H56" i="4"/>
  <c r="L56" i="4"/>
  <c r="M56" i="4" s="1"/>
  <c r="L33" i="4"/>
  <c r="M33" i="4" s="1"/>
  <c r="L21" i="4"/>
  <c r="M21" i="4" s="1"/>
  <c r="H21" i="4"/>
  <c r="K14" i="4"/>
  <c r="L14" i="4"/>
  <c r="H26" i="4"/>
  <c r="L26" i="4"/>
  <c r="M26" i="4" s="1"/>
  <c r="K50" i="4"/>
  <c r="M50" i="4" s="1"/>
  <c r="H50" i="4"/>
  <c r="H35" i="4"/>
  <c r="L31" i="4"/>
  <c r="M31" i="4" s="1"/>
  <c r="M41" i="4"/>
  <c r="L53" i="4"/>
  <c r="M53" i="4" s="1"/>
  <c r="H48" i="4"/>
  <c r="L48" i="4"/>
  <c r="M48" i="4" s="1"/>
  <c r="K46" i="4"/>
  <c r="L46" i="4"/>
  <c r="K42" i="4"/>
  <c r="L42" i="4"/>
  <c r="L35" i="4"/>
  <c r="M35" i="4" s="1"/>
  <c r="H34" i="4"/>
  <c r="L34" i="4"/>
  <c r="M34" i="4" s="1"/>
  <c r="L54" i="4"/>
  <c r="M54" i="4" s="1"/>
  <c r="L45" i="4"/>
  <c r="M45" i="4" s="1"/>
  <c r="L38" i="4"/>
  <c r="M38" i="4" s="1"/>
  <c r="H66" i="4"/>
  <c r="L55" i="4"/>
  <c r="L44" i="4"/>
  <c r="M44" i="4" s="1"/>
  <c r="H68" i="4"/>
  <c r="K55" i="4"/>
  <c r="H67" i="4"/>
  <c r="M42" i="4" l="1"/>
  <c r="M46" i="4"/>
  <c r="M14" i="4"/>
  <c r="M55" i="4"/>
  <c r="M13" i="4"/>
</calcChain>
</file>

<file path=xl/sharedStrings.xml><?xml version="1.0" encoding="utf-8"?>
<sst xmlns="http://schemas.openxmlformats.org/spreadsheetml/2006/main" count="14" uniqueCount="14">
  <si>
    <t>Parameters</t>
  </si>
  <si>
    <t>Correlation</t>
  </si>
  <si>
    <t xml:space="preserve">Mu </t>
  </si>
  <si>
    <t>Sigma</t>
  </si>
  <si>
    <t>Mu(t)</t>
  </si>
  <si>
    <t>Sigma(t)</t>
  </si>
  <si>
    <t>s'(t)</t>
  </si>
  <si>
    <t>Sigma'(t)</t>
  </si>
  <si>
    <t>Mu'(t)</t>
  </si>
  <si>
    <t>survival</t>
  </si>
  <si>
    <t>Wrong-way EE</t>
  </si>
  <si>
    <t>Normal EE</t>
  </si>
  <si>
    <t>Spread</t>
  </si>
  <si>
    <t>LGD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</si>
</sst>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%"/>
    <numFmt numFmtId="171" formatCode="0.0000"/>
    <numFmt numFmtId="172" formatCode="0.0"/>
    <numFmt numFmtId="173" formatCode="0.000"/>
  </numFmts>
  <fonts count="27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b/>
      <sz val="10"/>
      <color rgb="FF00B05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</cellStyleXfs>
  <cellXfs count="40">
    <xf numFmtId="0" fontId="0" fillId="0" borderId="0" xfId="0"/>
    <xf numFmtId="0" fontId="1" fillId="27" borderId="0" xfId="45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10" fontId="0" fillId="0" borderId="19" xfId="48" applyNumberFormat="1" applyFont="1" applyBorder="1"/>
    <xf numFmtId="10" fontId="0" fillId="0" borderId="20" xfId="48" applyNumberFormat="1" applyFont="1" applyBorder="1"/>
    <xf numFmtId="173" fontId="0" fillId="0" borderId="0" xfId="0" applyNumberFormat="1" applyBorder="1"/>
    <xf numFmtId="173" fontId="0" fillId="0" borderId="24" xfId="0" applyNumberFormat="1" applyBorder="1"/>
    <xf numFmtId="173" fontId="0" fillId="0" borderId="25" xfId="0" applyNumberFormat="1" applyBorder="1"/>
    <xf numFmtId="173" fontId="0" fillId="0" borderId="26" xfId="0" applyNumberFormat="1" applyBorder="1"/>
    <xf numFmtId="10" fontId="0" fillId="0" borderId="0" xfId="48" applyNumberFormat="1" applyFont="1" applyBorder="1"/>
    <xf numFmtId="172" fontId="0" fillId="0" borderId="0" xfId="0" applyNumberFormat="1" applyBorder="1"/>
    <xf numFmtId="170" fontId="0" fillId="0" borderId="0" xfId="0" applyNumberFormat="1" applyBorder="1"/>
    <xf numFmtId="171" fontId="0" fillId="0" borderId="0" xfId="0" applyNumberFormat="1" applyBorder="1"/>
    <xf numFmtId="11" fontId="0" fillId="0" borderId="0" xfId="0" applyNumberFormat="1" applyBorder="1"/>
    <xf numFmtId="11" fontId="0" fillId="0" borderId="24" xfId="0" applyNumberFormat="1" applyBorder="1"/>
    <xf numFmtId="0" fontId="0" fillId="0" borderId="27" xfId="0" applyBorder="1"/>
    <xf numFmtId="0" fontId="0" fillId="0" borderId="28" xfId="0" applyBorder="1"/>
    <xf numFmtId="171" fontId="0" fillId="0" borderId="25" xfId="0" applyNumberFormat="1" applyBorder="1"/>
    <xf numFmtId="171" fontId="0" fillId="0" borderId="26" xfId="0" applyNumberFormat="1" applyBorder="1"/>
    <xf numFmtId="11" fontId="0" fillId="0" borderId="25" xfId="0" applyNumberFormat="1" applyBorder="1"/>
    <xf numFmtId="11" fontId="0" fillId="0" borderId="26" xfId="0" applyNumberFormat="1" applyBorder="1"/>
    <xf numFmtId="10" fontId="0" fillId="0" borderId="25" xfId="48" applyNumberFormat="1" applyFont="1" applyBorder="1"/>
    <xf numFmtId="10" fontId="0" fillId="0" borderId="26" xfId="48" applyNumberFormat="1" applyFont="1" applyBorder="1"/>
    <xf numFmtId="10" fontId="0" fillId="0" borderId="24" xfId="48" applyNumberFormat="1" applyFont="1" applyBorder="1"/>
    <xf numFmtId="9" fontId="26" fillId="0" borderId="21" xfId="0" applyNumberFormat="1" applyFont="1" applyBorder="1" applyProtection="1">
      <protection locked="0"/>
    </xf>
    <xf numFmtId="9" fontId="26" fillId="0" borderId="22" xfId="0" applyNumberFormat="1" applyFont="1" applyBorder="1" applyProtection="1">
      <protection locked="0"/>
    </xf>
    <xf numFmtId="9" fontId="26" fillId="0" borderId="23" xfId="0" applyNumberFormat="1" applyFont="1" applyBorder="1" applyProtection="1">
      <protection locked="0"/>
    </xf>
    <xf numFmtId="9" fontId="26" fillId="0" borderId="22" xfId="0" applyNumberFormat="1" applyFont="1" applyBorder="1"/>
    <xf numFmtId="0" fontId="26" fillId="0" borderId="22" xfId="0" applyFont="1" applyBorder="1"/>
    <xf numFmtId="0" fontId="1" fillId="0" borderId="15" xfId="0" applyFont="1" applyBorder="1"/>
    <xf numFmtId="0" fontId="1" fillId="0" borderId="15" xfId="0" applyFont="1" applyFill="1" applyBorder="1"/>
    <xf numFmtId="0" fontId="25" fillId="0" borderId="1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2" fontId="0" fillId="0" borderId="15" xfId="0" applyNumberFormat="1" applyBorder="1"/>
    <xf numFmtId="2" fontId="0" fillId="0" borderId="16" xfId="0" applyNumberFormat="1" applyBorder="1"/>
  </cellXfs>
  <cellStyles count="5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Data" xfId="28"/>
    <cellStyle name="DataInput" xfId="29"/>
    <cellStyle name="Explanatory Text" xfId="30" builtinId="53" customBuiltin="1"/>
    <cellStyle name="Good" xfId="31" builtinId="26" customBuiltin="1"/>
    <cellStyle name="Header" xfId="32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Milliers [0]_rating factor" xfId="39"/>
    <cellStyle name="Milliers_rating factor" xfId="40"/>
    <cellStyle name="Monétaire [0]_rating factor" xfId="41"/>
    <cellStyle name="Monétaire_rating factor" xfId="42"/>
    <cellStyle name="Month" xfId="43"/>
    <cellStyle name="Neutral" xfId="44" builtinId="28" customBuiltin="1"/>
    <cellStyle name="Normal" xfId="0" builtinId="0"/>
    <cellStyle name="Normal_LFS_CollateralandCntrptyRisk" xfId="45"/>
    <cellStyle name="Note" xfId="46" builtinId="10" customBuiltin="1"/>
    <cellStyle name="Output" xfId="47" builtinId="21" customBuiltin="1"/>
    <cellStyle name="Percent" xfId="48" builtinId="5"/>
    <cellStyle name="PricingProducts" xfId="49"/>
    <cellStyle name="Style 1" xfId="50"/>
    <cellStyle name="TIMES" xfId="51"/>
    <cellStyle name="Title" xfId="52" builtinId="15" customBuiltin="1"/>
    <cellStyle name="Total" xfId="53" builtinId="25" customBuiltin="1"/>
    <cellStyle name="Warning Text" xfId="54" builtinId="11" customBuiltin="1"/>
    <cellStyle name="WASP_PLStyle" xfId="55"/>
    <cellStyle name="Year" xfId="5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3" Type="http://schemas.openxmlformats.org/officeDocument/2006/relationships/externalLink" Target="externalLinks/externalLink2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10" Type="http://schemas.openxmlformats.org/officeDocument/2006/relationships/externalLink" Target="externalLinks/externalLink9.xml"/><Relationship Id="rId19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Spreadsheet17.1!$H$10</c:f>
              <c:strCache>
                <c:ptCount val="1"/>
                <c:pt idx="0">
                  <c:v>Normal EE</c:v>
                </c:pt>
              </c:strCache>
            </c:strRef>
          </c:tx>
          <c:marker>
            <c:symbol val="none"/>
          </c:marker>
          <c:xVal>
            <c:numRef>
              <c:f>Spreadsheet17.1!$E$11:$E$68</c:f>
              <c:numCache>
                <c:formatCode>0.0</c:formatCode>
                <c:ptCount val="58"/>
                <c:pt idx="0">
                  <c:v>9.9999999999999995E-8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0.5</c:v>
                </c:pt>
                <c:pt idx="10">
                  <c:v>0.6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1.4</c:v>
                </c:pt>
                <c:pt idx="15">
                  <c:v>1.6</c:v>
                </c:pt>
                <c:pt idx="16">
                  <c:v>1.8</c:v>
                </c:pt>
                <c:pt idx="17">
                  <c:v>2</c:v>
                </c:pt>
                <c:pt idx="18">
                  <c:v>2.2000000000000002</c:v>
                </c:pt>
                <c:pt idx="19">
                  <c:v>2.4</c:v>
                </c:pt>
                <c:pt idx="20">
                  <c:v>2.6</c:v>
                </c:pt>
                <c:pt idx="21">
                  <c:v>2.8</c:v>
                </c:pt>
                <c:pt idx="22">
                  <c:v>3</c:v>
                </c:pt>
                <c:pt idx="23">
                  <c:v>3.2</c:v>
                </c:pt>
                <c:pt idx="24">
                  <c:v>3.4</c:v>
                </c:pt>
                <c:pt idx="25">
                  <c:v>3.6</c:v>
                </c:pt>
                <c:pt idx="26">
                  <c:v>3.8</c:v>
                </c:pt>
                <c:pt idx="27">
                  <c:v>4</c:v>
                </c:pt>
                <c:pt idx="28">
                  <c:v>4.2</c:v>
                </c:pt>
                <c:pt idx="29">
                  <c:v>4.4000000000000004</c:v>
                </c:pt>
                <c:pt idx="30">
                  <c:v>4.5999999999999996</c:v>
                </c:pt>
                <c:pt idx="31">
                  <c:v>4.8</c:v>
                </c:pt>
                <c:pt idx="32">
                  <c:v>5</c:v>
                </c:pt>
                <c:pt idx="33">
                  <c:v>5.2</c:v>
                </c:pt>
                <c:pt idx="34">
                  <c:v>5.4</c:v>
                </c:pt>
                <c:pt idx="35">
                  <c:v>5.6</c:v>
                </c:pt>
                <c:pt idx="36">
                  <c:v>5.8</c:v>
                </c:pt>
                <c:pt idx="37">
                  <c:v>6</c:v>
                </c:pt>
                <c:pt idx="38">
                  <c:v>6.2</c:v>
                </c:pt>
                <c:pt idx="39">
                  <c:v>6.4</c:v>
                </c:pt>
                <c:pt idx="40">
                  <c:v>6.6</c:v>
                </c:pt>
                <c:pt idx="41">
                  <c:v>6.8</c:v>
                </c:pt>
                <c:pt idx="42">
                  <c:v>7</c:v>
                </c:pt>
                <c:pt idx="43">
                  <c:v>7.2</c:v>
                </c:pt>
                <c:pt idx="44">
                  <c:v>7.4</c:v>
                </c:pt>
                <c:pt idx="45">
                  <c:v>7.6</c:v>
                </c:pt>
                <c:pt idx="46">
                  <c:v>7.8</c:v>
                </c:pt>
                <c:pt idx="47">
                  <c:v>8</c:v>
                </c:pt>
                <c:pt idx="48">
                  <c:v>8.1999999999999993</c:v>
                </c:pt>
                <c:pt idx="49">
                  <c:v>8.4</c:v>
                </c:pt>
                <c:pt idx="50">
                  <c:v>8.6</c:v>
                </c:pt>
                <c:pt idx="51">
                  <c:v>8.8000000000000007</c:v>
                </c:pt>
                <c:pt idx="52">
                  <c:v>9</c:v>
                </c:pt>
                <c:pt idx="53">
                  <c:v>9.1999999999999993</c:v>
                </c:pt>
                <c:pt idx="54">
                  <c:v>9.4</c:v>
                </c:pt>
                <c:pt idx="55">
                  <c:v>9.6</c:v>
                </c:pt>
                <c:pt idx="56">
                  <c:v>9.8000000000000007</c:v>
                </c:pt>
                <c:pt idx="57">
                  <c:v>10</c:v>
                </c:pt>
              </c:numCache>
            </c:numRef>
          </c:xVal>
          <c:yVal>
            <c:numRef>
              <c:f>Spreadsheet17.1!$H$11:$H$68</c:f>
              <c:numCache>
                <c:formatCode>0.00%</c:formatCode>
                <c:ptCount val="58"/>
                <c:pt idx="0">
                  <c:v>1.2615662610100801E-5</c:v>
                </c:pt>
                <c:pt idx="1">
                  <c:v>8.920620580763856E-3</c:v>
                </c:pt>
                <c:pt idx="2">
                  <c:v>1.2615662610100803E-2</c:v>
                </c:pt>
                <c:pt idx="3">
                  <c:v>1.5450968080927587E-2</c:v>
                </c:pt>
                <c:pt idx="4">
                  <c:v>1.7841241161527712E-2</c:v>
                </c:pt>
                <c:pt idx="5">
                  <c:v>1.9947114020071637E-2</c:v>
                </c:pt>
                <c:pt idx="6">
                  <c:v>2.1850968611841583E-2</c:v>
                </c:pt>
                <c:pt idx="7">
                  <c:v>2.3601743597065742E-2</c:v>
                </c:pt>
                <c:pt idx="8">
                  <c:v>2.5231325220201606E-2</c:v>
                </c:pt>
                <c:pt idx="9">
                  <c:v>2.8209479177387822E-2</c:v>
                </c:pt>
                <c:pt idx="10">
                  <c:v>3.0901936161855173E-2</c:v>
                </c:pt>
                <c:pt idx="11">
                  <c:v>3.5682482323055424E-2</c:v>
                </c:pt>
                <c:pt idx="12">
                  <c:v>3.9894228040143274E-2</c:v>
                </c:pt>
                <c:pt idx="13">
                  <c:v>4.3701937223683165E-2</c:v>
                </c:pt>
                <c:pt idx="14">
                  <c:v>4.7203487194131484E-2</c:v>
                </c:pt>
                <c:pt idx="15">
                  <c:v>5.0462650440403212E-2</c:v>
                </c:pt>
                <c:pt idx="16">
                  <c:v>5.352372348458314E-2</c:v>
                </c:pt>
                <c:pt idx="17">
                  <c:v>5.6418958354775645E-2</c:v>
                </c:pt>
                <c:pt idx="18">
                  <c:v>5.9172702727031991E-2</c:v>
                </c:pt>
                <c:pt idx="19">
                  <c:v>6.1803872323710346E-2</c:v>
                </c:pt>
                <c:pt idx="20">
                  <c:v>6.4327509825806886E-2</c:v>
                </c:pt>
                <c:pt idx="21">
                  <c:v>6.6755811781245469E-2</c:v>
                </c:pt>
                <c:pt idx="22">
                  <c:v>6.9098829894267105E-2</c:v>
                </c:pt>
                <c:pt idx="23">
                  <c:v>7.1364964646110848E-2</c:v>
                </c:pt>
                <c:pt idx="24">
                  <c:v>7.3561321801096285E-2</c:v>
                </c:pt>
                <c:pt idx="25">
                  <c:v>7.5693975660604818E-2</c:v>
                </c:pt>
                <c:pt idx="26">
                  <c:v>7.7768167250437517E-2</c:v>
                </c:pt>
                <c:pt idx="27">
                  <c:v>7.9788456080286549E-2</c:v>
                </c:pt>
                <c:pt idx="28">
                  <c:v>8.1758838114662613E-2</c:v>
                </c:pt>
                <c:pt idx="29">
                  <c:v>8.3682838718840066E-2</c:v>
                </c:pt>
                <c:pt idx="30">
                  <c:v>8.556358677747905E-2</c:v>
                </c:pt>
                <c:pt idx="31">
                  <c:v>8.7403874447366331E-2</c:v>
                </c:pt>
                <c:pt idx="32">
                  <c:v>8.9206205807638564E-2</c:v>
                </c:pt>
                <c:pt idx="33">
                  <c:v>9.0972836829344608E-2</c:v>
                </c:pt>
                <c:pt idx="34">
                  <c:v>9.2705808485565505E-2</c:v>
                </c:pt>
                <c:pt idx="35">
                  <c:v>9.4406974388262968E-2</c:v>
                </c:pt>
                <c:pt idx="36">
                  <c:v>9.6078024018658573E-2</c:v>
                </c:pt>
                <c:pt idx="37">
                  <c:v>9.7720502380583982E-2</c:v>
                </c:pt>
                <c:pt idx="38">
                  <c:v>9.9335826727810106E-2</c:v>
                </c:pt>
                <c:pt idx="39">
                  <c:v>0.10092530088080642</c:v>
                </c:pt>
                <c:pt idx="40">
                  <c:v>0.10249012754438885</c:v>
                </c:pt>
                <c:pt idx="41">
                  <c:v>0.104031418957202</c:v>
                </c:pt>
                <c:pt idx="42">
                  <c:v>0.10555020614111882</c:v>
                </c:pt>
                <c:pt idx="43">
                  <c:v>0.10704744696916628</c:v>
                </c:pt>
                <c:pt idx="44">
                  <c:v>0.10852403323135507</c:v>
                </c:pt>
                <c:pt idx="45">
                  <c:v>0.10998079684646792</c:v>
                </c:pt>
                <c:pt idx="46">
                  <c:v>0.11141851534268368</c:v>
                </c:pt>
                <c:pt idx="47">
                  <c:v>0.11283791670955129</c:v>
                </c:pt>
                <c:pt idx="48">
                  <c:v>0.11423968370726269</c:v>
                </c:pt>
                <c:pt idx="49">
                  <c:v>0.11562445770562219</c:v>
                </c:pt>
                <c:pt idx="50">
                  <c:v>0.11699284211396441</c:v>
                </c:pt>
                <c:pt idx="51">
                  <c:v>0.11834540545406398</c:v>
                </c:pt>
                <c:pt idx="52">
                  <c:v>0.11968268412042983</c:v>
                </c:pt>
                <c:pt idx="53">
                  <c:v>0.12100518486599809</c:v>
                </c:pt>
                <c:pt idx="54">
                  <c:v>0.12231338704589194</c:v>
                </c:pt>
                <c:pt idx="55">
                  <c:v>0.12360774464742069</c:v>
                </c:pt>
                <c:pt idx="56">
                  <c:v>0.12488868813069399</c:v>
                </c:pt>
                <c:pt idx="57">
                  <c:v>0.12615662610100803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Spreadsheet17.1!$M$10</c:f>
              <c:strCache>
                <c:ptCount val="1"/>
                <c:pt idx="0">
                  <c:v>Wrong-way EE</c:v>
                </c:pt>
              </c:strCache>
            </c:strRef>
          </c:tx>
          <c:marker>
            <c:symbol val="none"/>
          </c:marker>
          <c:xVal>
            <c:numRef>
              <c:f>Spreadsheet17.1!$E$11:$E$68</c:f>
              <c:numCache>
                <c:formatCode>0.0</c:formatCode>
                <c:ptCount val="58"/>
                <c:pt idx="0">
                  <c:v>9.9999999999999995E-8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0.5</c:v>
                </c:pt>
                <c:pt idx="10">
                  <c:v>0.6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1.4</c:v>
                </c:pt>
                <c:pt idx="15">
                  <c:v>1.6</c:v>
                </c:pt>
                <c:pt idx="16">
                  <c:v>1.8</c:v>
                </c:pt>
                <c:pt idx="17">
                  <c:v>2</c:v>
                </c:pt>
                <c:pt idx="18">
                  <c:v>2.2000000000000002</c:v>
                </c:pt>
                <c:pt idx="19">
                  <c:v>2.4</c:v>
                </c:pt>
                <c:pt idx="20">
                  <c:v>2.6</c:v>
                </c:pt>
                <c:pt idx="21">
                  <c:v>2.8</c:v>
                </c:pt>
                <c:pt idx="22">
                  <c:v>3</c:v>
                </c:pt>
                <c:pt idx="23">
                  <c:v>3.2</c:v>
                </c:pt>
                <c:pt idx="24">
                  <c:v>3.4</c:v>
                </c:pt>
                <c:pt idx="25">
                  <c:v>3.6</c:v>
                </c:pt>
                <c:pt idx="26">
                  <c:v>3.8</c:v>
                </c:pt>
                <c:pt idx="27">
                  <c:v>4</c:v>
                </c:pt>
                <c:pt idx="28">
                  <c:v>4.2</c:v>
                </c:pt>
                <c:pt idx="29">
                  <c:v>4.4000000000000004</c:v>
                </c:pt>
                <c:pt idx="30">
                  <c:v>4.5999999999999996</c:v>
                </c:pt>
                <c:pt idx="31">
                  <c:v>4.8</c:v>
                </c:pt>
                <c:pt idx="32">
                  <c:v>5</c:v>
                </c:pt>
                <c:pt idx="33">
                  <c:v>5.2</c:v>
                </c:pt>
                <c:pt idx="34">
                  <c:v>5.4</c:v>
                </c:pt>
                <c:pt idx="35">
                  <c:v>5.6</c:v>
                </c:pt>
                <c:pt idx="36">
                  <c:v>5.8</c:v>
                </c:pt>
                <c:pt idx="37">
                  <c:v>6</c:v>
                </c:pt>
                <c:pt idx="38">
                  <c:v>6.2</c:v>
                </c:pt>
                <c:pt idx="39">
                  <c:v>6.4</c:v>
                </c:pt>
                <c:pt idx="40">
                  <c:v>6.6</c:v>
                </c:pt>
                <c:pt idx="41">
                  <c:v>6.8</c:v>
                </c:pt>
                <c:pt idx="42">
                  <c:v>7</c:v>
                </c:pt>
                <c:pt idx="43">
                  <c:v>7.2</c:v>
                </c:pt>
                <c:pt idx="44">
                  <c:v>7.4</c:v>
                </c:pt>
                <c:pt idx="45">
                  <c:v>7.6</c:v>
                </c:pt>
                <c:pt idx="46">
                  <c:v>7.8</c:v>
                </c:pt>
                <c:pt idx="47">
                  <c:v>8</c:v>
                </c:pt>
                <c:pt idx="48">
                  <c:v>8.1999999999999993</c:v>
                </c:pt>
                <c:pt idx="49">
                  <c:v>8.4</c:v>
                </c:pt>
                <c:pt idx="50">
                  <c:v>8.6</c:v>
                </c:pt>
                <c:pt idx="51">
                  <c:v>8.8000000000000007</c:v>
                </c:pt>
                <c:pt idx="52">
                  <c:v>9</c:v>
                </c:pt>
                <c:pt idx="53">
                  <c:v>9.1999999999999993</c:v>
                </c:pt>
                <c:pt idx="54">
                  <c:v>9.4</c:v>
                </c:pt>
                <c:pt idx="55">
                  <c:v>9.6</c:v>
                </c:pt>
                <c:pt idx="56">
                  <c:v>9.8000000000000007</c:v>
                </c:pt>
                <c:pt idx="57">
                  <c:v>10</c:v>
                </c:pt>
              </c:numCache>
            </c:numRef>
          </c:xVal>
          <c:yVal>
            <c:numRef>
              <c:f>Spreadsheet17.1!$M$11:$M$68</c:f>
              <c:numCache>
                <c:formatCode>0.00%</c:formatCode>
                <c:ptCount val="58"/>
                <c:pt idx="0">
                  <c:v>9.3515196914531815E-5</c:v>
                </c:pt>
                <c:pt idx="1">
                  <c:v>3.5418143384872272E-2</c:v>
                </c:pt>
                <c:pt idx="2">
                  <c:v>4.6920894714965515E-2</c:v>
                </c:pt>
                <c:pt idx="3">
                  <c:v>5.5107764309742714E-2</c:v>
                </c:pt>
                <c:pt idx="4">
                  <c:v>6.1651286396035267E-2</c:v>
                </c:pt>
                <c:pt idx="5">
                  <c:v>6.717636125304613E-2</c:v>
                </c:pt>
                <c:pt idx="6">
                  <c:v>7.19953883929038E-2</c:v>
                </c:pt>
                <c:pt idx="7">
                  <c:v>7.6290206775738945E-2</c:v>
                </c:pt>
                <c:pt idx="8">
                  <c:v>8.0177281907081607E-2</c:v>
                </c:pt>
                <c:pt idx="9">
                  <c:v>8.7024573686969253E-2</c:v>
                </c:pt>
                <c:pt idx="10">
                  <c:v>9.2949751545537598E-2</c:v>
                </c:pt>
                <c:pt idx="11">
                  <c:v>0.1029053245019929</c:v>
                </c:pt>
                <c:pt idx="12">
                  <c:v>0.11113130894272015</c:v>
                </c:pt>
                <c:pt idx="13">
                  <c:v>0.11816759318543202</c:v>
                </c:pt>
                <c:pt idx="14">
                  <c:v>0.12432666260154597</c:v>
                </c:pt>
                <c:pt idx="15">
                  <c:v>0.12980767800856935</c:v>
                </c:pt>
                <c:pt idx="16">
                  <c:v>0.13474633244135162</c:v>
                </c:pt>
                <c:pt idx="17">
                  <c:v>0.13923973277573617</c:v>
                </c:pt>
                <c:pt idx="18">
                  <c:v>0.14336004710713243</c:v>
                </c:pt>
                <c:pt idx="19">
                  <c:v>0.14716254157167274</c:v>
                </c:pt>
                <c:pt idx="20">
                  <c:v>0.15069058377313649</c:v>
                </c:pt>
                <c:pt idx="21">
                  <c:v>0.15397890039961287</c:v>
                </c:pt>
                <c:pt idx="22">
                  <c:v>0.15705577788901731</c:v>
                </c:pt>
                <c:pt idx="23">
                  <c:v>0.15994459580008225</c:v>
                </c:pt>
                <c:pt idx="24">
                  <c:v>0.16266492375110347</c:v>
                </c:pt>
                <c:pt idx="25">
                  <c:v>0.16523332417184511</c:v>
                </c:pt>
                <c:pt idx="26">
                  <c:v>0.16766395150731458</c:v>
                </c:pt>
                <c:pt idx="27">
                  <c:v>0.16996900733652082</c:v>
                </c:pt>
                <c:pt idx="28">
                  <c:v>0.17215909142590241</c:v>
                </c:pt>
                <c:pt idx="29">
                  <c:v>0.17424347626627662</c:v>
                </c:pt>
                <c:pt idx="30">
                  <c:v>0.17623032444251224</c:v>
                </c:pt>
                <c:pt idx="31">
                  <c:v>0.17812686267313663</c:v>
                </c:pt>
                <c:pt idx="32">
                  <c:v>0.17993952257737494</c:v>
                </c:pt>
                <c:pt idx="33">
                  <c:v>0.18167405558831434</c:v>
                </c:pt>
                <c:pt idx="34">
                  <c:v>0.18333562755832694</c:v>
                </c:pt>
                <c:pt idx="35">
                  <c:v>0.18492889725415051</c:v>
                </c:pt>
                <c:pt idx="36">
                  <c:v>0.18645808195428404</c:v>
                </c:pt>
                <c:pt idx="37">
                  <c:v>0.18792701263328856</c:v>
                </c:pt>
                <c:pt idx="38">
                  <c:v>0.18933918067305755</c:v>
                </c:pt>
                <c:pt idx="39">
                  <c:v>0.19069777762946405</c:v>
                </c:pt>
                <c:pt idx="40">
                  <c:v>0.19200572926850995</c:v>
                </c:pt>
                <c:pt idx="41">
                  <c:v>0.19326572484389715</c:v>
                </c:pt>
                <c:pt idx="42">
                  <c:v>0.19448024239970002</c:v>
                </c:pt>
                <c:pt idx="43">
                  <c:v>0.19565157073431311</c:v>
                </c:pt>
                <c:pt idx="44">
                  <c:v>0.19678182854539136</c:v>
                </c:pt>
                <c:pt idx="45">
                  <c:v>0.19787298118290597</c:v>
                </c:pt>
                <c:pt idx="46">
                  <c:v>0.19892685536331667</c:v>
                </c:pt>
                <c:pt idx="47">
                  <c:v>0.19994515213815561</c:v>
                </c:pt>
                <c:pt idx="48">
                  <c:v>0.20092945836193371</c:v>
                </c:pt>
                <c:pt idx="49">
                  <c:v>0.20188125686485811</c:v>
                </c:pt>
                <c:pt idx="50">
                  <c:v>0.2028019355035407</c:v>
                </c:pt>
                <c:pt idx="51">
                  <c:v>0.20369279523628547</c:v>
                </c:pt>
                <c:pt idx="52">
                  <c:v>0.20455505734752982</c:v>
                </c:pt>
                <c:pt idx="53">
                  <c:v>0.20538986992772718</c:v>
                </c:pt>
                <c:pt idx="54">
                  <c:v>0.2061983136996825</c:v>
                </c:pt>
                <c:pt idx="55">
                  <c:v>0.20698140726955216</c:v>
                </c:pt>
                <c:pt idx="56">
                  <c:v>0.20774011186994695</c:v>
                </c:pt>
                <c:pt idx="57">
                  <c:v>0.20847533565346685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577792"/>
        <c:axId val="355576224"/>
      </c:scatterChart>
      <c:valAx>
        <c:axId val="3555777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55576224"/>
        <c:crosses val="autoZero"/>
        <c:crossBetween val="midCat"/>
      </c:valAx>
      <c:valAx>
        <c:axId val="3555762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Expected Exposure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557779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9</xdr:col>
      <xdr:colOff>190499</xdr:colOff>
      <xdr:row>7</xdr:row>
      <xdr:rowOff>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0" y="9525"/>
          <a:ext cx="612457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Simple Wrong-Way Risk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calculation of expected exposure in the presence of wrong-way risk as discussed in appendix 17A. </a:t>
          </a:r>
        </a:p>
      </xdr:txBody>
    </xdr:sp>
    <xdr:clientData/>
  </xdr:twoCellAnchor>
  <xdr:twoCellAnchor>
    <xdr:from>
      <xdr:col>9</xdr:col>
      <xdr:colOff>276225</xdr:colOff>
      <xdr:row>2</xdr:row>
      <xdr:rowOff>76200</xdr:rowOff>
    </xdr:from>
    <xdr:to>
      <xdr:col>12</xdr:col>
      <xdr:colOff>685800</xdr:colOff>
      <xdr:row>5</xdr:row>
      <xdr:rowOff>28575</xdr:rowOff>
    </xdr:to>
    <xdr:sp macro="" textlink="">
      <xdr:nvSpPr>
        <xdr:cNvPr id="2050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6210300" y="400050"/>
          <a:ext cx="2238375" cy="438150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13</xdr:col>
      <xdr:colOff>297180</xdr:colOff>
      <xdr:row>9</xdr:row>
      <xdr:rowOff>167640</xdr:rowOff>
    </xdr:from>
    <xdr:to>
      <xdr:col>21</xdr:col>
      <xdr:colOff>89535</xdr:colOff>
      <xdr:row>26</xdr:row>
      <xdr:rowOff>140970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LFSModernCreditDerivs/LFS_MCD_Delegat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QTinRM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StructuringandPricingCreditDerivs/CreditDerivsExamplesNew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con422PresentValueProblem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SimpleSpreadCDSPricer"/>
      <sheetName val="Bond-CDS Basis"/>
      <sheetName val="IndexBasis"/>
      <sheetName val="CancellableCDS"/>
      <sheetName val="CMDS"/>
      <sheetName val="BasketPricer"/>
      <sheetName val="BasketMC"/>
      <sheetName val="HistoricalDefProbs"/>
      <sheetName val="ImpliedDefProb"/>
      <sheetName val="CDOPricer"/>
      <sheetName val="BaseCorrelation"/>
      <sheetName val="Bespoke"/>
      <sheetName val="CDSCntrptyRisk"/>
    </sheetNames>
    <sheetDataSet>
      <sheetData sheetId="0"/>
      <sheetData sheetId="1">
        <row r="11">
          <cell r="C11">
            <v>100</v>
          </cell>
        </row>
        <row r="12">
          <cell r="C12">
            <v>250</v>
          </cell>
        </row>
        <row r="14">
          <cell r="C14">
            <v>0.4</v>
          </cell>
        </row>
        <row r="15">
          <cell r="C15">
            <v>5</v>
          </cell>
        </row>
        <row r="19">
          <cell r="C19">
            <v>4.0108727761500029</v>
          </cell>
        </row>
      </sheetData>
      <sheetData sheetId="2">
        <row r="9">
          <cell r="Q9">
            <v>5</v>
          </cell>
        </row>
        <row r="11">
          <cell r="C11">
            <v>0.05</v>
          </cell>
        </row>
        <row r="13">
          <cell r="C13">
            <v>7.0000000000000007E-2</v>
          </cell>
        </row>
        <row r="14">
          <cell r="C14">
            <v>0.4</v>
          </cell>
        </row>
        <row r="19">
          <cell r="C19">
            <v>4.3972560614593412</v>
          </cell>
        </row>
        <row r="21">
          <cell r="C21">
            <v>0.30227097813081494</v>
          </cell>
        </row>
      </sheetData>
      <sheetData sheetId="3"/>
      <sheetData sheetId="4">
        <row r="12">
          <cell r="C12">
            <v>2</v>
          </cell>
        </row>
        <row r="17">
          <cell r="F17">
            <v>0</v>
          </cell>
        </row>
        <row r="18">
          <cell r="F18">
            <v>354.94586357346907</v>
          </cell>
        </row>
        <row r="22">
          <cell r="F22" t="e">
            <v>#NUM!</v>
          </cell>
        </row>
      </sheetData>
      <sheetData sheetId="5">
        <row r="12">
          <cell r="C12">
            <v>5</v>
          </cell>
        </row>
        <row r="15">
          <cell r="B15" t="str">
            <v>CDS Curve</v>
          </cell>
        </row>
        <row r="16">
          <cell r="B16">
            <v>0</v>
          </cell>
        </row>
        <row r="17">
          <cell r="B17">
            <v>1</v>
          </cell>
        </row>
        <row r="18">
          <cell r="B18">
            <v>2</v>
          </cell>
        </row>
        <row r="19">
          <cell r="B19">
            <v>3</v>
          </cell>
        </row>
        <row r="20">
          <cell r="B20">
            <v>4</v>
          </cell>
        </row>
        <row r="21">
          <cell r="B21">
            <v>5</v>
          </cell>
        </row>
        <row r="22">
          <cell r="B22">
            <v>6</v>
          </cell>
        </row>
        <row r="23">
          <cell r="B23">
            <v>7</v>
          </cell>
        </row>
        <row r="24">
          <cell r="B24">
            <v>8</v>
          </cell>
        </row>
        <row r="25">
          <cell r="B25">
            <v>9</v>
          </cell>
        </row>
        <row r="26">
          <cell r="B26">
            <v>10</v>
          </cell>
        </row>
      </sheetData>
      <sheetData sheetId="6">
        <row r="14">
          <cell r="C14">
            <v>5</v>
          </cell>
        </row>
        <row r="15">
          <cell r="C15">
            <v>0</v>
          </cell>
        </row>
      </sheetData>
      <sheetData sheetId="7">
        <row r="11">
          <cell r="C11">
            <v>0.4</v>
          </cell>
        </row>
      </sheetData>
      <sheetData sheetId="8"/>
      <sheetData sheetId="9">
        <row r="11">
          <cell r="K11" t="str">
            <v>MTM</v>
          </cell>
        </row>
        <row r="14">
          <cell r="C14" t="b">
            <v>0</v>
          </cell>
        </row>
      </sheetData>
      <sheetData sheetId="10">
        <row r="11">
          <cell r="C11">
            <v>0.4</v>
          </cell>
          <cell r="G11" t="e">
            <v>#VALUE!</v>
          </cell>
        </row>
        <row r="12">
          <cell r="C12">
            <v>5</v>
          </cell>
          <cell r="G12" t="e">
            <v>#VALUE!</v>
          </cell>
        </row>
        <row r="13">
          <cell r="C13">
            <v>100</v>
          </cell>
        </row>
        <row r="14">
          <cell r="C14">
            <v>0.05</v>
          </cell>
          <cell r="K14" t="str">
            <v>Payoff</v>
          </cell>
          <cell r="L14" t="str">
            <v>Marg Payoff</v>
          </cell>
          <cell r="Q14">
            <v>0.30042217834319868</v>
          </cell>
        </row>
        <row r="15">
          <cell r="C15">
            <v>50</v>
          </cell>
          <cell r="Q15" t="e">
            <v>#NUM!</v>
          </cell>
        </row>
        <row r="16">
          <cell r="Q16">
            <v>1.004987562112089</v>
          </cell>
        </row>
        <row r="17">
          <cell r="C17">
            <v>0.04</v>
          </cell>
        </row>
        <row r="18">
          <cell r="C18">
            <v>0.08</v>
          </cell>
        </row>
        <row r="19">
          <cell r="C19">
            <v>1000</v>
          </cell>
        </row>
      </sheetData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1">
          <cell r="C11">
            <v>-50000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0">
          <cell r="C10">
            <v>0.4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1">
          <cell r="C11">
            <v>5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Z105"/>
  <sheetViews>
    <sheetView showGridLines="0" tabSelected="1" workbookViewId="0">
      <pane ySplit="7" topLeftCell="A8" activePane="bottomLeft" state="frozen"/>
      <selection pane="bottomLeft" activeCell="A19" sqref="A19"/>
    </sheetView>
  </sheetViews>
  <sheetFormatPr defaultRowHeight="13.2" x14ac:dyDescent="0.25"/>
  <cols>
    <col min="2" max="2" width="11.33203125" customWidth="1"/>
    <col min="3" max="3" width="10.109375" customWidth="1"/>
    <col min="4" max="4" width="11.109375" bestFit="1" customWidth="1"/>
    <col min="5" max="5" width="9.88671875" customWidth="1"/>
    <col min="6" max="6" width="6.5546875" bestFit="1" customWidth="1"/>
    <col min="8" max="8" width="12.44140625" bestFit="1" customWidth="1"/>
    <col min="9" max="9" width="9.33203125" bestFit="1" customWidth="1"/>
    <col min="13" max="13" width="13.5546875" bestFit="1" customWidth="1"/>
  </cols>
  <sheetData>
    <row r="1" spans="2:2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26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26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2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2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2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26" ht="13.8" thickBot="1" x14ac:dyDescent="0.3"/>
    <row r="9" spans="2:26" ht="13.8" thickBot="1" x14ac:dyDescent="0.3">
      <c r="B9" s="36" t="s">
        <v>0</v>
      </c>
      <c r="C9" s="37"/>
    </row>
    <row r="10" spans="2:26" ht="13.8" thickBot="1" x14ac:dyDescent="0.3">
      <c r="B10" s="2" t="s">
        <v>2</v>
      </c>
      <c r="C10" s="29">
        <v>0</v>
      </c>
      <c r="D10" s="5"/>
      <c r="E10" s="6"/>
      <c r="F10" s="7" t="s">
        <v>4</v>
      </c>
      <c r="G10" s="20" t="s">
        <v>5</v>
      </c>
      <c r="H10" s="7" t="s">
        <v>11</v>
      </c>
      <c r="I10" s="20" t="s">
        <v>9</v>
      </c>
      <c r="J10" s="7" t="s">
        <v>6</v>
      </c>
      <c r="K10" s="20" t="s">
        <v>7</v>
      </c>
      <c r="L10" s="7" t="s">
        <v>8</v>
      </c>
      <c r="M10" s="21" t="s">
        <v>10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2:26" x14ac:dyDescent="0.25">
      <c r="B11" s="3" t="s">
        <v>3</v>
      </c>
      <c r="C11" s="30">
        <v>0.1</v>
      </c>
      <c r="D11" s="5"/>
      <c r="E11" s="38">
        <v>9.9999999999999995E-8</v>
      </c>
      <c r="F11" s="12">
        <f t="shared" ref="F11:F42" ca="1" si="0">E11*Mu</f>
        <v>0</v>
      </c>
      <c r="G11" s="10">
        <f t="shared" ref="G11:G42" ca="1" si="1">SQRT(E11)*Sigma</f>
        <v>3.1622776601683795E-5</v>
      </c>
      <c r="H11" s="26">
        <f ca="1">F11*NORMSDIST(F11/G11)+G11*NORMDIST(F11/G11,0,1,FALSE)</f>
        <v>1.2615662610100801E-5</v>
      </c>
      <c r="I11" s="14">
        <f t="shared" ref="I11:I42" ca="1" si="2">EXP(-Spread*E11/10000/LGD)</f>
        <v>0.99999999833333331</v>
      </c>
      <c r="J11" s="22">
        <f t="shared" ref="J11:J60" ca="1" si="3">NORMSINV(I11)</f>
        <v>5.9142785650470753</v>
      </c>
      <c r="K11" s="18">
        <f t="shared" ref="K11:K42" ca="1" si="4">SQRT(1-Correlation^2)*G11</f>
        <v>2.7386127875258307E-5</v>
      </c>
      <c r="L11" s="24">
        <f t="shared" ref="L11:L42" ca="1" si="5">F11+Correlation*G11*J11</f>
        <v>9.3512954911305338E-5</v>
      </c>
      <c r="M11" s="8">
        <f t="shared" ref="M11:M60" ca="1" si="6">L11*NORMSDIST(L11/K11)+K11*NORMDIST(L11/K11,0,1,FALSE)</f>
        <v>9.3515196914531815E-5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2:26" x14ac:dyDescent="0.25">
      <c r="B12" s="34" t="s">
        <v>12</v>
      </c>
      <c r="C12" s="33">
        <v>100</v>
      </c>
      <c r="E12" s="38">
        <v>0.05</v>
      </c>
      <c r="F12" s="12">
        <f t="shared" ca="1" si="0"/>
        <v>0</v>
      </c>
      <c r="G12" s="10">
        <f t="shared" ca="1" si="1"/>
        <v>2.2360679774997897E-2</v>
      </c>
      <c r="H12" s="26">
        <f ca="1">F12*NORMSDIST(F12/G12)+G12*NORMDIST(F12/G12,0,1,FALSE)</f>
        <v>8.920620580763856E-3</v>
      </c>
      <c r="I12" s="14">
        <f t="shared" ca="1" si="2"/>
        <v>0.99916701379245831</v>
      </c>
      <c r="J12" s="22">
        <f t="shared" ca="1" si="3"/>
        <v>3.1441022074427916</v>
      </c>
      <c r="K12" s="18">
        <f t="shared" ca="1" si="4"/>
        <v>1.9364916731037084E-2</v>
      </c>
      <c r="L12" s="24">
        <f t="shared" ca="1" si="5"/>
        <v>3.5152131320246138E-2</v>
      </c>
      <c r="M12" s="8">
        <f t="shared" ca="1" si="6"/>
        <v>3.5418143384872272E-2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2:26" x14ac:dyDescent="0.25">
      <c r="B13" s="35" t="s">
        <v>13</v>
      </c>
      <c r="C13" s="32">
        <v>0.6</v>
      </c>
      <c r="D13" s="5"/>
      <c r="E13" s="38">
        <v>0.1</v>
      </c>
      <c r="F13" s="12">
        <f t="shared" ca="1" si="0"/>
        <v>0</v>
      </c>
      <c r="G13" s="10">
        <f t="shared" ca="1" si="1"/>
        <v>3.1622776601683798E-2</v>
      </c>
      <c r="H13" s="26">
        <f t="shared" ref="H13:H60" ca="1" si="7">F13*NORMSDIST(F13/G13)+G13*NORMDIST(F13/G13,0,1,FALSE)</f>
        <v>1.2615662610100803E-2</v>
      </c>
      <c r="I13" s="14">
        <f t="shared" ca="1" si="2"/>
        <v>0.99833472145093871</v>
      </c>
      <c r="J13" s="22">
        <f t="shared" ca="1" si="3"/>
        <v>2.9354579866460782</v>
      </c>
      <c r="K13" s="18">
        <f t="shared" ca="1" si="4"/>
        <v>2.738612787525831E-2</v>
      </c>
      <c r="L13" s="24">
        <f t="shared" ca="1" si="5"/>
        <v>4.6413666067668717E-2</v>
      </c>
      <c r="M13" s="8">
        <f t="shared" ca="1" si="6"/>
        <v>4.6920894714965515E-2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2:26" ht="13.8" thickBot="1" x14ac:dyDescent="0.3">
      <c r="B14" s="4" t="s">
        <v>1</v>
      </c>
      <c r="C14" s="31">
        <v>0.5</v>
      </c>
      <c r="D14" s="5"/>
      <c r="E14" s="38">
        <v>0.15</v>
      </c>
      <c r="F14" s="12">
        <f t="shared" ca="1" si="0"/>
        <v>0</v>
      </c>
      <c r="G14" s="10">
        <f t="shared" ca="1" si="1"/>
        <v>3.8729833462074176E-2</v>
      </c>
      <c r="H14" s="26">
        <f t="shared" ca="1" si="7"/>
        <v>1.5450968080927587E-2</v>
      </c>
      <c r="I14" s="14">
        <f t="shared" ca="1" si="2"/>
        <v>0.99750312239746008</v>
      </c>
      <c r="J14" s="22">
        <f t="shared" ca="1" si="3"/>
        <v>2.8074363201932515</v>
      </c>
      <c r="K14" s="18">
        <f t="shared" ca="1" si="4"/>
        <v>3.3541019662496847E-2</v>
      </c>
      <c r="L14" s="24">
        <f t="shared" ca="1" si="5"/>
        <v>5.436577056823149E-2</v>
      </c>
      <c r="M14" s="8">
        <f t="shared" ca="1" si="6"/>
        <v>5.5107764309742714E-2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2:26" x14ac:dyDescent="0.25">
      <c r="B15" s="16"/>
      <c r="C15" s="14"/>
      <c r="D15" s="5"/>
      <c r="E15" s="38">
        <v>0.2</v>
      </c>
      <c r="F15" s="12">
        <f t="shared" ca="1" si="0"/>
        <v>0</v>
      </c>
      <c r="G15" s="10">
        <f t="shared" ca="1" si="1"/>
        <v>4.4721359549995794E-2</v>
      </c>
      <c r="H15" s="26">
        <f t="shared" ca="1" si="7"/>
        <v>1.7841241161527712E-2</v>
      </c>
      <c r="I15" s="14">
        <f t="shared" ca="1" si="2"/>
        <v>0.99667221605452327</v>
      </c>
      <c r="J15" s="22">
        <f t="shared" ca="1" si="3"/>
        <v>2.7136039725271401</v>
      </c>
      <c r="K15" s="18">
        <f t="shared" ca="1" si="4"/>
        <v>3.8729833462074169E-2</v>
      </c>
      <c r="L15" s="24">
        <f t="shared" ca="1" si="5"/>
        <v>6.0678029465841575E-2</v>
      </c>
      <c r="M15" s="8">
        <f t="shared" ca="1" si="6"/>
        <v>6.1651286396035267E-2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2:26" x14ac:dyDescent="0.25">
      <c r="B16" s="16"/>
      <c r="C16" s="14"/>
      <c r="D16" s="5"/>
      <c r="E16" s="38">
        <v>0.25</v>
      </c>
      <c r="F16" s="12">
        <f t="shared" ca="1" si="0"/>
        <v>0</v>
      </c>
      <c r="G16" s="10">
        <f t="shared" ca="1" si="1"/>
        <v>0.05</v>
      </c>
      <c r="H16" s="26">
        <f t="shared" ca="1" si="7"/>
        <v>1.9947114020071637E-2</v>
      </c>
      <c r="I16" s="14">
        <f t="shared" ca="1" si="2"/>
        <v>0.99584200184510996</v>
      </c>
      <c r="J16" s="22">
        <f t="shared" ca="1" si="3"/>
        <v>2.6389633811680153</v>
      </c>
      <c r="K16" s="18">
        <f t="shared" ca="1" si="4"/>
        <v>4.3301270189221933E-2</v>
      </c>
      <c r="L16" s="24">
        <f t="shared" ca="1" si="5"/>
        <v>6.597408452920038E-2</v>
      </c>
      <c r="M16" s="8">
        <f t="shared" ca="1" si="6"/>
        <v>6.717636125304613E-2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2:26" x14ac:dyDescent="0.25">
      <c r="B17" s="16"/>
      <c r="C17" s="14"/>
      <c r="D17" s="5"/>
      <c r="E17" s="38">
        <v>0.3</v>
      </c>
      <c r="F17" s="12">
        <f t="shared" ca="1" si="0"/>
        <v>0</v>
      </c>
      <c r="G17" s="10">
        <f t="shared" ca="1" si="1"/>
        <v>5.4772255750516613E-2</v>
      </c>
      <c r="H17" s="26">
        <f t="shared" ca="1" si="7"/>
        <v>2.1850968611841583E-2</v>
      </c>
      <c r="I17" s="14">
        <f t="shared" ca="1" si="2"/>
        <v>0.99501247919268232</v>
      </c>
      <c r="J17" s="22">
        <f t="shared" ca="1" si="3"/>
        <v>2.5766932943916601</v>
      </c>
      <c r="K17" s="18">
        <f t="shared" ca="1" si="4"/>
        <v>4.7434164902525687E-2</v>
      </c>
      <c r="L17" s="24">
        <f t="shared" ca="1" si="5"/>
        <v>7.05656520555306E-2</v>
      </c>
      <c r="M17" s="8">
        <f t="shared" ca="1" si="6"/>
        <v>7.19953883929038E-2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2:26" x14ac:dyDescent="0.25">
      <c r="B18" s="16"/>
      <c r="C18" s="14"/>
      <c r="D18" s="5"/>
      <c r="E18" s="38">
        <v>0.35</v>
      </c>
      <c r="F18" s="12">
        <f t="shared" ca="1" si="0"/>
        <v>0</v>
      </c>
      <c r="G18" s="10">
        <f t="shared" ca="1" si="1"/>
        <v>5.9160797830996162E-2</v>
      </c>
      <c r="H18" s="26">
        <f t="shared" ca="1" si="7"/>
        <v>2.3601743597065742E-2</v>
      </c>
      <c r="I18" s="14">
        <f t="shared" ca="1" si="2"/>
        <v>0.99418364752118304</v>
      </c>
      <c r="J18" s="22">
        <f t="shared" ca="1" si="3"/>
        <v>2.5230947602990956</v>
      </c>
      <c r="K18" s="18">
        <f t="shared" ca="1" si="4"/>
        <v>5.1234753829797988E-2</v>
      </c>
      <c r="L18" s="24">
        <f t="shared" ca="1" si="5"/>
        <v>7.4634149511250261E-2</v>
      </c>
      <c r="M18" s="8">
        <f t="shared" ca="1" si="6"/>
        <v>7.6290206775738945E-2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2:26" x14ac:dyDescent="0.25">
      <c r="B19" s="16"/>
      <c r="C19" s="14"/>
      <c r="D19" s="5"/>
      <c r="E19" s="38">
        <v>0.4</v>
      </c>
      <c r="F19" s="12">
        <f t="shared" ca="1" si="0"/>
        <v>0</v>
      </c>
      <c r="G19" s="10">
        <f t="shared" ca="1" si="1"/>
        <v>6.3245553203367597E-2</v>
      </c>
      <c r="H19" s="26">
        <f t="shared" ca="1" si="7"/>
        <v>2.5231325220201606E-2</v>
      </c>
      <c r="I19" s="14">
        <f t="shared" ca="1" si="2"/>
        <v>0.99335550625503444</v>
      </c>
      <c r="J19" s="22">
        <f t="shared" ca="1" si="3"/>
        <v>2.475929342094672</v>
      </c>
      <c r="K19" s="18">
        <f t="shared" ca="1" si="4"/>
        <v>5.477225575051662E-2</v>
      </c>
      <c r="L19" s="24">
        <f t="shared" ca="1" si="5"/>
        <v>7.8295760466613754E-2</v>
      </c>
      <c r="M19" s="8">
        <f t="shared" ca="1" si="6"/>
        <v>8.0177281907081607E-2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2:26" x14ac:dyDescent="0.25">
      <c r="B20" s="15"/>
      <c r="E20" s="38">
        <v>0.5</v>
      </c>
      <c r="F20" s="12">
        <f t="shared" ca="1" si="0"/>
        <v>0</v>
      </c>
      <c r="G20" s="10">
        <f t="shared" ca="1" si="1"/>
        <v>7.0710678118654766E-2</v>
      </c>
      <c r="H20" s="26">
        <f t="shared" ca="1" si="7"/>
        <v>2.8209479177387822E-2</v>
      </c>
      <c r="I20" s="14">
        <f t="shared" ca="1" si="2"/>
        <v>0.99170129263887596</v>
      </c>
      <c r="J20" s="22">
        <f t="shared" ca="1" si="3"/>
        <v>2.395506615560175</v>
      </c>
      <c r="K20" s="18">
        <f t="shared" ca="1" si="4"/>
        <v>6.1237243569579464E-2</v>
      </c>
      <c r="L20" s="24">
        <f t="shared" ca="1" si="5"/>
        <v>8.4693948611991796E-2</v>
      </c>
      <c r="M20" s="8">
        <f t="shared" ca="1" si="6"/>
        <v>8.7024573686969253E-2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2:26" x14ac:dyDescent="0.25">
      <c r="B21" s="15"/>
      <c r="E21" s="38">
        <v>0.6</v>
      </c>
      <c r="F21" s="12">
        <f t="shared" ca="1" si="0"/>
        <v>0</v>
      </c>
      <c r="G21" s="10">
        <f t="shared" ca="1" si="1"/>
        <v>7.7459666924148352E-2</v>
      </c>
      <c r="H21" s="26">
        <f t="shared" ca="1" si="7"/>
        <v>3.0901936161855173E-2</v>
      </c>
      <c r="I21" s="14">
        <f t="shared" ca="1" si="2"/>
        <v>0.99004983374916811</v>
      </c>
      <c r="J21" s="22">
        <f t="shared" ca="1" si="3"/>
        <v>2.3282217375371772</v>
      </c>
      <c r="K21" s="18">
        <f t="shared" ca="1" si="4"/>
        <v>6.7082039324993695E-2</v>
      </c>
      <c r="L21" s="24">
        <f t="shared" ca="1" si="5"/>
        <v>9.017164015759585E-2</v>
      </c>
      <c r="M21" s="8">
        <f t="shared" ca="1" si="6"/>
        <v>9.2949751545537598E-2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2:26" x14ac:dyDescent="0.25">
      <c r="B22" s="15"/>
      <c r="E22" s="38">
        <v>0.8</v>
      </c>
      <c r="F22" s="12">
        <f t="shared" ca="1" si="0"/>
        <v>0</v>
      </c>
      <c r="G22" s="10">
        <f t="shared" ca="1" si="1"/>
        <v>8.9442719099991588E-2</v>
      </c>
      <c r="H22" s="26">
        <f t="shared" ca="1" si="7"/>
        <v>3.5682482323055424E-2</v>
      </c>
      <c r="I22" s="14">
        <f t="shared" ca="1" si="2"/>
        <v>0.98675516180719569</v>
      </c>
      <c r="J22" s="22">
        <f t="shared" ca="1" si="3"/>
        <v>2.2189566131495364</v>
      </c>
      <c r="K22" s="18">
        <f t="shared" ca="1" si="4"/>
        <v>7.7459666924148338E-2</v>
      </c>
      <c r="L22" s="24">
        <f t="shared" ca="1" si="5"/>
        <v>9.9234756522501341E-2</v>
      </c>
      <c r="M22" s="8">
        <f t="shared" ca="1" si="6"/>
        <v>0.1029053245019929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2:26" x14ac:dyDescent="0.25">
      <c r="B23" s="15"/>
      <c r="E23" s="38">
        <v>1</v>
      </c>
      <c r="F23" s="12">
        <f t="shared" ca="1" si="0"/>
        <v>0</v>
      </c>
      <c r="G23" s="10">
        <f t="shared" ca="1" si="1"/>
        <v>0.1</v>
      </c>
      <c r="H23" s="26">
        <f t="shared" ca="1" si="7"/>
        <v>3.9894228040143274E-2</v>
      </c>
      <c r="I23" s="14">
        <f t="shared" ca="1" si="2"/>
        <v>0.98347145382161749</v>
      </c>
      <c r="J23" s="22">
        <f t="shared" ca="1" si="3"/>
        <v>2.1313891941426215</v>
      </c>
      <c r="K23" s="18">
        <f t="shared" ca="1" si="4"/>
        <v>8.6602540378443865E-2</v>
      </c>
      <c r="L23" s="24">
        <f t="shared" ca="1" si="5"/>
        <v>0.10656945970713108</v>
      </c>
      <c r="M23" s="8">
        <f t="shared" ca="1" si="6"/>
        <v>0.11113130894272015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2:26" x14ac:dyDescent="0.25">
      <c r="B24" s="15"/>
      <c r="E24" s="38">
        <v>1.2</v>
      </c>
      <c r="F24" s="12">
        <f t="shared" ca="1" si="0"/>
        <v>0</v>
      </c>
      <c r="G24" s="10">
        <f t="shared" ca="1" si="1"/>
        <v>0.10954451150103323</v>
      </c>
      <c r="H24" s="26">
        <f t="shared" ca="1" si="7"/>
        <v>4.3701937223683165E-2</v>
      </c>
      <c r="I24" s="14">
        <f t="shared" ca="1" si="2"/>
        <v>0.98019867330675525</v>
      </c>
      <c r="J24" s="22">
        <f t="shared" ca="1" si="3"/>
        <v>2.0578695923363037</v>
      </c>
      <c r="K24" s="18">
        <f t="shared" ca="1" si="4"/>
        <v>9.4868329805051374E-2</v>
      </c>
      <c r="L24" s="24">
        <f t="shared" ca="1" si="5"/>
        <v>0.11271415961265539</v>
      </c>
      <c r="M24" s="8">
        <f t="shared" ca="1" si="6"/>
        <v>0.11816759318543202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2:26" x14ac:dyDescent="0.25">
      <c r="B25" s="15"/>
      <c r="C25" s="16"/>
      <c r="D25" s="14"/>
      <c r="E25" s="38">
        <v>1.4</v>
      </c>
      <c r="F25" s="12">
        <f t="shared" ca="1" si="0"/>
        <v>0</v>
      </c>
      <c r="G25" s="10">
        <f t="shared" ca="1" si="1"/>
        <v>0.11832159566199232</v>
      </c>
      <c r="H25" s="26">
        <f t="shared" ca="1" si="7"/>
        <v>4.7203487194131484E-2</v>
      </c>
      <c r="I25" s="14">
        <f t="shared" ca="1" si="2"/>
        <v>0.97693678389834759</v>
      </c>
      <c r="J25" s="22">
        <f t="shared" ca="1" si="3"/>
        <v>1.9942345120077234</v>
      </c>
      <c r="K25" s="18">
        <f t="shared" ca="1" si="4"/>
        <v>0.10246950765959598</v>
      </c>
      <c r="L25" s="24">
        <f t="shared" ca="1" si="5"/>
        <v>0.11798050479248422</v>
      </c>
      <c r="M25" s="8">
        <f t="shared" ca="1" si="6"/>
        <v>0.12432666260154597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2:26" x14ac:dyDescent="0.25">
      <c r="B26" s="15"/>
      <c r="C26" s="16"/>
      <c r="D26" s="14"/>
      <c r="E26" s="38">
        <v>1.6</v>
      </c>
      <c r="F26" s="12">
        <f t="shared" ca="1" si="0"/>
        <v>0</v>
      </c>
      <c r="G26" s="10">
        <f t="shared" ca="1" si="1"/>
        <v>0.12649110640673519</v>
      </c>
      <c r="H26" s="26">
        <f t="shared" ca="1" si="7"/>
        <v>5.0462650440403212E-2</v>
      </c>
      <c r="I26" s="14">
        <f t="shared" ca="1" si="2"/>
        <v>0.973685749353145</v>
      </c>
      <c r="J26" s="22">
        <f t="shared" ca="1" si="3"/>
        <v>1.9379567342638262</v>
      </c>
      <c r="K26" s="18">
        <f t="shared" ca="1" si="4"/>
        <v>0.10954451150103324</v>
      </c>
      <c r="L26" s="24">
        <f t="shared" ca="1" si="5"/>
        <v>0.12256714574270734</v>
      </c>
      <c r="M26" s="8">
        <f t="shared" ca="1" si="6"/>
        <v>0.12980767800856935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2:26" x14ac:dyDescent="0.25">
      <c r="B27" s="15"/>
      <c r="C27" s="16"/>
      <c r="D27" s="14"/>
      <c r="E27" s="38">
        <v>1.8</v>
      </c>
      <c r="F27" s="12">
        <f t="shared" ca="1" si="0"/>
        <v>0</v>
      </c>
      <c r="G27" s="10">
        <f t="shared" ca="1" si="1"/>
        <v>0.13416407864998739</v>
      </c>
      <c r="H27" s="26">
        <f t="shared" ca="1" si="7"/>
        <v>5.352372348458314E-2</v>
      </c>
      <c r="I27" s="14">
        <f t="shared" ca="1" si="2"/>
        <v>0.97044553354850815</v>
      </c>
      <c r="J27" s="22">
        <f t="shared" ca="1" si="3"/>
        <v>1.8873822342171682</v>
      </c>
      <c r="K27" s="18">
        <f t="shared" ca="1" si="4"/>
        <v>0.1161895003862225</v>
      </c>
      <c r="L27" s="24">
        <f t="shared" ca="1" si="5"/>
        <v>0.12660944925705053</v>
      </c>
      <c r="M27" s="8">
        <f t="shared" ca="1" si="6"/>
        <v>0.13474633244135162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2:26" x14ac:dyDescent="0.25">
      <c r="B28" s="15"/>
      <c r="C28" s="16"/>
      <c r="D28" s="14"/>
      <c r="E28" s="38">
        <v>2</v>
      </c>
      <c r="F28" s="12">
        <f t="shared" ca="1" si="0"/>
        <v>0</v>
      </c>
      <c r="G28" s="10">
        <f t="shared" ca="1" si="1"/>
        <v>0.14142135623730953</v>
      </c>
      <c r="H28" s="26">
        <f t="shared" ca="1" si="7"/>
        <v>5.6418958354775645E-2</v>
      </c>
      <c r="I28" s="14">
        <f t="shared" ca="1" si="2"/>
        <v>0.9672161004820059</v>
      </c>
      <c r="J28" s="22">
        <f t="shared" ca="1" si="3"/>
        <v>1.8413669747940886</v>
      </c>
      <c r="K28" s="18">
        <f t="shared" ca="1" si="4"/>
        <v>0.12247448713915893</v>
      </c>
      <c r="L28" s="24">
        <f t="shared" ca="1" si="5"/>
        <v>0.13020430745298589</v>
      </c>
      <c r="M28" s="8">
        <f t="shared" ca="1" si="6"/>
        <v>0.13923973277573617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2:26" x14ac:dyDescent="0.25">
      <c r="B29" s="15"/>
      <c r="C29" s="16"/>
      <c r="D29" s="14"/>
      <c r="E29" s="38">
        <v>2.2000000000000002</v>
      </c>
      <c r="F29" s="12">
        <f t="shared" ca="1" si="0"/>
        <v>0</v>
      </c>
      <c r="G29" s="10">
        <f t="shared" ca="1" si="1"/>
        <v>0.14832396974191328</v>
      </c>
      <c r="H29" s="26">
        <f t="shared" ca="1" si="7"/>
        <v>5.9172702727031991E-2</v>
      </c>
      <c r="I29" s="14">
        <f t="shared" ca="1" si="2"/>
        <v>0.96399741427101526</v>
      </c>
      <c r="J29" s="22">
        <f t="shared" ca="1" si="3"/>
        <v>1.799085408325908</v>
      </c>
      <c r="K29" s="18">
        <f t="shared" ca="1" si="4"/>
        <v>0.12845232578665131</v>
      </c>
      <c r="L29" s="24">
        <f t="shared" ca="1" si="5"/>
        <v>0.13342374483382485</v>
      </c>
      <c r="M29" s="8">
        <f t="shared" ca="1" si="6"/>
        <v>0.14336004710713243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2:26" x14ac:dyDescent="0.25">
      <c r="B30" s="15"/>
      <c r="C30" s="16"/>
      <c r="D30" s="14"/>
      <c r="E30" s="38">
        <v>2.4</v>
      </c>
      <c r="F30" s="12">
        <f t="shared" ca="1" si="0"/>
        <v>0</v>
      </c>
      <c r="G30" s="10">
        <f t="shared" ca="1" si="1"/>
        <v>0.1549193338482967</v>
      </c>
      <c r="H30" s="26">
        <f t="shared" ca="1" si="7"/>
        <v>6.1803872323710346E-2</v>
      </c>
      <c r="I30" s="14">
        <f t="shared" ca="1" si="2"/>
        <v>0.96078943915232318</v>
      </c>
      <c r="J30" s="22">
        <f t="shared" ca="1" si="3"/>
        <v>1.7599214745707923</v>
      </c>
      <c r="K30" s="18">
        <f t="shared" ca="1" si="4"/>
        <v>0.13416407864998739</v>
      </c>
      <c r="L30" s="24">
        <f t="shared" ca="1" si="5"/>
        <v>0.13632293123290959</v>
      </c>
      <c r="M30" s="8">
        <f t="shared" ca="1" si="6"/>
        <v>0.14716254157167274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2:26" x14ac:dyDescent="0.25">
      <c r="B31" s="15"/>
      <c r="C31" s="16"/>
      <c r="D31" s="14"/>
      <c r="E31" s="38">
        <v>2.6</v>
      </c>
      <c r="F31" s="12">
        <f t="shared" ca="1" si="0"/>
        <v>0</v>
      </c>
      <c r="G31" s="10">
        <f t="shared" ca="1" si="1"/>
        <v>0.16124515496597103</v>
      </c>
      <c r="H31" s="26">
        <f t="shared" ca="1" si="7"/>
        <v>6.4327509825806886E-2</v>
      </c>
      <c r="I31" s="14">
        <f t="shared" ca="1" si="2"/>
        <v>0.95759213948172861</v>
      </c>
      <c r="J31" s="22">
        <f t="shared" ca="1" si="3"/>
        <v>1.7234027329629276</v>
      </c>
      <c r="K31" s="18">
        <f t="shared" ca="1" si="4"/>
        <v>0.13964240043768944</v>
      </c>
      <c r="L31" s="24">
        <f t="shared" ca="1" si="5"/>
        <v>0.13894517037269263</v>
      </c>
      <c r="M31" s="8">
        <f t="shared" ca="1" si="6"/>
        <v>0.15069058377313649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2:26" x14ac:dyDescent="0.25">
      <c r="B32" s="15"/>
      <c r="C32" s="16"/>
      <c r="D32" s="14"/>
      <c r="E32" s="38">
        <v>2.8</v>
      </c>
      <c r="F32" s="12">
        <f t="shared" ca="1" si="0"/>
        <v>0</v>
      </c>
      <c r="G32" s="10">
        <f t="shared" ca="1" si="1"/>
        <v>0.16733200530681513</v>
      </c>
      <c r="H32" s="26">
        <f t="shared" ca="1" si="7"/>
        <v>6.6755811781245469E-2</v>
      </c>
      <c r="I32" s="14">
        <f t="shared" ca="1" si="2"/>
        <v>0.95440547973364664</v>
      </c>
      <c r="J32" s="22">
        <f t="shared" ca="1" si="3"/>
        <v>1.6891585992173552</v>
      </c>
      <c r="K32" s="18">
        <f t="shared" ca="1" si="4"/>
        <v>0.14491376746189441</v>
      </c>
      <c r="L32" s="24">
        <f t="shared" ca="1" si="5"/>
        <v>0.14132514784414546</v>
      </c>
      <c r="M32" s="8">
        <f t="shared" ca="1" si="6"/>
        <v>0.15397890039961287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2:26" x14ac:dyDescent="0.25">
      <c r="B33" s="15"/>
      <c r="C33" s="16"/>
      <c r="D33" s="14"/>
      <c r="E33" s="38">
        <v>3</v>
      </c>
      <c r="F33" s="12">
        <f t="shared" ca="1" si="0"/>
        <v>0</v>
      </c>
      <c r="G33" s="10">
        <f t="shared" ca="1" si="1"/>
        <v>0.17320508075688773</v>
      </c>
      <c r="H33" s="26">
        <f t="shared" ca="1" si="7"/>
        <v>6.9098829894267105E-2</v>
      </c>
      <c r="I33" s="14">
        <f t="shared" ca="1" si="2"/>
        <v>0.95122942450071402</v>
      </c>
      <c r="J33" s="22">
        <f t="shared" ca="1" si="3"/>
        <v>1.6568927965620148</v>
      </c>
      <c r="K33" s="18">
        <f t="shared" ca="1" si="4"/>
        <v>0.15</v>
      </c>
      <c r="L33" s="24">
        <f t="shared" ca="1" si="5"/>
        <v>0.14349112531701466</v>
      </c>
      <c r="M33" s="8">
        <f t="shared" ca="1" si="6"/>
        <v>0.15705577788901731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2:26" x14ac:dyDescent="0.25">
      <c r="B34" s="15"/>
      <c r="C34" s="16"/>
      <c r="D34" s="14"/>
      <c r="E34" s="38">
        <v>3.2</v>
      </c>
      <c r="F34" s="12">
        <f t="shared" ca="1" si="0"/>
        <v>0</v>
      </c>
      <c r="G34" s="10">
        <f t="shared" ca="1" si="1"/>
        <v>0.17888543819998318</v>
      </c>
      <c r="H34" s="26">
        <f t="shared" ca="1" si="7"/>
        <v>7.1364964646110848E-2</v>
      </c>
      <c r="I34" s="14">
        <f t="shared" ca="1" si="2"/>
        <v>0.94806393849339554</v>
      </c>
      <c r="J34" s="22">
        <f t="shared" ca="1" si="3"/>
        <v>1.6263645708801753</v>
      </c>
      <c r="K34" s="18">
        <f t="shared" ca="1" si="4"/>
        <v>0.15491933384829668</v>
      </c>
      <c r="L34" s="24">
        <f t="shared" ca="1" si="5"/>
        <v>0.14546646946741387</v>
      </c>
      <c r="M34" s="8">
        <f t="shared" ca="1" si="6"/>
        <v>0.15994459580008225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2:26" x14ac:dyDescent="0.25">
      <c r="B35" s="15"/>
      <c r="C35" s="16"/>
      <c r="D35" s="14"/>
      <c r="E35" s="38">
        <v>3.4</v>
      </c>
      <c r="F35" s="12">
        <f t="shared" ca="1" si="0"/>
        <v>0</v>
      </c>
      <c r="G35" s="10">
        <f t="shared" ca="1" si="1"/>
        <v>0.18439088914585777</v>
      </c>
      <c r="H35" s="26">
        <f t="shared" ca="1" si="7"/>
        <v>7.3561321801096285E-2</v>
      </c>
      <c r="I35" s="14">
        <f t="shared" ca="1" si="2"/>
        <v>0.94490898653959177</v>
      </c>
      <c r="J35" s="22">
        <f t="shared" ca="1" si="3"/>
        <v>1.5973755153441924</v>
      </c>
      <c r="K35" s="18">
        <f t="shared" ca="1" si="4"/>
        <v>0.15968719422671313</v>
      </c>
      <c r="L35" s="24">
        <f t="shared" ca="1" si="5"/>
        <v>0.1472707457870692</v>
      </c>
      <c r="M35" s="8">
        <f t="shared" ca="1" si="6"/>
        <v>0.16266492375110347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2:26" x14ac:dyDescent="0.25">
      <c r="B36" s="15"/>
      <c r="C36" s="16"/>
      <c r="D36" s="14"/>
      <c r="E36" s="38">
        <v>3.6</v>
      </c>
      <c r="F36" s="12">
        <f t="shared" ca="1" si="0"/>
        <v>0</v>
      </c>
      <c r="G36" s="10">
        <f t="shared" ca="1" si="1"/>
        <v>0.18973665961010278</v>
      </c>
      <c r="H36" s="26">
        <f t="shared" ca="1" si="7"/>
        <v>7.5693975660604818E-2</v>
      </c>
      <c r="I36" s="14">
        <f t="shared" ca="1" si="2"/>
        <v>0.94176453358424872</v>
      </c>
      <c r="J36" s="22">
        <f t="shared" ca="1" si="3"/>
        <v>1.5697601021732448</v>
      </c>
      <c r="K36" s="18">
        <f t="shared" ca="1" si="4"/>
        <v>0.16431676725154984</v>
      </c>
      <c r="L36" s="24">
        <f t="shared" ca="1" si="5"/>
        <v>0.14892051908778256</v>
      </c>
      <c r="M36" s="8">
        <f t="shared" ca="1" si="6"/>
        <v>0.16523332417184511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2:26" x14ac:dyDescent="0.25">
      <c r="B37" s="15"/>
      <c r="C37" s="16"/>
      <c r="D37" s="14"/>
      <c r="E37" s="38">
        <v>3.8</v>
      </c>
      <c r="F37" s="12">
        <f t="shared" ca="1" si="0"/>
        <v>0</v>
      </c>
      <c r="G37" s="10">
        <f t="shared" ca="1" si="1"/>
        <v>0.19493588689617927</v>
      </c>
      <c r="H37" s="26">
        <f t="shared" ca="1" si="7"/>
        <v>7.7768167250437517E-2</v>
      </c>
      <c r="I37" s="14">
        <f t="shared" ca="1" si="2"/>
        <v>0.93863054468896767</v>
      </c>
      <c r="J37" s="22">
        <f t="shared" ca="1" si="3"/>
        <v>1.5433787329703086</v>
      </c>
      <c r="K37" s="18">
        <f t="shared" ca="1" si="4"/>
        <v>0.16881943016134129</v>
      </c>
      <c r="L37" s="24">
        <f t="shared" ca="1" si="5"/>
        <v>0.15042995106413426</v>
      </c>
      <c r="M37" s="8">
        <f t="shared" ca="1" si="6"/>
        <v>0.16766395150731458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2:26" x14ac:dyDescent="0.25">
      <c r="B38" s="15"/>
      <c r="C38" s="16"/>
      <c r="D38" s="14"/>
      <c r="E38" s="38">
        <v>4</v>
      </c>
      <c r="F38" s="12">
        <f t="shared" ca="1" si="0"/>
        <v>0</v>
      </c>
      <c r="G38" s="10">
        <f t="shared" ca="1" si="1"/>
        <v>0.2</v>
      </c>
      <c r="H38" s="26">
        <f t="shared" ca="1" si="7"/>
        <v>7.9788456080286549E-2</v>
      </c>
      <c r="I38" s="14">
        <f t="shared" ca="1" si="2"/>
        <v>0.93550698503161778</v>
      </c>
      <c r="J38" s="22">
        <f t="shared" ca="1" si="3"/>
        <v>1.5181125419669601</v>
      </c>
      <c r="K38" s="18">
        <f t="shared" ca="1" si="4"/>
        <v>0.17320508075688773</v>
      </c>
      <c r="L38" s="24">
        <f t="shared" ca="1" si="5"/>
        <v>0.15181125419669603</v>
      </c>
      <c r="M38" s="8">
        <f t="shared" ca="1" si="6"/>
        <v>0.16996900733652082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2:26" x14ac:dyDescent="0.25">
      <c r="B39" s="15"/>
      <c r="C39" s="16"/>
      <c r="D39" s="14"/>
      <c r="E39" s="38">
        <v>4.2</v>
      </c>
      <c r="F39" s="12">
        <f t="shared" ca="1" si="0"/>
        <v>0</v>
      </c>
      <c r="G39" s="10">
        <f t="shared" ca="1" si="1"/>
        <v>0.20493901531919201</v>
      </c>
      <c r="H39" s="26">
        <f t="shared" ca="1" si="7"/>
        <v>8.1758838114662613E-2</v>
      </c>
      <c r="I39" s="14">
        <f t="shared" ca="1" si="2"/>
        <v>0.93239381990594827</v>
      </c>
      <c r="J39" s="22">
        <f t="shared" ca="1" si="3"/>
        <v>1.4938594455092422</v>
      </c>
      <c r="K39" s="18">
        <f t="shared" ca="1" si="4"/>
        <v>0.1774823934929885</v>
      </c>
      <c r="L39" s="24">
        <f t="shared" ca="1" si="5"/>
        <v>0.15307504189396914</v>
      </c>
      <c r="M39" s="8">
        <f t="shared" ca="1" si="6"/>
        <v>0.17215909142590241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2:26" x14ac:dyDescent="0.25">
      <c r="B40" s="15"/>
      <c r="C40" s="16"/>
      <c r="D40" s="14"/>
      <c r="E40" s="38">
        <v>4.4000000000000004</v>
      </c>
      <c r="F40" s="12">
        <f t="shared" ca="1" si="0"/>
        <v>0</v>
      </c>
      <c r="G40" s="10">
        <f t="shared" ca="1" si="1"/>
        <v>0.20976176963403034</v>
      </c>
      <c r="H40" s="26">
        <f t="shared" ca="1" si="7"/>
        <v>8.3682838718840066E-2</v>
      </c>
      <c r="I40" s="14">
        <f t="shared" ca="1" si="2"/>
        <v>0.92929101472120357</v>
      </c>
      <c r="J40" s="22">
        <f t="shared" ca="1" si="3"/>
        <v>1.4705310944665266</v>
      </c>
      <c r="K40" s="18">
        <f t="shared" ca="1" si="4"/>
        <v>0.18165902124584951</v>
      </c>
      <c r="L40" s="24">
        <f t="shared" ca="1" si="5"/>
        <v>0.15423060233858304</v>
      </c>
      <c r="M40" s="8">
        <f t="shared" ca="1" si="6"/>
        <v>0.17424347626627662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2:26" x14ac:dyDescent="0.25">
      <c r="B41" s="15"/>
      <c r="C41" s="16"/>
      <c r="D41" s="14"/>
      <c r="E41" s="38">
        <v>4.5999999999999996</v>
      </c>
      <c r="F41" s="12">
        <f t="shared" ca="1" si="0"/>
        <v>0</v>
      </c>
      <c r="G41" s="10">
        <f t="shared" ca="1" si="1"/>
        <v>0.21447610589527219</v>
      </c>
      <c r="H41" s="26">
        <f t="shared" ca="1" si="7"/>
        <v>8.556358677747905E-2</v>
      </c>
      <c r="I41" s="14">
        <f t="shared" ca="1" si="2"/>
        <v>0.92619853500173854</v>
      </c>
      <c r="J41" s="22">
        <f t="shared" ca="1" si="3"/>
        <v>1.4480504919701216</v>
      </c>
      <c r="K41" s="18">
        <f t="shared" ca="1" si="4"/>
        <v>0.18574175621006711</v>
      </c>
      <c r="L41" s="24">
        <f t="shared" ca="1" si="5"/>
        <v>0.1552861153287424</v>
      </c>
      <c r="M41" s="8">
        <f t="shared" ca="1" si="6"/>
        <v>0.17623032444251224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2:26" x14ac:dyDescent="0.25">
      <c r="B42" s="15"/>
      <c r="C42" s="16"/>
      <c r="D42" s="14"/>
      <c r="E42" s="38">
        <v>4.8</v>
      </c>
      <c r="F42" s="12">
        <f t="shared" ca="1" si="0"/>
        <v>0</v>
      </c>
      <c r="G42" s="10">
        <f t="shared" ca="1" si="1"/>
        <v>0.21908902300206645</v>
      </c>
      <c r="H42" s="26">
        <f t="shared" ca="1" si="7"/>
        <v>8.7403874447366331E-2</v>
      </c>
      <c r="I42" s="14">
        <f t="shared" ca="1" si="2"/>
        <v>0.92311634638663576</v>
      </c>
      <c r="J42" s="22">
        <f t="shared" ca="1" si="3"/>
        <v>1.4263501089171913</v>
      </c>
      <c r="K42" s="18">
        <f t="shared" ca="1" si="4"/>
        <v>0.18973665961010275</v>
      </c>
      <c r="L42" s="24">
        <f t="shared" ca="1" si="5"/>
        <v>0.15624882591077927</v>
      </c>
      <c r="M42" s="8">
        <f t="shared" ca="1" si="6"/>
        <v>0.17812686267313663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2:26" x14ac:dyDescent="0.25">
      <c r="B43" s="15"/>
      <c r="C43" s="16"/>
      <c r="D43" s="14"/>
      <c r="E43" s="38">
        <v>5</v>
      </c>
      <c r="F43" s="12">
        <f t="shared" ref="F43:F60" ca="1" si="8">E43*Mu</f>
        <v>0</v>
      </c>
      <c r="G43" s="10">
        <f t="shared" ref="G43:G60" ca="1" si="9">SQRT(E43)*Sigma</f>
        <v>0.22360679774997899</v>
      </c>
      <c r="H43" s="26">
        <f t="shared" ca="1" si="7"/>
        <v>8.9206205807638564E-2</v>
      </c>
      <c r="I43" s="14">
        <f t="shared" ref="I43:I68" ca="1" si="10">EXP(-Spread*E43/10000/LGD)</f>
        <v>0.92004441462932329</v>
      </c>
      <c r="J43" s="22">
        <f t="shared" ca="1" si="3"/>
        <v>1.4053703770327861</v>
      </c>
      <c r="K43" s="18">
        <f t="shared" ref="K43:K60" ca="1" si="11">SQRT(1-Correlation^2)*G43</f>
        <v>0.19364916731037085</v>
      </c>
      <c r="L43" s="24">
        <f t="shared" ref="L43:L60" ca="1" si="12">F43+Correlation*G43*J43</f>
        <v>0.15712518483049095</v>
      </c>
      <c r="M43" s="8">
        <f t="shared" ca="1" si="6"/>
        <v>0.17993952257737494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2:26" x14ac:dyDescent="0.25">
      <c r="B44" s="15"/>
      <c r="C44" s="16"/>
      <c r="D44" s="14"/>
      <c r="E44" s="38">
        <v>5.2</v>
      </c>
      <c r="F44" s="12">
        <f t="shared" ca="1" si="8"/>
        <v>0</v>
      </c>
      <c r="G44" s="10">
        <f t="shared" ca="1" si="9"/>
        <v>0.22803508501982761</v>
      </c>
      <c r="H44" s="26">
        <f t="shared" ca="1" si="7"/>
        <v>9.0972836829344608E-2</v>
      </c>
      <c r="I44" s="14">
        <f t="shared" ca="1" si="10"/>
        <v>0.9169827055971943</v>
      </c>
      <c r="J44" s="22">
        <f t="shared" ca="1" si="3"/>
        <v>1.3850584719139782</v>
      </c>
      <c r="K44" s="18">
        <f t="shared" ca="1" si="11"/>
        <v>0.19748417658131498</v>
      </c>
      <c r="L44" s="24">
        <f t="shared" ca="1" si="12"/>
        <v>0.15792096320016827</v>
      </c>
      <c r="M44" s="8">
        <f t="shared" ca="1" si="6"/>
        <v>0.18167405558831434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2:26" x14ac:dyDescent="0.25">
      <c r="B45" s="15"/>
      <c r="C45" s="16"/>
      <c r="D45" s="14"/>
      <c r="E45" s="38">
        <v>5.4</v>
      </c>
      <c r="F45" s="12">
        <f t="shared" ca="1" si="8"/>
        <v>0</v>
      </c>
      <c r="G45" s="10">
        <f t="shared" ca="1" si="9"/>
        <v>0.23237900077244503</v>
      </c>
      <c r="H45" s="26">
        <f t="shared" ca="1" si="7"/>
        <v>9.2705808485565505E-2</v>
      </c>
      <c r="I45" s="14">
        <f t="shared" ca="1" si="10"/>
        <v>0.91393118527122819</v>
      </c>
      <c r="J45" s="22">
        <f t="shared" ca="1" si="3"/>
        <v>1.3653673213500115</v>
      </c>
      <c r="K45" s="18">
        <f t="shared" ca="1" si="11"/>
        <v>0.20124611797498107</v>
      </c>
      <c r="L45" s="24">
        <f t="shared" ca="1" si="12"/>
        <v>0.15864134691133275</v>
      </c>
      <c r="M45" s="8">
        <f t="shared" ca="1" si="6"/>
        <v>0.18333562755832694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2:26" x14ac:dyDescent="0.25">
      <c r="B46" s="15"/>
      <c r="C46" s="16"/>
      <c r="D46" s="14"/>
      <c r="E46" s="38">
        <v>5.6</v>
      </c>
      <c r="F46" s="12">
        <f t="shared" ca="1" si="8"/>
        <v>0</v>
      </c>
      <c r="G46" s="10">
        <f t="shared" ca="1" si="9"/>
        <v>0.23664319132398465</v>
      </c>
      <c r="H46" s="26">
        <f t="shared" ca="1" si="7"/>
        <v>9.4406974388262968E-2</v>
      </c>
      <c r="I46" s="14">
        <f t="shared" ca="1" si="10"/>
        <v>0.91088981974561212</v>
      </c>
      <c r="J46" s="22">
        <f t="shared" ca="1" si="3"/>
        <v>1.3462547904912792</v>
      </c>
      <c r="K46" s="18">
        <f t="shared" ca="1" si="11"/>
        <v>0.20493901531919195</v>
      </c>
      <c r="L46" s="24">
        <f t="shared" ca="1" si="12"/>
        <v>0.15929101497852932</v>
      </c>
      <c r="M46" s="8">
        <f t="shared" ca="1" si="6"/>
        <v>0.18492889725415051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2:26" x14ac:dyDescent="0.25">
      <c r="B47" s="15"/>
      <c r="C47" s="16"/>
      <c r="D47" s="14"/>
      <c r="E47" s="38">
        <v>5.8</v>
      </c>
      <c r="F47" s="12">
        <f t="shared" ca="1" si="8"/>
        <v>0</v>
      </c>
      <c r="G47" s="10">
        <f t="shared" ca="1" si="9"/>
        <v>0.24083189157584595</v>
      </c>
      <c r="H47" s="26">
        <f t="shared" ca="1" si="7"/>
        <v>9.6078024018658573E-2</v>
      </c>
      <c r="I47" s="14">
        <f t="shared" ca="1" si="10"/>
        <v>0.90785857522736457</v>
      </c>
      <c r="J47" s="22">
        <f t="shared" ca="1" si="3"/>
        <v>1.3276830071932519</v>
      </c>
      <c r="K47" s="18">
        <f t="shared" ca="1" si="11"/>
        <v>0.20856653614614212</v>
      </c>
      <c r="L47" s="24">
        <f t="shared" ca="1" si="12"/>
        <v>0.15987420501772917</v>
      </c>
      <c r="M47" s="8">
        <f t="shared" ca="1" si="6"/>
        <v>0.18645808195428404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2:26" x14ac:dyDescent="0.25">
      <c r="B48" s="15"/>
      <c r="C48" s="16"/>
      <c r="D48" s="14"/>
      <c r="E48" s="38">
        <v>6</v>
      </c>
      <c r="F48" s="12">
        <f t="shared" ca="1" si="8"/>
        <v>0</v>
      </c>
      <c r="G48" s="10">
        <f t="shared" ca="1" si="9"/>
        <v>0.2449489742783178</v>
      </c>
      <c r="H48" s="26">
        <f t="shared" ca="1" si="7"/>
        <v>9.7720502380583982E-2</v>
      </c>
      <c r="I48" s="14">
        <f t="shared" ca="1" si="10"/>
        <v>0.90483741803595952</v>
      </c>
      <c r="J48" s="22">
        <f t="shared" ca="1" si="3"/>
        <v>1.3096177994584928</v>
      </c>
      <c r="K48" s="18">
        <f t="shared" ca="1" si="11"/>
        <v>0.21213203435596423</v>
      </c>
      <c r="L48" s="24">
        <f t="shared" ca="1" si="12"/>
        <v>0.16039476833699276</v>
      </c>
      <c r="M48" s="8">
        <f t="shared" ca="1" si="6"/>
        <v>0.18792701263328856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2:26" x14ac:dyDescent="0.25">
      <c r="B49" s="15"/>
      <c r="C49" s="16"/>
      <c r="D49" s="14"/>
      <c r="E49" s="38">
        <v>6.2</v>
      </c>
      <c r="F49" s="12">
        <f t="shared" ca="1" si="8"/>
        <v>0</v>
      </c>
      <c r="G49" s="10">
        <f t="shared" ca="1" si="9"/>
        <v>0.24899799195977465</v>
      </c>
      <c r="H49" s="26">
        <f t="shared" ca="1" si="7"/>
        <v>9.9335826727810106E-2</v>
      </c>
      <c r="I49" s="14">
        <f t="shared" ca="1" si="10"/>
        <v>0.90182631460295293</v>
      </c>
      <c r="J49" s="22">
        <f t="shared" ca="1" si="3"/>
        <v>1.292028223264621</v>
      </c>
      <c r="K49" s="18">
        <f t="shared" ca="1" si="11"/>
        <v>0.21563858652847823</v>
      </c>
      <c r="L49" s="24">
        <f t="shared" ca="1" si="12"/>
        <v>0.16085621657412302</v>
      </c>
      <c r="M49" s="8">
        <f t="shared" ca="1" si="6"/>
        <v>0.18933918067305755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2:26" x14ac:dyDescent="0.25">
      <c r="B50" s="15"/>
      <c r="C50" s="16"/>
      <c r="D50" s="14"/>
      <c r="E50" s="38">
        <v>6.4</v>
      </c>
      <c r="F50" s="12">
        <f t="shared" ca="1" si="8"/>
        <v>0</v>
      </c>
      <c r="G50" s="10">
        <f t="shared" ca="1" si="9"/>
        <v>0.25298221281347039</v>
      </c>
      <c r="H50" s="26">
        <f t="shared" ca="1" si="7"/>
        <v>0.10092530088080642</v>
      </c>
      <c r="I50" s="14">
        <f t="shared" ca="1" si="10"/>
        <v>0.89882523147160887</v>
      </c>
      <c r="J50" s="22">
        <f t="shared" ca="1" si="3"/>
        <v>1.274886163830695</v>
      </c>
      <c r="K50" s="18">
        <f t="shared" ca="1" si="11"/>
        <v>0.21908902300206648</v>
      </c>
      <c r="L50" s="24">
        <f t="shared" ca="1" si="12"/>
        <v>0.16126176140558288</v>
      </c>
      <c r="M50" s="8">
        <f t="shared" ca="1" si="6"/>
        <v>0.19069777762946405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2:26" x14ac:dyDescent="0.25">
      <c r="B51" s="15"/>
      <c r="C51" s="16"/>
      <c r="D51" s="14"/>
      <c r="E51" s="38">
        <v>6.6</v>
      </c>
      <c r="F51" s="12">
        <f t="shared" ca="1" si="8"/>
        <v>0</v>
      </c>
      <c r="G51" s="10">
        <f t="shared" ca="1" si="9"/>
        <v>0.25690465157330261</v>
      </c>
      <c r="H51" s="26">
        <f t="shared" ca="1" si="7"/>
        <v>0.10249012754438885</v>
      </c>
      <c r="I51" s="14">
        <f t="shared" ca="1" si="10"/>
        <v>0.89583413529652822</v>
      </c>
      <c r="J51" s="22">
        <f t="shared" ca="1" si="3"/>
        <v>1.2581659969785801</v>
      </c>
      <c r="K51" s="18">
        <f t="shared" ca="1" si="11"/>
        <v>0.22248595461286991</v>
      </c>
      <c r="L51" s="24">
        <f t="shared" ca="1" si="12"/>
        <v>0.16161434853757953</v>
      </c>
      <c r="M51" s="8">
        <f t="shared" ca="1" si="6"/>
        <v>0.19200572926850995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2:26" x14ac:dyDescent="0.25">
      <c r="B52" s="15"/>
      <c r="C52" s="16"/>
      <c r="D52" s="14"/>
      <c r="E52" s="38">
        <v>6.8</v>
      </c>
      <c r="F52" s="12">
        <f t="shared" ca="1" si="8"/>
        <v>0</v>
      </c>
      <c r="G52" s="10">
        <f t="shared" ca="1" si="9"/>
        <v>0.26076809620810598</v>
      </c>
      <c r="H52" s="26">
        <f t="shared" ca="1" si="7"/>
        <v>0.104031418957202</v>
      </c>
      <c r="I52" s="14">
        <f t="shared" ca="1" si="10"/>
        <v>0.89285299284327846</v>
      </c>
      <c r="J52" s="22">
        <f t="shared" ca="1" si="3"/>
        <v>1.2418442999981492</v>
      </c>
      <c r="K52" s="18">
        <f t="shared" ca="1" si="11"/>
        <v>0.22583179581272431</v>
      </c>
      <c r="L52" s="24">
        <f t="shared" ca="1" si="12"/>
        <v>0.1619166869487027</v>
      </c>
      <c r="M52" s="8">
        <f t="shared" ca="1" si="6"/>
        <v>0.19326572484389715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2:26" x14ac:dyDescent="0.25">
      <c r="B53" s="15"/>
      <c r="C53" s="16"/>
      <c r="D53" s="14"/>
      <c r="E53" s="38">
        <v>7</v>
      </c>
      <c r="F53" s="12">
        <f t="shared" ca="1" si="8"/>
        <v>0</v>
      </c>
      <c r="G53" s="10">
        <f t="shared" ca="1" si="9"/>
        <v>0.26457513110645908</v>
      </c>
      <c r="H53" s="26">
        <f t="shared" ca="1" si="7"/>
        <v>0.10555020614111882</v>
      </c>
      <c r="I53" s="14">
        <f t="shared" ca="1" si="10"/>
        <v>0.88988177098802379</v>
      </c>
      <c r="J53" s="22">
        <f t="shared" ca="1" si="3"/>
        <v>1.2258996035462162</v>
      </c>
      <c r="K53" s="18">
        <f t="shared" ca="1" si="11"/>
        <v>0.229128784747792</v>
      </c>
      <c r="L53" s="24">
        <f t="shared" ca="1" si="12"/>
        <v>0.16217127416579818</v>
      </c>
      <c r="M53" s="8">
        <f t="shared" ca="1" si="6"/>
        <v>0.19448024239970002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2:26" x14ac:dyDescent="0.25">
      <c r="B54" s="15"/>
      <c r="C54" s="16"/>
      <c r="D54" s="14"/>
      <c r="E54" s="38">
        <v>7.2</v>
      </c>
      <c r="F54" s="12">
        <f t="shared" ca="1" si="8"/>
        <v>0</v>
      </c>
      <c r="G54" s="10">
        <f t="shared" ca="1" si="9"/>
        <v>0.26832815729997478</v>
      </c>
      <c r="H54" s="26">
        <f t="shared" ca="1" si="7"/>
        <v>0.10704744696916628</v>
      </c>
      <c r="I54" s="14">
        <f t="shared" ca="1" si="10"/>
        <v>0.88692043671715748</v>
      </c>
      <c r="J54" s="22">
        <f t="shared" ca="1" si="3"/>
        <v>1.210312177757255</v>
      </c>
      <c r="K54" s="18">
        <f t="shared" ca="1" si="11"/>
        <v>0.232379000772445</v>
      </c>
      <c r="L54" s="24">
        <f t="shared" ca="1" si="12"/>
        <v>0.16238041820766189</v>
      </c>
      <c r="M54" s="8">
        <f t="shared" ca="1" si="6"/>
        <v>0.19565157073431311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2:26" x14ac:dyDescent="0.25">
      <c r="B55" s="15"/>
      <c r="C55" s="16"/>
      <c r="D55" s="14"/>
      <c r="E55" s="38">
        <v>7.4</v>
      </c>
      <c r="F55" s="12">
        <f t="shared" ca="1" si="8"/>
        <v>0</v>
      </c>
      <c r="G55" s="10">
        <f t="shared" ca="1" si="9"/>
        <v>0.27202941017470889</v>
      </c>
      <c r="H55" s="26">
        <f t="shared" ca="1" si="7"/>
        <v>0.10852403323135507</v>
      </c>
      <c r="I55" s="14">
        <f t="shared" ca="1" si="10"/>
        <v>0.88396895712693502</v>
      </c>
      <c r="J55" s="22">
        <f t="shared" ca="1" si="3"/>
        <v>1.1950638470348554</v>
      </c>
      <c r="K55" s="18">
        <f t="shared" ca="1" si="11"/>
        <v>0.23558437978779492</v>
      </c>
      <c r="L55" s="24">
        <f t="shared" ca="1" si="12"/>
        <v>0.16254625671500511</v>
      </c>
      <c r="M55" s="8">
        <f t="shared" ca="1" si="6"/>
        <v>0.19678182854539136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2:26" x14ac:dyDescent="0.25">
      <c r="B56" s="15"/>
      <c r="C56" s="16"/>
      <c r="D56" s="14"/>
      <c r="E56" s="38">
        <v>7.6</v>
      </c>
      <c r="F56" s="12">
        <f t="shared" ca="1" si="8"/>
        <v>0</v>
      </c>
      <c r="G56" s="10">
        <f t="shared" ca="1" si="9"/>
        <v>0.27568097504180444</v>
      </c>
      <c r="H56" s="26">
        <f t="shared" ca="1" si="7"/>
        <v>0.10998079684646792</v>
      </c>
      <c r="I56" s="14">
        <f t="shared" ca="1" si="10"/>
        <v>0.8810272994231082</v>
      </c>
      <c r="J56" s="22">
        <f t="shared" ca="1" si="3"/>
        <v>1.1801378290114515</v>
      </c>
      <c r="K56" s="18">
        <f t="shared" ca="1" si="11"/>
        <v>0.23874672772626643</v>
      </c>
      <c r="L56" s="24">
        <f t="shared" ca="1" si="12"/>
        <v>0.16267077369279762</v>
      </c>
      <c r="M56" s="8">
        <f t="shared" ca="1" si="6"/>
        <v>0.19787298118290597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2:26" x14ac:dyDescent="0.25">
      <c r="B57" s="15"/>
      <c r="C57" s="16"/>
      <c r="D57" s="14"/>
      <c r="E57" s="38">
        <v>7.8</v>
      </c>
      <c r="F57" s="12">
        <f t="shared" ca="1" si="8"/>
        <v>0</v>
      </c>
      <c r="G57" s="10">
        <f t="shared" ca="1" si="9"/>
        <v>0.27928480087537882</v>
      </c>
      <c r="H57" s="26">
        <f t="shared" ca="1" si="7"/>
        <v>0.11141851534268368</v>
      </c>
      <c r="I57" s="14">
        <f t="shared" ca="1" si="10"/>
        <v>0.8780954309205613</v>
      </c>
      <c r="J57" s="22">
        <f t="shared" ca="1" si="3"/>
        <v>1.1655185939731532</v>
      </c>
      <c r="K57" s="18">
        <f t="shared" ca="1" si="11"/>
        <v>0.24186773244895649</v>
      </c>
      <c r="L57" s="24">
        <f t="shared" ca="1" si="12"/>
        <v>0.16275581421717178</v>
      </c>
      <c r="M57" s="8">
        <f t="shared" ca="1" si="6"/>
        <v>0.19892685536331667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2:26" x14ac:dyDescent="0.25">
      <c r="B58" s="15"/>
      <c r="C58" s="16"/>
      <c r="D58" s="14"/>
      <c r="E58" s="38">
        <v>8</v>
      </c>
      <c r="F58" s="12">
        <f t="shared" ca="1" si="8"/>
        <v>0</v>
      </c>
      <c r="G58" s="10">
        <f t="shared" ca="1" si="9"/>
        <v>0.28284271247461906</v>
      </c>
      <c r="H58" s="26">
        <f t="shared" ca="1" si="7"/>
        <v>0.11283791670955129</v>
      </c>
      <c r="I58" s="14">
        <f t="shared" ca="1" si="10"/>
        <v>0.87517331904294748</v>
      </c>
      <c r="J58" s="22">
        <f t="shared" ca="1" si="3"/>
        <v>1.1511917416937578</v>
      </c>
      <c r="K58" s="18">
        <f t="shared" ca="1" si="11"/>
        <v>0.24494897427831785</v>
      </c>
      <c r="L58" s="24">
        <f t="shared" ca="1" si="12"/>
        <v>0.16280309739952173</v>
      </c>
      <c r="M58" s="8">
        <f t="shared" ca="1" si="6"/>
        <v>0.19994515213815561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2:26" x14ac:dyDescent="0.25">
      <c r="B59" s="15"/>
      <c r="C59" s="16"/>
      <c r="D59" s="14"/>
      <c r="E59" s="38">
        <v>8.1999999999999993</v>
      </c>
      <c r="F59" s="12">
        <f t="shared" ca="1" si="8"/>
        <v>0</v>
      </c>
      <c r="G59" s="10">
        <f t="shared" ca="1" si="9"/>
        <v>0.28635642126552707</v>
      </c>
      <c r="H59" s="26">
        <f t="shared" ca="1" si="7"/>
        <v>0.11423968370726269</v>
      </c>
      <c r="I59" s="14">
        <f t="shared" ca="1" si="10"/>
        <v>0.87226093132232685</v>
      </c>
      <c r="J59" s="22">
        <f t="shared" ca="1" si="3"/>
        <v>1.1371438931428837</v>
      </c>
      <c r="K59" s="18">
        <f t="shared" ca="1" si="11"/>
        <v>0.24799193535274489</v>
      </c>
      <c r="L59" s="24">
        <f t="shared" ca="1" si="12"/>
        <v>0.16281422785217256</v>
      </c>
      <c r="M59" s="8">
        <f t="shared" ca="1" si="6"/>
        <v>0.20092945836193371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2:26" x14ac:dyDescent="0.25">
      <c r="B60" s="15"/>
      <c r="C60" s="16"/>
      <c r="D60" s="14"/>
      <c r="E60" s="38">
        <v>8.4</v>
      </c>
      <c r="F60" s="12">
        <f t="shared" ca="1" si="8"/>
        <v>0</v>
      </c>
      <c r="G60" s="10">
        <f t="shared" ca="1" si="9"/>
        <v>0.28982753492378882</v>
      </c>
      <c r="H60" s="26">
        <f t="shared" ca="1" si="7"/>
        <v>0.11562445770562219</v>
      </c>
      <c r="I60" s="14">
        <f t="shared" ca="1" si="10"/>
        <v>0.86935823539880586</v>
      </c>
      <c r="J60" s="22">
        <f t="shared" ca="1" si="3"/>
        <v>1.1233625949548109</v>
      </c>
      <c r="K60" s="18">
        <f t="shared" ca="1" si="11"/>
        <v>0.2509980079602227</v>
      </c>
      <c r="L60" s="24">
        <f t="shared" ca="1" si="12"/>
        <v>0.16279070586067176</v>
      </c>
      <c r="M60" s="8">
        <f t="shared" ca="1" si="6"/>
        <v>0.20188125686485811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2:26" x14ac:dyDescent="0.25">
      <c r="B61" s="15"/>
      <c r="C61" s="16"/>
      <c r="D61" s="14"/>
      <c r="E61" s="38">
        <v>8.6</v>
      </c>
      <c r="F61" s="12">
        <f t="shared" ref="F61:F68" ca="1" si="13">E61*Mu</f>
        <v>0</v>
      </c>
      <c r="G61" s="10">
        <f t="shared" ref="G61:G68" ca="1" si="14">SQRT(E61)*Sigma</f>
        <v>0.29325756597230362</v>
      </c>
      <c r="H61" s="26">
        <f t="shared" ref="H61:H68" ca="1" si="15">F61*NORMSDIST(F61/G61)+G61*NORMDIST(F61/G61,0,1,FALSE)</f>
        <v>0.11699284211396441</v>
      </c>
      <c r="I61" s="14">
        <f t="shared" ca="1" si="10"/>
        <v>0.86646519902017771</v>
      </c>
      <c r="J61" s="22">
        <f t="shared" ref="J61:J68" ca="1" si="16">NORMSINV(I61)</f>
        <v>1.109836234887783</v>
      </c>
      <c r="K61" s="18">
        <f t="shared" ref="K61:K68" ca="1" si="17">SQRT(1-Correlation^2)*G61</f>
        <v>0.25396850198400589</v>
      </c>
      <c r="L61" s="24">
        <f t="shared" ref="L61:L68" ca="1" si="18">F61+Correlation*G61*J61</f>
        <v>0.16273393643552855</v>
      </c>
      <c r="M61" s="8">
        <f t="shared" ref="M61:M68" ca="1" si="19">L61*NORMSDIST(L61/K61)+K61*NORMDIST(L61/K61,0,1,FALSE)</f>
        <v>0.2028019355035407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2:26" x14ac:dyDescent="0.25">
      <c r="B62" s="15"/>
      <c r="C62" s="16"/>
      <c r="D62" s="14"/>
      <c r="E62" s="38">
        <v>8.8000000000000007</v>
      </c>
      <c r="F62" s="12">
        <f t="shared" ca="1" si="13"/>
        <v>0</v>
      </c>
      <c r="G62" s="10">
        <f t="shared" ca="1" si="14"/>
        <v>0.29664793948382656</v>
      </c>
      <c r="H62" s="26">
        <f t="shared" ca="1" si="15"/>
        <v>0.11834540545406398</v>
      </c>
      <c r="I62" s="14">
        <f t="shared" ca="1" si="10"/>
        <v>0.8635817900415641</v>
      </c>
      <c r="J62" s="22">
        <f t="shared" ca="1" si="16"/>
        <v>1.0965539667843489</v>
      </c>
      <c r="K62" s="18">
        <f t="shared" ca="1" si="17"/>
        <v>0.25690465157330261</v>
      </c>
      <c r="L62" s="24">
        <f t="shared" ca="1" si="18"/>
        <v>0.16264523738969675</v>
      </c>
      <c r="M62" s="8">
        <f t="shared" ca="1" si="19"/>
        <v>0.20369279523628547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2:26" x14ac:dyDescent="0.25">
      <c r="B63" s="5"/>
      <c r="C63" s="5"/>
      <c r="D63" s="5"/>
      <c r="E63" s="38">
        <v>9</v>
      </c>
      <c r="F63" s="12">
        <f t="shared" ca="1" si="13"/>
        <v>0</v>
      </c>
      <c r="G63" s="10">
        <f t="shared" ca="1" si="14"/>
        <v>0.30000000000000004</v>
      </c>
      <c r="H63" s="26">
        <f t="shared" ca="1" si="15"/>
        <v>0.11968268412042983</v>
      </c>
      <c r="I63" s="14">
        <f t="shared" ca="1" si="10"/>
        <v>0.86070797642505781</v>
      </c>
      <c r="J63" s="22">
        <f t="shared" ca="1" si="16"/>
        <v>1.0835056437742632</v>
      </c>
      <c r="K63" s="18">
        <f t="shared" ca="1" si="17"/>
        <v>0.25980762113533162</v>
      </c>
      <c r="L63" s="24">
        <f t="shared" ca="1" si="18"/>
        <v>0.1625258465661395</v>
      </c>
      <c r="M63" s="8">
        <f t="shared" ca="1" si="19"/>
        <v>0.20455505734752982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2:26" x14ac:dyDescent="0.25">
      <c r="B64" s="5"/>
      <c r="C64" s="5"/>
      <c r="D64" s="5"/>
      <c r="E64" s="38">
        <v>9.1999999999999993</v>
      </c>
      <c r="F64" s="12">
        <f t="shared" ca="1" si="13"/>
        <v>0</v>
      </c>
      <c r="G64" s="10">
        <f t="shared" ca="1" si="14"/>
        <v>0.30331501776206204</v>
      </c>
      <c r="H64" s="26">
        <f t="shared" ca="1" si="15"/>
        <v>0.12100518486599809</v>
      </c>
      <c r="I64" s="14">
        <f t="shared" ca="1" si="10"/>
        <v>0.85784372623936678</v>
      </c>
      <c r="J64" s="22">
        <f t="shared" ca="1" si="16"/>
        <v>1.070681758652291</v>
      </c>
      <c r="K64" s="18">
        <f t="shared" ca="1" si="17"/>
        <v>0.26267851073127396</v>
      </c>
      <c r="L64" s="24">
        <f t="shared" ca="1" si="18"/>
        <v>0.16237692832156772</v>
      </c>
      <c r="M64" s="8">
        <f t="shared" ca="1" si="19"/>
        <v>0.20538986992772718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2:26" x14ac:dyDescent="0.25">
      <c r="B65" s="5"/>
      <c r="C65" s="5"/>
      <c r="D65" s="5"/>
      <c r="E65" s="38">
        <v>9.4</v>
      </c>
      <c r="F65" s="12">
        <f t="shared" ca="1" si="13"/>
        <v>0</v>
      </c>
      <c r="G65" s="10">
        <f t="shared" ca="1" si="14"/>
        <v>0.30659419433511786</v>
      </c>
      <c r="H65" s="26">
        <f t="shared" ca="1" si="15"/>
        <v>0.12231338704589194</v>
      </c>
      <c r="I65" s="14">
        <f t="shared" ca="1" si="10"/>
        <v>0.85498900765945951</v>
      </c>
      <c r="J65" s="22">
        <f t="shared" ca="1" si="16"/>
        <v>1.058073390521632</v>
      </c>
      <c r="K65" s="18">
        <f t="shared" ca="1" si="17"/>
        <v>0.26551836094703507</v>
      </c>
      <c r="L65" s="24">
        <f t="shared" ca="1" si="18"/>
        <v>0.16219957935720314</v>
      </c>
      <c r="M65" s="8">
        <f t="shared" ca="1" si="19"/>
        <v>0.2061983136996825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2:26" x14ac:dyDescent="0.25">
      <c r="B66" s="5"/>
      <c r="C66" s="5"/>
      <c r="D66" s="5"/>
      <c r="E66" s="38">
        <v>9.6</v>
      </c>
      <c r="F66" s="12">
        <f t="shared" ca="1" si="13"/>
        <v>0</v>
      </c>
      <c r="G66" s="10">
        <f t="shared" ca="1" si="14"/>
        <v>0.30983866769659341</v>
      </c>
      <c r="H66" s="26">
        <f t="shared" ca="1" si="15"/>
        <v>0.12360774464742069</v>
      </c>
      <c r="I66" s="14">
        <f t="shared" ca="1" si="10"/>
        <v>0.85214378896621135</v>
      </c>
      <c r="J66" s="22">
        <f t="shared" ca="1" si="16"/>
        <v>1.0456721569257323</v>
      </c>
      <c r="K66" s="18">
        <f t="shared" ca="1" si="17"/>
        <v>0.26832815729997478</v>
      </c>
      <c r="L66" s="24">
        <f t="shared" ca="1" si="18"/>
        <v>0.16199483397464604</v>
      </c>
      <c r="M66" s="8">
        <f t="shared" ca="1" si="19"/>
        <v>0.20698140726955216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2:26" x14ac:dyDescent="0.25">
      <c r="B67" s="5"/>
      <c r="C67" s="5"/>
      <c r="D67" s="5"/>
      <c r="E67" s="38">
        <v>9.8000000000000007</v>
      </c>
      <c r="F67" s="12">
        <f t="shared" ca="1" si="13"/>
        <v>0</v>
      </c>
      <c r="G67" s="10">
        <f t="shared" ca="1" si="14"/>
        <v>0.31304951684997057</v>
      </c>
      <c r="H67" s="26">
        <f t="shared" ca="1" si="15"/>
        <v>0.12488868813069399</v>
      </c>
      <c r="I67" s="14">
        <f t="shared" ca="1" si="10"/>
        <v>0.84930803854605186</v>
      </c>
      <c r="J67" s="22">
        <f t="shared" ca="1" si="16"/>
        <v>1.0334701708017888</v>
      </c>
      <c r="K67" s="18">
        <f t="shared" ca="1" si="17"/>
        <v>0.27110883423451915</v>
      </c>
      <c r="L67" s="24">
        <f t="shared" ca="1" si="18"/>
        <v>0.16176366882417828</v>
      </c>
      <c r="M67" s="8">
        <f t="shared" ca="1" si="19"/>
        <v>0.20774011186994695</v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2:26" ht="13.8" thickBot="1" x14ac:dyDescent="0.3">
      <c r="B68" s="5"/>
      <c r="C68" s="5"/>
      <c r="D68" s="5"/>
      <c r="E68" s="39">
        <v>10</v>
      </c>
      <c r="F68" s="13">
        <f t="shared" ca="1" si="13"/>
        <v>0</v>
      </c>
      <c r="G68" s="11">
        <f t="shared" ca="1" si="14"/>
        <v>0.316227766016838</v>
      </c>
      <c r="H68" s="27">
        <f t="shared" ca="1" si="15"/>
        <v>0.12615662610100803</v>
      </c>
      <c r="I68" s="28">
        <f t="shared" ca="1" si="10"/>
        <v>0.84648172489061402</v>
      </c>
      <c r="J68" s="23">
        <f t="shared" ca="1" si="16"/>
        <v>1.0214600016820803</v>
      </c>
      <c r="K68" s="19">
        <f t="shared" ca="1" si="17"/>
        <v>0.27386127875258309</v>
      </c>
      <c r="L68" s="25">
        <f t="shared" ca="1" si="18"/>
        <v>0.16150700720373992</v>
      </c>
      <c r="M68" s="9">
        <f t="shared" ca="1" si="19"/>
        <v>0.20847533565346685</v>
      </c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2:26" x14ac:dyDescent="0.25">
      <c r="B69" s="5"/>
      <c r="C69" s="5"/>
      <c r="D69" s="5"/>
      <c r="E69" s="5"/>
      <c r="F69" s="5"/>
      <c r="G69" s="17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2:26" x14ac:dyDescent="0.25">
      <c r="B70" s="5"/>
      <c r="C70" s="5"/>
      <c r="D70" s="5"/>
      <c r="E70" s="5"/>
      <c r="F70" s="5"/>
      <c r="G70" s="17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2:26" x14ac:dyDescent="0.25">
      <c r="B71" s="5"/>
      <c r="C71" s="5"/>
      <c r="D71" s="5"/>
      <c r="E71" s="5"/>
      <c r="F71" s="5"/>
      <c r="G71" s="17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2:26" x14ac:dyDescent="0.25">
      <c r="B72" s="5"/>
      <c r="C72" s="5"/>
      <c r="D72" s="5"/>
      <c r="E72" s="5"/>
      <c r="F72" s="5"/>
      <c r="G72" s="17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2:26" x14ac:dyDescent="0.25">
      <c r="B73" s="5"/>
      <c r="C73" s="5"/>
      <c r="D73" s="5"/>
      <c r="E73" s="5"/>
      <c r="F73" s="5"/>
      <c r="G73" s="17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2:26" x14ac:dyDescent="0.25">
      <c r="B74" s="5"/>
      <c r="C74" s="5"/>
      <c r="D74" s="5"/>
      <c r="E74" s="5"/>
      <c r="F74" s="5"/>
      <c r="G74" s="17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2:26" x14ac:dyDescent="0.25">
      <c r="B75" s="5"/>
      <c r="C75" s="5"/>
      <c r="D75" s="5"/>
      <c r="E75" s="5"/>
      <c r="F75" s="5"/>
      <c r="G75" s="17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2:26" x14ac:dyDescent="0.25">
      <c r="B76" s="5"/>
      <c r="C76" s="5"/>
      <c r="D76" s="5"/>
      <c r="E76" s="5"/>
      <c r="F76" s="5"/>
      <c r="G76" s="17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2:26" x14ac:dyDescent="0.25">
      <c r="B77" s="5"/>
      <c r="C77" s="5"/>
      <c r="D77" s="5"/>
      <c r="E77" s="5"/>
      <c r="F77" s="5"/>
      <c r="G77" s="17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2:26" x14ac:dyDescent="0.25">
      <c r="B78" s="5"/>
      <c r="C78" s="5"/>
      <c r="D78" s="5"/>
      <c r="E78" s="5"/>
      <c r="F78" s="5"/>
      <c r="G78" s="17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2:26" x14ac:dyDescent="0.25">
      <c r="B79" s="5"/>
      <c r="C79" s="5"/>
      <c r="D79" s="5"/>
      <c r="E79" s="5"/>
      <c r="F79" s="5"/>
      <c r="G79" s="17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2:26" x14ac:dyDescent="0.25">
      <c r="B80" s="5"/>
      <c r="C80" s="5"/>
      <c r="D80" s="5"/>
      <c r="E80" s="5"/>
      <c r="F80" s="5"/>
      <c r="G80" s="17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2:26" x14ac:dyDescent="0.25">
      <c r="B81" s="5"/>
      <c r="C81" s="5"/>
      <c r="D81" s="5"/>
      <c r="E81" s="5"/>
      <c r="F81" s="5"/>
      <c r="G81" s="17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2:26" x14ac:dyDescent="0.25">
      <c r="B82" s="5"/>
      <c r="C82" s="5"/>
      <c r="D82" s="5"/>
      <c r="E82" s="5"/>
      <c r="F82" s="5"/>
      <c r="G82" s="17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2:26" x14ac:dyDescent="0.25">
      <c r="B83" s="5"/>
      <c r="C83" s="5"/>
      <c r="D83" s="5"/>
      <c r="E83" s="5"/>
      <c r="F83" s="5"/>
      <c r="G83" s="17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2:26" x14ac:dyDescent="0.25">
      <c r="B84" s="5"/>
      <c r="C84" s="5"/>
      <c r="D84" s="5"/>
      <c r="E84" s="5"/>
      <c r="F84" s="5"/>
      <c r="G84" s="17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2:26" x14ac:dyDescent="0.25">
      <c r="B85" s="5"/>
      <c r="C85" s="5"/>
      <c r="D85" s="5"/>
      <c r="E85" s="5"/>
      <c r="F85" s="5"/>
      <c r="G85" s="17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2:26" x14ac:dyDescent="0.25">
      <c r="B86" s="5"/>
      <c r="C86" s="5"/>
      <c r="D86" s="5"/>
      <c r="E86" s="5"/>
      <c r="F86" s="5"/>
      <c r="G86" s="17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2:26" x14ac:dyDescent="0.25">
      <c r="B87" s="5"/>
      <c r="C87" s="5"/>
      <c r="D87" s="5"/>
      <c r="E87" s="5"/>
      <c r="F87" s="5"/>
      <c r="G87" s="17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2:26" x14ac:dyDescent="0.25">
      <c r="B88" s="5"/>
      <c r="C88" s="5"/>
      <c r="D88" s="5"/>
      <c r="E88" s="5"/>
      <c r="F88" s="5"/>
      <c r="G88" s="17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2:26" x14ac:dyDescent="0.25">
      <c r="B89" s="5"/>
      <c r="C89" s="5"/>
      <c r="D89" s="5"/>
      <c r="E89" s="5"/>
      <c r="F89" s="5"/>
      <c r="G89" s="17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2:26" x14ac:dyDescent="0.25">
      <c r="B90" s="5"/>
      <c r="C90" s="5"/>
      <c r="D90" s="5"/>
      <c r="E90" s="5"/>
      <c r="F90" s="5"/>
      <c r="G90" s="17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2:26" x14ac:dyDescent="0.25">
      <c r="B91" s="5"/>
      <c r="C91" s="5"/>
      <c r="D91" s="5"/>
      <c r="E91" s="5"/>
      <c r="F91" s="5"/>
      <c r="G91" s="17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2:26" x14ac:dyDescent="0.25">
      <c r="B92" s="5"/>
      <c r="C92" s="5"/>
      <c r="D92" s="5"/>
      <c r="E92" s="5"/>
      <c r="F92" s="5"/>
      <c r="G92" s="17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2:26" x14ac:dyDescent="0.25">
      <c r="B93" s="5"/>
      <c r="C93" s="5"/>
      <c r="D93" s="5"/>
      <c r="E93" s="5"/>
      <c r="F93" s="5"/>
      <c r="G93" s="17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2:26" x14ac:dyDescent="0.25">
      <c r="B94" s="5"/>
      <c r="C94" s="5"/>
      <c r="D94" s="5"/>
      <c r="E94" s="5"/>
      <c r="F94" s="5"/>
      <c r="G94" s="17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2:26" x14ac:dyDescent="0.25">
      <c r="B95" s="5"/>
      <c r="C95" s="5"/>
      <c r="D95" s="5"/>
      <c r="E95" s="5"/>
      <c r="F95" s="5"/>
      <c r="G95" s="17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2:26" x14ac:dyDescent="0.25">
      <c r="B96" s="5"/>
      <c r="C96" s="5"/>
      <c r="D96" s="5"/>
      <c r="E96" s="5"/>
      <c r="F96" s="5"/>
      <c r="G96" s="17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2:26" x14ac:dyDescent="0.25">
      <c r="B97" s="5"/>
      <c r="C97" s="5"/>
      <c r="D97" s="5"/>
      <c r="E97" s="5"/>
      <c r="F97" s="5"/>
      <c r="G97" s="17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2:26" x14ac:dyDescent="0.25">
      <c r="B98" s="5"/>
      <c r="C98" s="5"/>
      <c r="D98" s="5"/>
      <c r="E98" s="5"/>
      <c r="F98" s="5"/>
      <c r="G98" s="17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2:26" x14ac:dyDescent="0.25">
      <c r="B99" s="5"/>
      <c r="C99" s="5"/>
      <c r="D99" s="5"/>
      <c r="E99" s="5"/>
      <c r="F99" s="5"/>
      <c r="G99" s="17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2:26" x14ac:dyDescent="0.2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2:26" x14ac:dyDescent="0.2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2:26" x14ac:dyDescent="0.2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2:26" x14ac:dyDescent="0.2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2:26" x14ac:dyDescent="0.2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2:26" x14ac:dyDescent="0.2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</sheetData>
  <mergeCells count="1">
    <mergeCell ref="B9:C9"/>
  </mergeCells>
  <phoneticPr fontId="0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Spreadsheet17.1</vt:lpstr>
      <vt:lpstr>Correlation</vt:lpstr>
      <vt:lpstr>Spreadsheet17.1!EE</vt:lpstr>
      <vt:lpstr>LGD</vt:lpstr>
      <vt:lpstr>Spreadsheet17.1!Mu</vt:lpstr>
      <vt:lpstr>Spreadsheet17.1!PFE</vt:lpstr>
      <vt:lpstr>Spreadsheet17.1!Sigma</vt:lpstr>
      <vt:lpstr>Spread</vt:lpstr>
    </vt:vector>
  </TitlesOfParts>
  <Company>Home Use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2015-09-03T13:49:32Z</dcterms:modified>
</cp:coreProperties>
</file>