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n\Documents\CRBook3rd\Exercises\"/>
    </mc:Choice>
  </mc:AlternateContent>
  <bookViews>
    <workbookView xWindow="240" yWindow="192" windowWidth="15120" windowHeight="7428"/>
  </bookViews>
  <sheets>
    <sheet name="xVA Calculations" sheetId="1" r:id="rId1"/>
    <sheet name="Notes" sheetId="5" r:id="rId2"/>
  </sheets>
  <functionGroups builtInGroupCount="18"/>
  <definedNames>
    <definedName name="ActualCDSNotional">'xVA Calculations'!#REF!</definedName>
    <definedName name="AddOn">'xVA Calculations'!$AA$44</definedName>
    <definedName name="Addon1">'xVA Calculations'!#REF!</definedName>
    <definedName name="Addon2">'xVA Calculations'!#REF!</definedName>
    <definedName name="AdvCorr">'xVA Calculations'!#REF!</definedName>
    <definedName name="Alpha">'xVA Calculations'!$AA$38</definedName>
    <definedName name="ApproxDuration">'xVA Calculations'!$AA$72</definedName>
    <definedName name="BaselIIRec">'xVA Calculations'!$H$17</definedName>
    <definedName name="bFac">'xVA Calculations'!$AA$41</definedName>
    <definedName name="BondCDSBasis">'xVA Calculations'!#REF!</definedName>
    <definedName name="BreakMat">'xVA Calculations'!$C$13</definedName>
    <definedName name="CapitalMethodology">'xVA Calculations'!$H$15</definedName>
    <definedName name="CDSDeltaHedge">'xVA Calculations'!#REF!</definedName>
    <definedName name="CDSDuration">'xVA Calculations'!#REF!</definedName>
    <definedName name="CDSHedge">'xVA Calculations'!$AA$65</definedName>
    <definedName name="CDSHedgeMaturity">'xVA Calculations'!#REF!</definedName>
    <definedName name="CDSHedgePnLNormal">'xVA Calculations'!#REF!</definedName>
    <definedName name="CDSHedgePnLStressed">'xVA Calculations'!#REF!</definedName>
    <definedName name="CDSNotionalDisc">'xVA Calculations'!#REF!</definedName>
    <definedName name="CDSsensitivity">'xVA Calculations'!#REF!</definedName>
    <definedName name="CntrptyLGD">'xVA Calculations'!$C$26</definedName>
    <definedName name="CorrAdv">'xVA Calculations'!#REF!</definedName>
    <definedName name="CorrStd">'xVA Calculations'!#REF!</definedName>
    <definedName name="CSA">'xVA Calculations'!#REF!</definedName>
    <definedName name="CVAbump">'xVA Calculations'!$AA$63</definedName>
    <definedName name="CVACapIMM">'xVA Calculations'!$AA$61</definedName>
    <definedName name="CVAcapitalCEM">'xVA Calculations'!$AA$59</definedName>
    <definedName name="CVACapitalCEMHedged">'xVA Calculations'!$AB$59</definedName>
    <definedName name="CVACapitalIMMHedged">'xVA Calculations'!$AB$61</definedName>
    <definedName name="CVACapitalSACCEHedged">'xVA Calculations'!$AB$60</definedName>
    <definedName name="CVAcapitalSACCR">'xVA Calculations'!$AA$60</definedName>
    <definedName name="CVADelta">'xVA Calculations'!$AA$64</definedName>
    <definedName name="CVAInc">'xVA Calculations'!#REF!</definedName>
    <definedName name="CVAIncStressed">'xVA Calculations'!#REF!</definedName>
    <definedName name="DefCapCEM">'xVA Calculations'!$AA$52</definedName>
    <definedName name="DefCapIMM">'xVA Calculations'!$AA$54</definedName>
    <definedName name="DefCapSACCR">'xVA Calculations'!$AA$53</definedName>
    <definedName name="DF_CEM">'xVA Calculations'!$AA$57</definedName>
    <definedName name="DF_IMM">'xVA Calculations'!#REF!</definedName>
    <definedName name="Df_M">'xVA Calculations'!#REF!</definedName>
    <definedName name="Duration">'xVA Calculations'!$AA$72</definedName>
    <definedName name="Duration1">'xVA Calculations'!$AA$42</definedName>
    <definedName name="Duration2">'xVA Calculations'!#REF!</definedName>
    <definedName name="EAD_CEM">'xVA Calculations'!$AA$47</definedName>
    <definedName name="EAD_CEM_CVAVAR">'xVA Calculations'!$AA$58</definedName>
    <definedName name="EAD_CEM_Hedged">'xVA Calculations'!$AB$47</definedName>
    <definedName name="EAD_IMM">'xVA Calculations'!$AA$51</definedName>
    <definedName name="EAD_IMM_Hedged">'xVA Calculations'!$AB$51</definedName>
    <definedName name="EAD_SACCR">'xVA Calculations'!$AA$50</definedName>
    <definedName name="EAD_SACCR_Hedged">'xVA Calculations'!$AB$50</definedName>
    <definedName name="EEPE">'xVA Calculations'!#REF!</definedName>
    <definedName name="FBA">'xVA Calculations'!$C$46</definedName>
    <definedName name="FCA">'xVA Calculations'!$C$45</definedName>
    <definedName name="HedgeBeta">'xVA Calculations'!$H$26</definedName>
    <definedName name="HedgeMaturity">'xVA Calculations'!#REF!</definedName>
    <definedName name="HedgeType">'xVA Calculations'!$H$25</definedName>
    <definedName name="HR">'xVA Calculations'!$AA$71</definedName>
    <definedName name="IMMYesNo">'xVA Calculations'!#REF!</definedName>
    <definedName name="IMVA">'xVA Calculations'!$C$47</definedName>
    <definedName name="IndexHedge">'xVA Calculations'!#REF!</definedName>
    <definedName name="InitialMargin1">'xVA Calculations'!$I$10</definedName>
    <definedName name="InitialMargin2">'xVA Calculations'!$I$11</definedName>
    <definedName name="InterestRate">'xVA Calculations'!$C$10</definedName>
    <definedName name="IRCorrelation">'xVA Calculations'!#REF!</definedName>
    <definedName name="IRMeanRev">'xVA Calculations'!#REF!</definedName>
    <definedName name="IRVol">'xVA Calculations'!$C$12</definedName>
    <definedName name="IRVolStressed">'xVA Calculations'!#REF!</definedName>
    <definedName name="KFac">'xVA Calculations'!#REF!</definedName>
    <definedName name="KVA">'xVA Calculations'!$C$48</definedName>
    <definedName name="MAFac">'xVA Calculations'!$AA$46</definedName>
    <definedName name="MAFac_IMM">'xVA Calculations'!#REF!</definedName>
    <definedName name="Mat_Cap_IMM_CVAVAR">'xVA Calculations'!#REF!</definedName>
    <definedName name="Maturity1">'xVA Calculations'!$C$9</definedName>
    <definedName name="Maturity2">'xVA Calculations'!#REF!</definedName>
    <definedName name="MCapped">'xVA Calculations'!#REF!</definedName>
    <definedName name="MEffMat">'xVA Calculations'!#REF!</definedName>
    <definedName name="MPR">'xVA Calculations'!$H$12</definedName>
    <definedName name="MPRfac">'xVA Calculations'!$AA$48</definedName>
    <definedName name="MtoM1">'xVA Calculations'!$AA$43</definedName>
    <definedName name="MtoM2">'xVA Calculations'!#REF!</definedName>
    <definedName name="NGR">'xVA Calculations'!#REF!</definedName>
    <definedName name="NormalDuration">'xVA Calculations'!$AA$69</definedName>
    <definedName name="Notional1">'xVA Calculations'!#REF!</definedName>
    <definedName name="Notional2">'xVA Calculations'!#REF!</definedName>
    <definedName name="NotWgtMat">'xVA Calculations'!#REF!</definedName>
    <definedName name="NotWgtMatCF">'xVA Calculations'!#REF!</definedName>
    <definedName name="NumCurvePoints">'xVA Calculations'!$C$34</definedName>
    <definedName name="NumCurvePoints2">'xVA Calculations'!$D$34</definedName>
    <definedName name="NumCurvePoints3">'xVA Calculations'!$E$34</definedName>
    <definedName name="NumPoints3">'xVA Calculations'!#REF!</definedName>
    <definedName name="OwnLGD">'xVA Calculations'!$D$26</definedName>
    <definedName name="OwnRecovery">'xVA Calculations'!#REF!</definedName>
    <definedName name="OwnSpread">'xVA Calculations'!#REF!</definedName>
    <definedName name="PD99.9">'xVA Calculations'!$AA$40</definedName>
    <definedName name="PDef">'xVA Calculations'!$H$16</definedName>
    <definedName name="PortEffAdv">'xVA Calculations'!#REF!</definedName>
    <definedName name="PortEffStd">'xVA Calculations'!#REF!</definedName>
    <definedName name="PortfolioSize">'xVA Calculations'!$H$21</definedName>
    <definedName name="Rating">'xVA Calculations'!$H$18</definedName>
    <definedName name="RDuration">'xVA Calculations'!#REF!</definedName>
    <definedName name="Recovery">'xVA Calculations'!#REF!</definedName>
    <definedName name="RegMaturity">'xVA Calculations'!$AA$45</definedName>
    <definedName name="Rho">'xVA Calculations'!$AA$39</definedName>
    <definedName name="SNCorrAdv">'xVA Calculations'!#REF!</definedName>
    <definedName name="SNHedge">'xVA Calculations'!#REF!</definedName>
    <definedName name="solver_adj" localSheetId="0" hidden="1">'xVA Calculations'!#REF!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'xVA Calculations'!#REF!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Spread">'xVA Calculations'!#REF!</definedName>
    <definedName name="SpreadToMaturity">'xVA Calculations'!$AA$70</definedName>
    <definedName name="SpreadVol">'xVA Calculations'!#REF!</definedName>
    <definedName name="SpreadVolStressed">'xVA Calculations'!#REF!</definedName>
    <definedName name="StressMultiplier">'xVA Calculations'!$H$20</definedName>
    <definedName name="SwapRate1">'xVA Calculations'!$C$11</definedName>
    <definedName name="SwapRate2">'xVA Calculations'!#REF!</definedName>
    <definedName name="TargetROC">'xVA Calculations'!$H$19</definedName>
    <definedName name="Threshold1">'xVA Calculations'!$H$11:$J$11</definedName>
    <definedName name="ThresholdA">'xVA Calculations'!$H$10</definedName>
    <definedName name="ThresholdB">'xVA Calculations'!$H$11</definedName>
    <definedName name="UBCVA">'xVA Calculations'!#REF!</definedName>
    <definedName name="UCVA">'xVA Calculations'!$C$43</definedName>
    <definedName name="UDVA">'xVA Calculations'!$C$44</definedName>
    <definedName name="WiFac">'xVA Calculations'!$AA$56</definedName>
  </definedNames>
  <calcPr calcId="152511" calcMode="manual" calcCompleted="0" calcOnSave="0"/>
</workbook>
</file>

<file path=xl/calcChain.xml><?xml version="1.0" encoding="utf-8"?>
<calcChain xmlns="http://schemas.openxmlformats.org/spreadsheetml/2006/main">
  <c r="AA47" i="1" l="1"/>
  <c r="X430" i="1" l="1"/>
  <c r="W430" i="1"/>
  <c r="V430" i="1"/>
  <c r="M31" i="1"/>
  <c r="AA48" i="1" l="1"/>
  <c r="AA42" i="1" l="1"/>
  <c r="AA43" i="1" l="1"/>
  <c r="AA49" i="1" s="1"/>
  <c r="AA50" i="1" s="1"/>
  <c r="AA69" i="1"/>
  <c r="N30" i="1" l="1"/>
  <c r="AT30" i="1" l="1"/>
  <c r="AP30" i="1" s="1"/>
  <c r="XFD12" i="5"/>
  <c r="AG30" i="1" l="1"/>
  <c r="AK30" i="1"/>
  <c r="AH30" i="1"/>
  <c r="A27" i="1"/>
  <c r="A26" i="1"/>
  <c r="A25" i="1"/>
  <c r="A24" i="1"/>
  <c r="A23" i="1"/>
  <c r="A22" i="1"/>
  <c r="A21" i="1"/>
  <c r="A20" i="1"/>
  <c r="AA56" i="1"/>
  <c r="T30" i="1" l="1"/>
  <c r="R30" i="1"/>
  <c r="E34" i="1"/>
  <c r="D34" i="1"/>
  <c r="C34" i="1"/>
  <c r="Q30" i="1"/>
  <c r="S30" i="1"/>
  <c r="AA39" i="1" l="1"/>
  <c r="AA40" i="1" s="1"/>
  <c r="AA70" i="1"/>
  <c r="AA71" i="1" l="1"/>
  <c r="AA45" i="1"/>
  <c r="O30" i="1"/>
  <c r="AA72" i="1" l="1"/>
  <c r="N31" i="1"/>
  <c r="O31" i="1"/>
  <c r="S31" i="1"/>
  <c r="AX31" i="1" l="1"/>
  <c r="AT31" i="1"/>
  <c r="N32" i="1"/>
  <c r="T31" i="1"/>
  <c r="S32" i="1"/>
  <c r="AK31" i="1" l="1"/>
  <c r="AP31" i="1"/>
  <c r="AH31" i="1"/>
  <c r="AG31" i="1"/>
  <c r="AX32" i="1"/>
  <c r="P30" i="1"/>
  <c r="R31" i="1"/>
  <c r="M32" i="1"/>
  <c r="P31" i="1"/>
  <c r="O32" i="1"/>
  <c r="T32" i="1" l="1"/>
  <c r="M33" i="1"/>
  <c r="T33" i="1" s="1"/>
  <c r="AV32" i="1"/>
  <c r="AU31" i="1"/>
  <c r="AV31" i="1"/>
  <c r="AU32" i="1"/>
  <c r="N33" i="1"/>
  <c r="R32" i="1"/>
  <c r="P32" i="1"/>
  <c r="Q33" i="1"/>
  <c r="S33" i="1"/>
  <c r="Q31" i="1"/>
  <c r="Q32" i="1"/>
  <c r="O33" i="1"/>
  <c r="AV33" i="1" l="1"/>
  <c r="AW31" i="1"/>
  <c r="AX33" i="1"/>
  <c r="AW33" i="1"/>
  <c r="AW32" i="1"/>
  <c r="AU33" i="1"/>
  <c r="N34" i="1"/>
  <c r="M34" i="1"/>
  <c r="T34" i="1" s="1"/>
  <c r="P33" i="1"/>
  <c r="R33" i="1"/>
  <c r="AA57" i="1"/>
  <c r="AA44" i="1"/>
  <c r="O34" i="1"/>
  <c r="Q34" i="1"/>
  <c r="S34" i="1"/>
  <c r="AV34" i="1" l="1"/>
  <c r="AX34" i="1"/>
  <c r="AU34" i="1"/>
  <c r="AW34" i="1"/>
  <c r="N35" i="1"/>
  <c r="M35" i="1"/>
  <c r="T35" i="1" s="1"/>
  <c r="P34" i="1"/>
  <c r="R34" i="1"/>
  <c r="AA41" i="1"/>
  <c r="AA46" i="1" s="1"/>
  <c r="S35" i="1"/>
  <c r="O35" i="1"/>
  <c r="Q35" i="1"/>
  <c r="AV35" i="1" l="1"/>
  <c r="AX35" i="1"/>
  <c r="AU35" i="1"/>
  <c r="AW35" i="1"/>
  <c r="N36" i="1"/>
  <c r="M36" i="1"/>
  <c r="T36" i="1" s="1"/>
  <c r="R35" i="1"/>
  <c r="P35" i="1"/>
  <c r="S36" i="1"/>
  <c r="Q36" i="1"/>
  <c r="O36" i="1"/>
  <c r="AV36" i="1" l="1"/>
  <c r="AX36" i="1"/>
  <c r="AW36" i="1"/>
  <c r="AU36" i="1"/>
  <c r="N37" i="1"/>
  <c r="M37" i="1"/>
  <c r="T37" i="1" s="1"/>
  <c r="R36" i="1"/>
  <c r="P36" i="1"/>
  <c r="S37" i="1"/>
  <c r="O37" i="1"/>
  <c r="Q37" i="1"/>
  <c r="AV37" i="1" l="1"/>
  <c r="AX37" i="1"/>
  <c r="AW37" i="1"/>
  <c r="AU37" i="1"/>
  <c r="N38" i="1"/>
  <c r="M38" i="1"/>
  <c r="T38" i="1" s="1"/>
  <c r="P37" i="1"/>
  <c r="R37" i="1"/>
  <c r="AS31" i="1"/>
  <c r="AS30" i="1"/>
  <c r="Q38" i="1"/>
  <c r="S38" i="1"/>
  <c r="O38" i="1"/>
  <c r="AV38" i="1" l="1"/>
  <c r="AX38" i="1"/>
  <c r="AU38" i="1"/>
  <c r="AW38" i="1"/>
  <c r="N39" i="1"/>
  <c r="M39" i="1"/>
  <c r="T39" i="1" s="1"/>
  <c r="P38" i="1"/>
  <c r="R38" i="1"/>
  <c r="O39" i="1"/>
  <c r="Q39" i="1"/>
  <c r="S39" i="1"/>
  <c r="AV39" i="1" l="1"/>
  <c r="AX39" i="1"/>
  <c r="AU39" i="1"/>
  <c r="AW39" i="1"/>
  <c r="AN30" i="1"/>
  <c r="V30" i="1" s="1"/>
  <c r="AI30" i="1"/>
  <c r="N40" i="1"/>
  <c r="M40" i="1"/>
  <c r="T40" i="1" s="1"/>
  <c r="R39" i="1"/>
  <c r="P39" i="1"/>
  <c r="AS32" i="1"/>
  <c r="AT32" i="1"/>
  <c r="AP32" i="1" s="1"/>
  <c r="Q40" i="1"/>
  <c r="S40" i="1"/>
  <c r="O40" i="1"/>
  <c r="AJ30" i="1" l="1"/>
  <c r="AL30" i="1" s="1"/>
  <c r="W30" i="1" s="1"/>
  <c r="U30" i="1"/>
  <c r="AV40" i="1"/>
  <c r="AH32" i="1"/>
  <c r="AK32" i="1"/>
  <c r="AG32" i="1"/>
  <c r="AX40" i="1"/>
  <c r="AW40" i="1"/>
  <c r="AU40" i="1"/>
  <c r="AO30" i="1"/>
  <c r="AQ30" i="1" s="1"/>
  <c r="X30" i="1" s="1"/>
  <c r="AN31" i="1"/>
  <c r="V31" i="1" s="1"/>
  <c r="AI31" i="1"/>
  <c r="U31" i="1" s="1"/>
  <c r="N41" i="1"/>
  <c r="M41" i="1"/>
  <c r="T41" i="1" s="1"/>
  <c r="R40" i="1"/>
  <c r="P40" i="1"/>
  <c r="AS33" i="1"/>
  <c r="AT33" i="1"/>
  <c r="AP33" i="1" s="1"/>
  <c r="S41" i="1"/>
  <c r="O41" i="1"/>
  <c r="Q41" i="1"/>
  <c r="AM30" i="1" l="1"/>
  <c r="AV41" i="1"/>
  <c r="AH33" i="1"/>
  <c r="AK33" i="1"/>
  <c r="AG33" i="1"/>
  <c r="AX41" i="1"/>
  <c r="AW41" i="1"/>
  <c r="AU41" i="1"/>
  <c r="AO31" i="1"/>
  <c r="AQ31" i="1" s="1"/>
  <c r="X31" i="1" s="1"/>
  <c r="AJ31" i="1"/>
  <c r="AL31" i="1" s="1"/>
  <c r="W31" i="1" s="1"/>
  <c r="AN32" i="1"/>
  <c r="V32" i="1" s="1"/>
  <c r="AI32" i="1"/>
  <c r="N42" i="1"/>
  <c r="M42" i="1"/>
  <c r="T42" i="1" s="1"/>
  <c r="R41" i="1"/>
  <c r="P41" i="1"/>
  <c r="AS34" i="1"/>
  <c r="AT34" i="1"/>
  <c r="AP34" i="1" s="1"/>
  <c r="O42" i="1"/>
  <c r="S42" i="1"/>
  <c r="Q42" i="1"/>
  <c r="AJ32" i="1" l="1"/>
  <c r="AL32" i="1" s="1"/>
  <c r="W32" i="1" s="1"/>
  <c r="U32" i="1"/>
  <c r="AV42" i="1"/>
  <c r="AH34" i="1"/>
  <c r="AK34" i="1"/>
  <c r="AG34" i="1"/>
  <c r="AX42" i="1"/>
  <c r="AW42" i="1"/>
  <c r="AU42" i="1"/>
  <c r="AO32" i="1"/>
  <c r="AQ32" i="1" s="1"/>
  <c r="X32" i="1" s="1"/>
  <c r="AM31" i="1"/>
  <c r="AN33" i="1"/>
  <c r="V33" i="1" s="1"/>
  <c r="AI33" i="1"/>
  <c r="N43" i="1"/>
  <c r="M43" i="1"/>
  <c r="T43" i="1" s="1"/>
  <c r="R42" i="1"/>
  <c r="P42" i="1"/>
  <c r="AS35" i="1"/>
  <c r="AT35" i="1"/>
  <c r="AP35" i="1" s="1"/>
  <c r="O43" i="1"/>
  <c r="S43" i="1"/>
  <c r="Q43" i="1"/>
  <c r="AJ33" i="1" l="1"/>
  <c r="AL33" i="1" s="1"/>
  <c r="W33" i="1" s="1"/>
  <c r="U33" i="1"/>
  <c r="AM32" i="1"/>
  <c r="AV43" i="1"/>
  <c r="AH35" i="1"/>
  <c r="AK35" i="1"/>
  <c r="AG35" i="1"/>
  <c r="AX43" i="1"/>
  <c r="AW43" i="1"/>
  <c r="AU43" i="1"/>
  <c r="AO33" i="1"/>
  <c r="AQ33" i="1" s="1"/>
  <c r="X33" i="1" s="1"/>
  <c r="AI34" i="1"/>
  <c r="AN34" i="1"/>
  <c r="V34" i="1" s="1"/>
  <c r="N44" i="1"/>
  <c r="M44" i="1"/>
  <c r="T44" i="1" s="1"/>
  <c r="R43" i="1"/>
  <c r="P43" i="1"/>
  <c r="AS36" i="1"/>
  <c r="AT36" i="1"/>
  <c r="AP36" i="1" s="1"/>
  <c r="O44" i="1"/>
  <c r="S44" i="1"/>
  <c r="Q44" i="1"/>
  <c r="AJ34" i="1" l="1"/>
  <c r="AL34" i="1" s="1"/>
  <c r="W34" i="1" s="1"/>
  <c r="U34" i="1"/>
  <c r="AM33" i="1"/>
  <c r="AV44" i="1"/>
  <c r="AH36" i="1"/>
  <c r="AK36" i="1"/>
  <c r="AG36" i="1"/>
  <c r="AX44" i="1"/>
  <c r="AW44" i="1"/>
  <c r="AU44" i="1"/>
  <c r="AO34" i="1"/>
  <c r="AQ34" i="1" s="1"/>
  <c r="X34" i="1" s="1"/>
  <c r="AN35" i="1"/>
  <c r="V35" i="1" s="1"/>
  <c r="AI35" i="1"/>
  <c r="U35" i="1" s="1"/>
  <c r="N45" i="1"/>
  <c r="M45" i="1"/>
  <c r="T45" i="1" s="1"/>
  <c r="P44" i="1"/>
  <c r="R44" i="1"/>
  <c r="AS37" i="1"/>
  <c r="AT37" i="1"/>
  <c r="AP37" i="1" s="1"/>
  <c r="S45" i="1"/>
  <c r="O45" i="1"/>
  <c r="Q45" i="1"/>
  <c r="AM34" i="1" l="1"/>
  <c r="AV45" i="1"/>
  <c r="AH37" i="1"/>
  <c r="AK37" i="1"/>
  <c r="AG37" i="1"/>
  <c r="AX45" i="1"/>
  <c r="AW45" i="1"/>
  <c r="AU45" i="1"/>
  <c r="AO35" i="1"/>
  <c r="AQ35" i="1" s="1"/>
  <c r="X35" i="1" s="1"/>
  <c r="AJ35" i="1"/>
  <c r="AL35" i="1" s="1"/>
  <c r="W35" i="1" s="1"/>
  <c r="AI36" i="1"/>
  <c r="AN36" i="1"/>
  <c r="V36" i="1" s="1"/>
  <c r="N46" i="1"/>
  <c r="M46" i="1"/>
  <c r="T46" i="1" s="1"/>
  <c r="P45" i="1"/>
  <c r="R45" i="1"/>
  <c r="AS38" i="1"/>
  <c r="AT38" i="1"/>
  <c r="AP38" i="1" s="1"/>
  <c r="O46" i="1"/>
  <c r="S46" i="1"/>
  <c r="Q46" i="1"/>
  <c r="AJ36" i="1" l="1"/>
  <c r="AL36" i="1" s="1"/>
  <c r="W36" i="1" s="1"/>
  <c r="U36" i="1"/>
  <c r="AV46" i="1"/>
  <c r="AH38" i="1"/>
  <c r="AK38" i="1"/>
  <c r="AG38" i="1"/>
  <c r="AX46" i="1"/>
  <c r="AW46" i="1"/>
  <c r="AU46" i="1"/>
  <c r="AM35" i="1"/>
  <c r="AO36" i="1"/>
  <c r="AQ36" i="1" s="1"/>
  <c r="X36" i="1" s="1"/>
  <c r="AN37" i="1"/>
  <c r="V37" i="1" s="1"/>
  <c r="AI37" i="1"/>
  <c r="U37" i="1" s="1"/>
  <c r="N47" i="1"/>
  <c r="M47" i="1"/>
  <c r="T47" i="1" s="1"/>
  <c r="R46" i="1"/>
  <c r="P46" i="1"/>
  <c r="AS39" i="1"/>
  <c r="AT39" i="1"/>
  <c r="AP39" i="1" s="1"/>
  <c r="O47" i="1"/>
  <c r="Q47" i="1"/>
  <c r="S47" i="1"/>
  <c r="AM36" i="1" l="1"/>
  <c r="AV47" i="1"/>
  <c r="AH39" i="1"/>
  <c r="AK39" i="1"/>
  <c r="AG39" i="1"/>
  <c r="AX47" i="1"/>
  <c r="AW47" i="1"/>
  <c r="AU47" i="1"/>
  <c r="AO37" i="1"/>
  <c r="AQ37" i="1" s="1"/>
  <c r="X37" i="1" s="1"/>
  <c r="AJ37" i="1"/>
  <c r="AL37" i="1" s="1"/>
  <c r="W37" i="1" s="1"/>
  <c r="AI38" i="1"/>
  <c r="AN38" i="1"/>
  <c r="V38" i="1" s="1"/>
  <c r="N48" i="1"/>
  <c r="M48" i="1"/>
  <c r="T48" i="1" s="1"/>
  <c r="R47" i="1"/>
  <c r="P47" i="1"/>
  <c r="AS40" i="1"/>
  <c r="AT40" i="1"/>
  <c r="AP40" i="1" s="1"/>
  <c r="O48" i="1"/>
  <c r="Q48" i="1"/>
  <c r="S48" i="1"/>
  <c r="AJ38" i="1" l="1"/>
  <c r="AL38" i="1" s="1"/>
  <c r="W38" i="1" s="1"/>
  <c r="U38" i="1"/>
  <c r="AV48" i="1"/>
  <c r="AH40" i="1"/>
  <c r="AK40" i="1"/>
  <c r="AG40" i="1"/>
  <c r="AX48" i="1"/>
  <c r="AU48" i="1"/>
  <c r="AW48" i="1"/>
  <c r="AM37" i="1"/>
  <c r="AO38" i="1"/>
  <c r="AQ38" i="1" s="1"/>
  <c r="X38" i="1" s="1"/>
  <c r="AN39" i="1"/>
  <c r="V39" i="1" s="1"/>
  <c r="AI39" i="1"/>
  <c r="N49" i="1"/>
  <c r="M49" i="1"/>
  <c r="T49" i="1" s="1"/>
  <c r="R48" i="1"/>
  <c r="P48" i="1"/>
  <c r="AS41" i="1"/>
  <c r="AT41" i="1"/>
  <c r="AP41" i="1" s="1"/>
  <c r="Q49" i="1"/>
  <c r="S49" i="1"/>
  <c r="O49" i="1"/>
  <c r="AJ39" i="1" l="1"/>
  <c r="AL39" i="1" s="1"/>
  <c r="W39" i="1" s="1"/>
  <c r="U39" i="1"/>
  <c r="AM38" i="1"/>
  <c r="AV49" i="1"/>
  <c r="AH41" i="1"/>
  <c r="AK41" i="1"/>
  <c r="AG41" i="1"/>
  <c r="AX49" i="1"/>
  <c r="AW49" i="1"/>
  <c r="AU49" i="1"/>
  <c r="AO39" i="1"/>
  <c r="AQ39" i="1" s="1"/>
  <c r="X39" i="1" s="1"/>
  <c r="AI40" i="1"/>
  <c r="AN40" i="1"/>
  <c r="V40" i="1" s="1"/>
  <c r="N50" i="1"/>
  <c r="M50" i="1"/>
  <c r="T50" i="1" s="1"/>
  <c r="P49" i="1"/>
  <c r="R49" i="1"/>
  <c r="AS42" i="1"/>
  <c r="AT42" i="1"/>
  <c r="AP42" i="1" s="1"/>
  <c r="Q50" i="1"/>
  <c r="O50" i="1"/>
  <c r="S50" i="1"/>
  <c r="AJ40" i="1" l="1"/>
  <c r="AL40" i="1" s="1"/>
  <c r="W40" i="1" s="1"/>
  <c r="U40" i="1"/>
  <c r="AM39" i="1"/>
  <c r="AV50" i="1"/>
  <c r="AH42" i="1"/>
  <c r="AK42" i="1"/>
  <c r="AG42" i="1"/>
  <c r="AX50" i="1"/>
  <c r="AW50" i="1"/>
  <c r="AU50" i="1"/>
  <c r="AO40" i="1"/>
  <c r="AQ40" i="1" s="1"/>
  <c r="X40" i="1" s="1"/>
  <c r="AN41" i="1"/>
  <c r="V41" i="1" s="1"/>
  <c r="AI41" i="1"/>
  <c r="N51" i="1"/>
  <c r="M51" i="1"/>
  <c r="T51" i="1" s="1"/>
  <c r="P50" i="1"/>
  <c r="R50" i="1"/>
  <c r="AS43" i="1"/>
  <c r="AT43" i="1"/>
  <c r="AP43" i="1" s="1"/>
  <c r="Q51" i="1"/>
  <c r="S51" i="1"/>
  <c r="O51" i="1"/>
  <c r="AJ41" i="1" l="1"/>
  <c r="AL41" i="1" s="1"/>
  <c r="W41" i="1" s="1"/>
  <c r="U41" i="1"/>
  <c r="AV51" i="1"/>
  <c r="AH43" i="1"/>
  <c r="AK43" i="1"/>
  <c r="AG43" i="1"/>
  <c r="AX51" i="1"/>
  <c r="AW51" i="1"/>
  <c r="AU51" i="1"/>
  <c r="AO41" i="1"/>
  <c r="AQ41" i="1" s="1"/>
  <c r="X41" i="1" s="1"/>
  <c r="AI42" i="1"/>
  <c r="AN42" i="1"/>
  <c r="V42" i="1" s="1"/>
  <c r="N52" i="1"/>
  <c r="M52" i="1"/>
  <c r="T52" i="1" s="1"/>
  <c r="R51" i="1"/>
  <c r="P51" i="1"/>
  <c r="AS44" i="1"/>
  <c r="AT44" i="1"/>
  <c r="AP44" i="1" s="1"/>
  <c r="Q52" i="1"/>
  <c r="S52" i="1"/>
  <c r="O52" i="1"/>
  <c r="AJ42" i="1" l="1"/>
  <c r="AL42" i="1" s="1"/>
  <c r="W42" i="1" s="1"/>
  <c r="U42" i="1"/>
  <c r="AV52" i="1"/>
  <c r="AH44" i="1"/>
  <c r="AK44" i="1"/>
  <c r="AG44" i="1"/>
  <c r="AX52" i="1"/>
  <c r="AU52" i="1"/>
  <c r="AW52" i="1"/>
  <c r="AO42" i="1"/>
  <c r="AQ42" i="1" s="1"/>
  <c r="X42" i="1" s="1"/>
  <c r="AN43" i="1"/>
  <c r="V43" i="1" s="1"/>
  <c r="AI43" i="1"/>
  <c r="N53" i="1"/>
  <c r="M53" i="1"/>
  <c r="T53" i="1" s="1"/>
  <c r="R52" i="1"/>
  <c r="P52" i="1"/>
  <c r="AS45" i="1"/>
  <c r="AT45" i="1"/>
  <c r="AP45" i="1" s="1"/>
  <c r="Q53" i="1"/>
  <c r="S53" i="1"/>
  <c r="O53" i="1"/>
  <c r="AJ43" i="1" l="1"/>
  <c r="AL43" i="1" s="1"/>
  <c r="W43" i="1" s="1"/>
  <c r="U43" i="1"/>
  <c r="AV53" i="1"/>
  <c r="AH45" i="1"/>
  <c r="AK45" i="1"/>
  <c r="AG45" i="1"/>
  <c r="AX53" i="1"/>
  <c r="AW53" i="1"/>
  <c r="AU53" i="1"/>
  <c r="AO43" i="1"/>
  <c r="AQ43" i="1" s="1"/>
  <c r="X43" i="1" s="1"/>
  <c r="AI44" i="1"/>
  <c r="AN44" i="1"/>
  <c r="V44" i="1" s="1"/>
  <c r="N54" i="1"/>
  <c r="M54" i="1"/>
  <c r="T54" i="1" s="1"/>
  <c r="P53" i="1"/>
  <c r="R53" i="1"/>
  <c r="AS46" i="1"/>
  <c r="AT46" i="1"/>
  <c r="Q54" i="1"/>
  <c r="O54" i="1"/>
  <c r="S54" i="1"/>
  <c r="AJ44" i="1" l="1"/>
  <c r="AL44" i="1" s="1"/>
  <c r="W44" i="1" s="1"/>
  <c r="U44" i="1"/>
  <c r="AV54" i="1"/>
  <c r="AK46" i="1"/>
  <c r="AP46" i="1"/>
  <c r="AG46" i="1"/>
  <c r="AH46" i="1"/>
  <c r="AX54" i="1"/>
  <c r="AW54" i="1"/>
  <c r="AU54" i="1"/>
  <c r="AO44" i="1"/>
  <c r="AQ44" i="1" s="1"/>
  <c r="X44" i="1" s="1"/>
  <c r="AN45" i="1"/>
  <c r="V45" i="1" s="1"/>
  <c r="AI45" i="1"/>
  <c r="N55" i="1"/>
  <c r="M55" i="1"/>
  <c r="T55" i="1" s="1"/>
  <c r="P54" i="1"/>
  <c r="R54" i="1"/>
  <c r="AS47" i="1"/>
  <c r="AT47" i="1"/>
  <c r="AP47" i="1" s="1"/>
  <c r="O55" i="1"/>
  <c r="S55" i="1"/>
  <c r="Q55" i="1"/>
  <c r="AJ45" i="1" l="1"/>
  <c r="AL45" i="1" s="1"/>
  <c r="W45" i="1" s="1"/>
  <c r="U45" i="1"/>
  <c r="AV55" i="1"/>
  <c r="AH47" i="1"/>
  <c r="AK47" i="1"/>
  <c r="AG47" i="1"/>
  <c r="AX55" i="1"/>
  <c r="AW55" i="1"/>
  <c r="AU55" i="1"/>
  <c r="AO45" i="1"/>
  <c r="AQ45" i="1" s="1"/>
  <c r="X45" i="1" s="1"/>
  <c r="AI46" i="1"/>
  <c r="AN46" i="1"/>
  <c r="V46" i="1" s="1"/>
  <c r="N56" i="1"/>
  <c r="M56" i="1"/>
  <c r="T56" i="1" s="1"/>
  <c r="R55" i="1"/>
  <c r="P55" i="1"/>
  <c r="AS48" i="1"/>
  <c r="AT48" i="1"/>
  <c r="AP48" i="1" s="1"/>
  <c r="Q56" i="1"/>
  <c r="S56" i="1"/>
  <c r="O56" i="1"/>
  <c r="AJ46" i="1" l="1"/>
  <c r="AL46" i="1" s="1"/>
  <c r="W46" i="1" s="1"/>
  <c r="U46" i="1"/>
  <c r="AV56" i="1"/>
  <c r="AH48" i="1"/>
  <c r="AK48" i="1"/>
  <c r="AG48" i="1"/>
  <c r="AX56" i="1"/>
  <c r="AW56" i="1"/>
  <c r="AU56" i="1"/>
  <c r="AO46" i="1"/>
  <c r="AQ46" i="1" s="1"/>
  <c r="X46" i="1" s="1"/>
  <c r="AN47" i="1"/>
  <c r="V47" i="1" s="1"/>
  <c r="AI47" i="1"/>
  <c r="N57" i="1"/>
  <c r="M57" i="1"/>
  <c r="T57" i="1" s="1"/>
  <c r="R56" i="1"/>
  <c r="P56" i="1"/>
  <c r="AS49" i="1"/>
  <c r="AT49" i="1"/>
  <c r="AP49" i="1" s="1"/>
  <c r="Q57" i="1"/>
  <c r="S57" i="1"/>
  <c r="O57" i="1"/>
  <c r="AJ47" i="1" l="1"/>
  <c r="AL47" i="1" s="1"/>
  <c r="W47" i="1" s="1"/>
  <c r="U47" i="1"/>
  <c r="AV57" i="1"/>
  <c r="AH49" i="1"/>
  <c r="AK49" i="1"/>
  <c r="AG49" i="1"/>
  <c r="AX57" i="1"/>
  <c r="AW57" i="1"/>
  <c r="AU57" i="1"/>
  <c r="AO47" i="1"/>
  <c r="AQ47" i="1" s="1"/>
  <c r="X47" i="1" s="1"/>
  <c r="AI48" i="1"/>
  <c r="AN48" i="1"/>
  <c r="V48" i="1" s="1"/>
  <c r="N58" i="1"/>
  <c r="M58" i="1"/>
  <c r="T58" i="1" s="1"/>
  <c r="R57" i="1"/>
  <c r="P57" i="1"/>
  <c r="AS50" i="1"/>
  <c r="AT50" i="1"/>
  <c r="AP50" i="1" s="1"/>
  <c r="O58" i="1"/>
  <c r="S58" i="1"/>
  <c r="Q58" i="1"/>
  <c r="AJ48" i="1" l="1"/>
  <c r="AL48" i="1" s="1"/>
  <c r="W48" i="1" s="1"/>
  <c r="U48" i="1"/>
  <c r="AV58" i="1"/>
  <c r="AH50" i="1"/>
  <c r="AK50" i="1"/>
  <c r="AG50" i="1"/>
  <c r="AX58" i="1"/>
  <c r="AU58" i="1"/>
  <c r="AW58" i="1"/>
  <c r="AO48" i="1"/>
  <c r="AQ48" i="1" s="1"/>
  <c r="X48" i="1" s="1"/>
  <c r="AN49" i="1"/>
  <c r="V49" i="1" s="1"/>
  <c r="AI49" i="1"/>
  <c r="N59" i="1"/>
  <c r="M59" i="1"/>
  <c r="T59" i="1" s="1"/>
  <c r="R58" i="1"/>
  <c r="P58" i="1"/>
  <c r="AS51" i="1"/>
  <c r="AT51" i="1"/>
  <c r="AP51" i="1" s="1"/>
  <c r="Q59" i="1"/>
  <c r="O59" i="1"/>
  <c r="S59" i="1"/>
  <c r="AJ49" i="1" l="1"/>
  <c r="AL49" i="1" s="1"/>
  <c r="W49" i="1" s="1"/>
  <c r="U49" i="1"/>
  <c r="AV59" i="1"/>
  <c r="AH51" i="1"/>
  <c r="AK51" i="1"/>
  <c r="AG51" i="1"/>
  <c r="AX59" i="1"/>
  <c r="AU59" i="1"/>
  <c r="AW59" i="1"/>
  <c r="AO49" i="1"/>
  <c r="AQ49" i="1" s="1"/>
  <c r="X49" i="1" s="1"/>
  <c r="AI50" i="1"/>
  <c r="AN50" i="1"/>
  <c r="V50" i="1" s="1"/>
  <c r="N60" i="1"/>
  <c r="M60" i="1"/>
  <c r="T60" i="1" s="1"/>
  <c r="R59" i="1"/>
  <c r="P59" i="1"/>
  <c r="AS52" i="1"/>
  <c r="AT52" i="1"/>
  <c r="AP52" i="1" s="1"/>
  <c r="O60" i="1"/>
  <c r="S60" i="1"/>
  <c r="Q60" i="1"/>
  <c r="AJ50" i="1" l="1"/>
  <c r="AL50" i="1" s="1"/>
  <c r="W50" i="1" s="1"/>
  <c r="U50" i="1"/>
  <c r="AV60" i="1"/>
  <c r="AH52" i="1"/>
  <c r="AK52" i="1"/>
  <c r="AG52" i="1"/>
  <c r="AX60" i="1"/>
  <c r="AU60" i="1"/>
  <c r="AW60" i="1"/>
  <c r="AO50" i="1"/>
  <c r="AQ50" i="1" s="1"/>
  <c r="X50" i="1" s="1"/>
  <c r="AN51" i="1"/>
  <c r="V51" i="1" s="1"/>
  <c r="AI51" i="1"/>
  <c r="N61" i="1"/>
  <c r="M61" i="1"/>
  <c r="T61" i="1" s="1"/>
  <c r="R60" i="1"/>
  <c r="P60" i="1"/>
  <c r="AS53" i="1"/>
  <c r="AT53" i="1"/>
  <c r="AP53" i="1" s="1"/>
  <c r="Q61" i="1"/>
  <c r="S61" i="1"/>
  <c r="O61" i="1"/>
  <c r="AJ51" i="1" l="1"/>
  <c r="AL51" i="1" s="1"/>
  <c r="W51" i="1" s="1"/>
  <c r="U51" i="1"/>
  <c r="AV61" i="1"/>
  <c r="AH53" i="1"/>
  <c r="AK53" i="1"/>
  <c r="AG53" i="1"/>
  <c r="AX61" i="1"/>
  <c r="AU61" i="1"/>
  <c r="AW61" i="1"/>
  <c r="AO51" i="1"/>
  <c r="AQ51" i="1" s="1"/>
  <c r="X51" i="1" s="1"/>
  <c r="AI52" i="1"/>
  <c r="AN52" i="1"/>
  <c r="V52" i="1" s="1"/>
  <c r="N62" i="1"/>
  <c r="M62" i="1"/>
  <c r="T62" i="1" s="1"/>
  <c r="P61" i="1"/>
  <c r="R61" i="1"/>
  <c r="AS54" i="1"/>
  <c r="AT54" i="1"/>
  <c r="AP54" i="1" s="1"/>
  <c r="O62" i="1"/>
  <c r="S62" i="1"/>
  <c r="Q62" i="1"/>
  <c r="AJ52" i="1" l="1"/>
  <c r="AL52" i="1" s="1"/>
  <c r="W52" i="1" s="1"/>
  <c r="U52" i="1"/>
  <c r="AV62" i="1"/>
  <c r="AH54" i="1"/>
  <c r="AK54" i="1"/>
  <c r="AG54" i="1"/>
  <c r="AX62" i="1"/>
  <c r="AW62" i="1"/>
  <c r="AU62" i="1"/>
  <c r="AO52" i="1"/>
  <c r="AQ52" i="1" s="1"/>
  <c r="X52" i="1" s="1"/>
  <c r="AN53" i="1"/>
  <c r="V53" i="1" s="1"/>
  <c r="AI53" i="1"/>
  <c r="N63" i="1"/>
  <c r="M63" i="1"/>
  <c r="T63" i="1" s="1"/>
  <c r="R62" i="1"/>
  <c r="P62" i="1"/>
  <c r="AS55" i="1"/>
  <c r="AT55" i="1"/>
  <c r="AP55" i="1" s="1"/>
  <c r="Q63" i="1"/>
  <c r="O63" i="1"/>
  <c r="S63" i="1"/>
  <c r="AJ53" i="1" l="1"/>
  <c r="AL53" i="1" s="1"/>
  <c r="W53" i="1" s="1"/>
  <c r="U53" i="1"/>
  <c r="AV63" i="1"/>
  <c r="AH55" i="1"/>
  <c r="AK55" i="1"/>
  <c r="AG55" i="1"/>
  <c r="AX63" i="1"/>
  <c r="AW63" i="1"/>
  <c r="AU63" i="1"/>
  <c r="AO53" i="1"/>
  <c r="AQ53" i="1" s="1"/>
  <c r="X53" i="1" s="1"/>
  <c r="AI54" i="1"/>
  <c r="AN54" i="1"/>
  <c r="V54" i="1" s="1"/>
  <c r="N64" i="1"/>
  <c r="M64" i="1"/>
  <c r="T64" i="1" s="1"/>
  <c r="R63" i="1"/>
  <c r="P63" i="1"/>
  <c r="AS56" i="1"/>
  <c r="AT56" i="1"/>
  <c r="AP56" i="1" s="1"/>
  <c r="S64" i="1"/>
  <c r="O64" i="1"/>
  <c r="Q64" i="1"/>
  <c r="AJ54" i="1" l="1"/>
  <c r="AL54" i="1" s="1"/>
  <c r="W54" i="1" s="1"/>
  <c r="U54" i="1"/>
  <c r="AV64" i="1"/>
  <c r="AH56" i="1"/>
  <c r="AK56" i="1"/>
  <c r="AG56" i="1"/>
  <c r="AX64" i="1"/>
  <c r="AU64" i="1"/>
  <c r="AW64" i="1"/>
  <c r="AO54" i="1"/>
  <c r="AQ54" i="1" s="1"/>
  <c r="X54" i="1" s="1"/>
  <c r="AN55" i="1"/>
  <c r="V55" i="1" s="1"/>
  <c r="AI55" i="1"/>
  <c r="N65" i="1"/>
  <c r="M65" i="1"/>
  <c r="T65" i="1" s="1"/>
  <c r="R64" i="1"/>
  <c r="P64" i="1"/>
  <c r="AS57" i="1"/>
  <c r="AT57" i="1"/>
  <c r="AP57" i="1" s="1"/>
  <c r="Q65" i="1"/>
  <c r="S65" i="1"/>
  <c r="O65" i="1"/>
  <c r="AJ55" i="1" l="1"/>
  <c r="AL55" i="1" s="1"/>
  <c r="W55" i="1" s="1"/>
  <c r="U55" i="1"/>
  <c r="AV65" i="1"/>
  <c r="AH57" i="1"/>
  <c r="AK57" i="1"/>
  <c r="AG57" i="1"/>
  <c r="AX65" i="1"/>
  <c r="AU65" i="1"/>
  <c r="AW65" i="1"/>
  <c r="AO55" i="1"/>
  <c r="AQ55" i="1" s="1"/>
  <c r="X55" i="1" s="1"/>
  <c r="AI56" i="1"/>
  <c r="AN56" i="1"/>
  <c r="V56" i="1" s="1"/>
  <c r="N66" i="1"/>
  <c r="M66" i="1"/>
  <c r="T66" i="1" s="1"/>
  <c r="P65" i="1"/>
  <c r="R65" i="1"/>
  <c r="AS58" i="1"/>
  <c r="AT58" i="1"/>
  <c r="AP58" i="1" s="1"/>
  <c r="O66" i="1"/>
  <c r="S66" i="1"/>
  <c r="Q66" i="1"/>
  <c r="AJ56" i="1" l="1"/>
  <c r="AL56" i="1" s="1"/>
  <c r="W56" i="1" s="1"/>
  <c r="U56" i="1"/>
  <c r="AV66" i="1"/>
  <c r="AH58" i="1"/>
  <c r="AK58" i="1"/>
  <c r="AG58" i="1"/>
  <c r="AX66" i="1"/>
  <c r="AW66" i="1"/>
  <c r="AU66" i="1"/>
  <c r="AO56" i="1"/>
  <c r="AQ56" i="1" s="1"/>
  <c r="X56" i="1" s="1"/>
  <c r="AN57" i="1"/>
  <c r="V57" i="1" s="1"/>
  <c r="AI57" i="1"/>
  <c r="N67" i="1"/>
  <c r="M67" i="1"/>
  <c r="T67" i="1" s="1"/>
  <c r="P66" i="1"/>
  <c r="R66" i="1"/>
  <c r="AS59" i="1"/>
  <c r="AT59" i="1"/>
  <c r="AP59" i="1" s="1"/>
  <c r="O67" i="1"/>
  <c r="Q67" i="1"/>
  <c r="S67" i="1"/>
  <c r="AJ57" i="1" l="1"/>
  <c r="AL57" i="1" s="1"/>
  <c r="W57" i="1" s="1"/>
  <c r="U57" i="1"/>
  <c r="AV67" i="1"/>
  <c r="AH59" i="1"/>
  <c r="AK59" i="1"/>
  <c r="AG59" i="1"/>
  <c r="AX67" i="1"/>
  <c r="AU67" i="1"/>
  <c r="AW67" i="1"/>
  <c r="AO57" i="1"/>
  <c r="AQ57" i="1" s="1"/>
  <c r="X57" i="1" s="1"/>
  <c r="AI58" i="1"/>
  <c r="AN58" i="1"/>
  <c r="V58" i="1" s="1"/>
  <c r="N68" i="1"/>
  <c r="M68" i="1"/>
  <c r="T68" i="1" s="1"/>
  <c r="R67" i="1"/>
  <c r="P67" i="1"/>
  <c r="AS60" i="1"/>
  <c r="AT60" i="1"/>
  <c r="AP60" i="1" s="1"/>
  <c r="O68" i="1"/>
  <c r="Q68" i="1"/>
  <c r="S68" i="1"/>
  <c r="AJ58" i="1" l="1"/>
  <c r="AL58" i="1" s="1"/>
  <c r="W58" i="1" s="1"/>
  <c r="U58" i="1"/>
  <c r="AV68" i="1"/>
  <c r="AH60" i="1"/>
  <c r="AK60" i="1"/>
  <c r="AG60" i="1"/>
  <c r="AX68" i="1"/>
  <c r="AU68" i="1"/>
  <c r="AW68" i="1"/>
  <c r="AO58" i="1"/>
  <c r="AQ58" i="1" s="1"/>
  <c r="X58" i="1" s="1"/>
  <c r="AN59" i="1"/>
  <c r="V59" i="1" s="1"/>
  <c r="AI59" i="1"/>
  <c r="N69" i="1"/>
  <c r="M69" i="1"/>
  <c r="T69" i="1" s="1"/>
  <c r="R68" i="1"/>
  <c r="P68" i="1"/>
  <c r="AS61" i="1"/>
  <c r="AT61" i="1"/>
  <c r="AP61" i="1" s="1"/>
  <c r="Q69" i="1"/>
  <c r="O69" i="1"/>
  <c r="S69" i="1"/>
  <c r="AJ59" i="1" l="1"/>
  <c r="AL59" i="1" s="1"/>
  <c r="W59" i="1" s="1"/>
  <c r="U59" i="1"/>
  <c r="AV69" i="1"/>
  <c r="AH61" i="1"/>
  <c r="AK61" i="1"/>
  <c r="AG61" i="1"/>
  <c r="AX69" i="1"/>
  <c r="AU69" i="1"/>
  <c r="AW69" i="1"/>
  <c r="AO59" i="1"/>
  <c r="AQ59" i="1" s="1"/>
  <c r="X59" i="1" s="1"/>
  <c r="AI60" i="1"/>
  <c r="AN60" i="1"/>
  <c r="V60" i="1" s="1"/>
  <c r="N70" i="1"/>
  <c r="M70" i="1"/>
  <c r="T70" i="1" s="1"/>
  <c r="P69" i="1"/>
  <c r="R69" i="1"/>
  <c r="AS62" i="1"/>
  <c r="AT62" i="1"/>
  <c r="AP62" i="1" s="1"/>
  <c r="S70" i="1"/>
  <c r="Q70" i="1"/>
  <c r="O70" i="1"/>
  <c r="AJ60" i="1" l="1"/>
  <c r="AL60" i="1" s="1"/>
  <c r="W60" i="1" s="1"/>
  <c r="U60" i="1"/>
  <c r="AV70" i="1"/>
  <c r="AH62" i="1"/>
  <c r="AK62" i="1"/>
  <c r="AG62" i="1"/>
  <c r="AX70" i="1"/>
  <c r="AU70" i="1"/>
  <c r="AW70" i="1"/>
  <c r="AO60" i="1"/>
  <c r="AQ60" i="1" s="1"/>
  <c r="X60" i="1" s="1"/>
  <c r="AN61" i="1"/>
  <c r="V61" i="1" s="1"/>
  <c r="AI61" i="1"/>
  <c r="N71" i="1"/>
  <c r="M71" i="1"/>
  <c r="T71" i="1" s="1"/>
  <c r="R70" i="1"/>
  <c r="P70" i="1"/>
  <c r="AS63" i="1"/>
  <c r="AT63" i="1"/>
  <c r="AP63" i="1" s="1"/>
  <c r="O71" i="1"/>
  <c r="S71" i="1"/>
  <c r="Q71" i="1"/>
  <c r="AJ61" i="1" l="1"/>
  <c r="AL61" i="1" s="1"/>
  <c r="W61" i="1" s="1"/>
  <c r="U61" i="1"/>
  <c r="AV71" i="1"/>
  <c r="AH63" i="1"/>
  <c r="AK63" i="1"/>
  <c r="AG63" i="1"/>
  <c r="AX71" i="1"/>
  <c r="AW71" i="1"/>
  <c r="AU71" i="1"/>
  <c r="AO61" i="1"/>
  <c r="AQ61" i="1" s="1"/>
  <c r="X61" i="1" s="1"/>
  <c r="AI62" i="1"/>
  <c r="AN62" i="1"/>
  <c r="V62" i="1" s="1"/>
  <c r="N72" i="1"/>
  <c r="M72" i="1"/>
  <c r="T72" i="1" s="1"/>
  <c r="R71" i="1"/>
  <c r="P71" i="1"/>
  <c r="AS64" i="1"/>
  <c r="AT64" i="1"/>
  <c r="AP64" i="1" s="1"/>
  <c r="Q72" i="1"/>
  <c r="S72" i="1"/>
  <c r="O72" i="1"/>
  <c r="AJ62" i="1" l="1"/>
  <c r="AL62" i="1" s="1"/>
  <c r="W62" i="1" s="1"/>
  <c r="U62" i="1"/>
  <c r="AV72" i="1"/>
  <c r="AH64" i="1"/>
  <c r="AK64" i="1"/>
  <c r="AG64" i="1"/>
  <c r="AX72" i="1"/>
  <c r="AW72" i="1"/>
  <c r="AU72" i="1"/>
  <c r="AO62" i="1"/>
  <c r="AQ62" i="1" s="1"/>
  <c r="X62" i="1" s="1"/>
  <c r="AN63" i="1"/>
  <c r="V63" i="1" s="1"/>
  <c r="AI63" i="1"/>
  <c r="N73" i="1"/>
  <c r="M73" i="1"/>
  <c r="T73" i="1" s="1"/>
  <c r="R72" i="1"/>
  <c r="P72" i="1"/>
  <c r="AS65" i="1"/>
  <c r="AT65" i="1"/>
  <c r="AP65" i="1" s="1"/>
  <c r="Q73" i="1"/>
  <c r="S73" i="1"/>
  <c r="O73" i="1"/>
  <c r="AJ63" i="1" l="1"/>
  <c r="AL63" i="1" s="1"/>
  <c r="W63" i="1" s="1"/>
  <c r="U63" i="1"/>
  <c r="AV73" i="1"/>
  <c r="AH65" i="1"/>
  <c r="AK65" i="1"/>
  <c r="AG65" i="1"/>
  <c r="AX73" i="1"/>
  <c r="AW73" i="1"/>
  <c r="AU73" i="1"/>
  <c r="AO63" i="1"/>
  <c r="AQ63" i="1" s="1"/>
  <c r="X63" i="1" s="1"/>
  <c r="AI64" i="1"/>
  <c r="AN64" i="1"/>
  <c r="V64" i="1" s="1"/>
  <c r="N74" i="1"/>
  <c r="M74" i="1"/>
  <c r="T74" i="1" s="1"/>
  <c r="P73" i="1"/>
  <c r="R73" i="1"/>
  <c r="AS66" i="1"/>
  <c r="AT66" i="1"/>
  <c r="AP66" i="1" s="1"/>
  <c r="Q74" i="1"/>
  <c r="O74" i="1"/>
  <c r="S74" i="1"/>
  <c r="AJ64" i="1" l="1"/>
  <c r="AL64" i="1" s="1"/>
  <c r="W64" i="1" s="1"/>
  <c r="U64" i="1"/>
  <c r="AV74" i="1"/>
  <c r="AH66" i="1"/>
  <c r="AK66" i="1"/>
  <c r="AG66" i="1"/>
  <c r="AX74" i="1"/>
  <c r="AU74" i="1"/>
  <c r="AW74" i="1"/>
  <c r="AO64" i="1"/>
  <c r="AQ64" i="1" s="1"/>
  <c r="X64" i="1" s="1"/>
  <c r="AN65" i="1"/>
  <c r="V65" i="1" s="1"/>
  <c r="AI65" i="1"/>
  <c r="N75" i="1"/>
  <c r="M75" i="1"/>
  <c r="T75" i="1" s="1"/>
  <c r="R74" i="1"/>
  <c r="P74" i="1"/>
  <c r="AS67" i="1"/>
  <c r="AT67" i="1"/>
  <c r="AP67" i="1" s="1"/>
  <c r="S75" i="1"/>
  <c r="Q75" i="1"/>
  <c r="O75" i="1"/>
  <c r="AJ65" i="1" l="1"/>
  <c r="AL65" i="1" s="1"/>
  <c r="W65" i="1" s="1"/>
  <c r="U65" i="1"/>
  <c r="AV75" i="1"/>
  <c r="AH67" i="1"/>
  <c r="AK67" i="1"/>
  <c r="AG67" i="1"/>
  <c r="AX75" i="1"/>
  <c r="AU75" i="1"/>
  <c r="AW75" i="1"/>
  <c r="AO65" i="1"/>
  <c r="AQ65" i="1" s="1"/>
  <c r="X65" i="1" s="1"/>
  <c r="AI66" i="1"/>
  <c r="AN66" i="1"/>
  <c r="V66" i="1" s="1"/>
  <c r="N76" i="1"/>
  <c r="M76" i="1"/>
  <c r="T76" i="1" s="1"/>
  <c r="R75" i="1"/>
  <c r="P75" i="1"/>
  <c r="AS68" i="1"/>
  <c r="AT68" i="1"/>
  <c r="AP68" i="1" s="1"/>
  <c r="O76" i="1"/>
  <c r="Q76" i="1"/>
  <c r="S76" i="1"/>
  <c r="AJ66" i="1" l="1"/>
  <c r="AL66" i="1" s="1"/>
  <c r="W66" i="1" s="1"/>
  <c r="U66" i="1"/>
  <c r="AV76" i="1"/>
  <c r="AH68" i="1"/>
  <c r="AK68" i="1"/>
  <c r="AG68" i="1"/>
  <c r="AX76" i="1"/>
  <c r="AU76" i="1"/>
  <c r="AW76" i="1"/>
  <c r="AO66" i="1"/>
  <c r="AQ66" i="1" s="1"/>
  <c r="X66" i="1" s="1"/>
  <c r="AN67" i="1"/>
  <c r="V67" i="1" s="1"/>
  <c r="AI67" i="1"/>
  <c r="N77" i="1"/>
  <c r="M77" i="1"/>
  <c r="T77" i="1" s="1"/>
  <c r="R76" i="1"/>
  <c r="P76" i="1"/>
  <c r="AS69" i="1"/>
  <c r="AT69" i="1"/>
  <c r="AP69" i="1" s="1"/>
  <c r="S77" i="1"/>
  <c r="Q77" i="1"/>
  <c r="O77" i="1"/>
  <c r="AJ67" i="1" l="1"/>
  <c r="AL67" i="1" s="1"/>
  <c r="W67" i="1" s="1"/>
  <c r="U67" i="1"/>
  <c r="AV77" i="1"/>
  <c r="AH69" i="1"/>
  <c r="AK69" i="1"/>
  <c r="AG69" i="1"/>
  <c r="AX77" i="1"/>
  <c r="AU77" i="1"/>
  <c r="AW77" i="1"/>
  <c r="AO67" i="1"/>
  <c r="AQ67" i="1" s="1"/>
  <c r="X67" i="1" s="1"/>
  <c r="AI68" i="1"/>
  <c r="AN68" i="1"/>
  <c r="V68" i="1" s="1"/>
  <c r="N78" i="1"/>
  <c r="M78" i="1"/>
  <c r="T78" i="1" s="1"/>
  <c r="P77" i="1"/>
  <c r="R77" i="1"/>
  <c r="AS70" i="1"/>
  <c r="AT70" i="1"/>
  <c r="AP70" i="1" s="1"/>
  <c r="Q78" i="1"/>
  <c r="O78" i="1"/>
  <c r="S78" i="1"/>
  <c r="AJ68" i="1" l="1"/>
  <c r="AL68" i="1" s="1"/>
  <c r="W68" i="1" s="1"/>
  <c r="U68" i="1"/>
  <c r="AV78" i="1"/>
  <c r="AH70" i="1"/>
  <c r="AK70" i="1"/>
  <c r="AG70" i="1"/>
  <c r="AX78" i="1"/>
  <c r="AU78" i="1"/>
  <c r="AW78" i="1"/>
  <c r="AO68" i="1"/>
  <c r="AQ68" i="1" s="1"/>
  <c r="X68" i="1" s="1"/>
  <c r="AN69" i="1"/>
  <c r="V69" i="1" s="1"/>
  <c r="AI69" i="1"/>
  <c r="N79" i="1"/>
  <c r="M79" i="1"/>
  <c r="T79" i="1" s="1"/>
  <c r="P78" i="1"/>
  <c r="R78" i="1"/>
  <c r="AS71" i="1"/>
  <c r="AT71" i="1"/>
  <c r="AP71" i="1" s="1"/>
  <c r="O79" i="1"/>
  <c r="S79" i="1"/>
  <c r="Q79" i="1"/>
  <c r="AJ69" i="1" l="1"/>
  <c r="AL69" i="1" s="1"/>
  <c r="W69" i="1" s="1"/>
  <c r="U69" i="1"/>
  <c r="AV79" i="1"/>
  <c r="AH71" i="1"/>
  <c r="AK71" i="1"/>
  <c r="AG71" i="1"/>
  <c r="AX79" i="1"/>
  <c r="AW79" i="1"/>
  <c r="AU79" i="1"/>
  <c r="AO69" i="1"/>
  <c r="AQ69" i="1" s="1"/>
  <c r="X69" i="1" s="1"/>
  <c r="AI70" i="1"/>
  <c r="AN70" i="1"/>
  <c r="V70" i="1" s="1"/>
  <c r="N80" i="1"/>
  <c r="M80" i="1"/>
  <c r="T80" i="1" s="1"/>
  <c r="R79" i="1"/>
  <c r="P79" i="1"/>
  <c r="AS72" i="1"/>
  <c r="AT72" i="1"/>
  <c r="AP72" i="1" s="1"/>
  <c r="O80" i="1"/>
  <c r="Q80" i="1"/>
  <c r="S80" i="1"/>
  <c r="AJ70" i="1" l="1"/>
  <c r="AL70" i="1" s="1"/>
  <c r="W70" i="1" s="1"/>
  <c r="U70" i="1"/>
  <c r="AV80" i="1"/>
  <c r="AH72" i="1"/>
  <c r="AK72" i="1"/>
  <c r="AG72" i="1"/>
  <c r="AX80" i="1"/>
  <c r="AW80" i="1"/>
  <c r="AU80" i="1"/>
  <c r="AO70" i="1"/>
  <c r="AQ70" i="1" s="1"/>
  <c r="X70" i="1" s="1"/>
  <c r="AN71" i="1"/>
  <c r="V71" i="1" s="1"/>
  <c r="AI71" i="1"/>
  <c r="N81" i="1"/>
  <c r="M81" i="1"/>
  <c r="T81" i="1" s="1"/>
  <c r="R80" i="1"/>
  <c r="P80" i="1"/>
  <c r="AS73" i="1"/>
  <c r="AT73" i="1"/>
  <c r="AP73" i="1" s="1"/>
  <c r="S81" i="1"/>
  <c r="O81" i="1"/>
  <c r="Q81" i="1"/>
  <c r="AJ71" i="1" l="1"/>
  <c r="AL71" i="1" s="1"/>
  <c r="W71" i="1" s="1"/>
  <c r="U71" i="1"/>
  <c r="AV81" i="1"/>
  <c r="AH73" i="1"/>
  <c r="AK73" i="1"/>
  <c r="AG73" i="1"/>
  <c r="AX81" i="1"/>
  <c r="AU81" i="1"/>
  <c r="AW81" i="1"/>
  <c r="AO71" i="1"/>
  <c r="AQ71" i="1" s="1"/>
  <c r="X71" i="1" s="1"/>
  <c r="AI72" i="1"/>
  <c r="AN72" i="1"/>
  <c r="V72" i="1" s="1"/>
  <c r="N82" i="1"/>
  <c r="M82" i="1"/>
  <c r="T82" i="1" s="1"/>
  <c r="P81" i="1"/>
  <c r="R81" i="1"/>
  <c r="AS74" i="1"/>
  <c r="AT74" i="1"/>
  <c r="AP74" i="1" s="1"/>
  <c r="O82" i="1"/>
  <c r="S82" i="1"/>
  <c r="Q82" i="1"/>
  <c r="AJ72" i="1" l="1"/>
  <c r="AL72" i="1" s="1"/>
  <c r="W72" i="1" s="1"/>
  <c r="U72" i="1"/>
  <c r="AV82" i="1"/>
  <c r="AH74" i="1"/>
  <c r="AK74" i="1"/>
  <c r="AG74" i="1"/>
  <c r="AX82" i="1"/>
  <c r="AW82" i="1"/>
  <c r="AU82" i="1"/>
  <c r="AO72" i="1"/>
  <c r="AQ72" i="1" s="1"/>
  <c r="X72" i="1" s="1"/>
  <c r="AN73" i="1"/>
  <c r="V73" i="1" s="1"/>
  <c r="AI73" i="1"/>
  <c r="N83" i="1"/>
  <c r="M83" i="1"/>
  <c r="T83" i="1" s="1"/>
  <c r="P82" i="1"/>
  <c r="R82" i="1"/>
  <c r="AS75" i="1"/>
  <c r="AT75" i="1"/>
  <c r="AP75" i="1" s="1"/>
  <c r="S83" i="1"/>
  <c r="Q83" i="1"/>
  <c r="O83" i="1"/>
  <c r="AJ73" i="1" l="1"/>
  <c r="AL73" i="1" s="1"/>
  <c r="W73" i="1" s="1"/>
  <c r="U73" i="1"/>
  <c r="AV83" i="1"/>
  <c r="AH75" i="1"/>
  <c r="AK75" i="1"/>
  <c r="AG75" i="1"/>
  <c r="AX83" i="1"/>
  <c r="AU83" i="1"/>
  <c r="AW83" i="1"/>
  <c r="AO73" i="1"/>
  <c r="AQ73" i="1" s="1"/>
  <c r="X73" i="1" s="1"/>
  <c r="AI74" i="1"/>
  <c r="AN74" i="1"/>
  <c r="V74" i="1" s="1"/>
  <c r="N84" i="1"/>
  <c r="M84" i="1"/>
  <c r="T84" i="1" s="1"/>
  <c r="P83" i="1"/>
  <c r="R83" i="1"/>
  <c r="AS76" i="1"/>
  <c r="AT76" i="1"/>
  <c r="AP76" i="1" s="1"/>
  <c r="Q84" i="1"/>
  <c r="O84" i="1"/>
  <c r="S84" i="1"/>
  <c r="AJ74" i="1" l="1"/>
  <c r="AL74" i="1" s="1"/>
  <c r="W74" i="1" s="1"/>
  <c r="U74" i="1"/>
  <c r="AV84" i="1"/>
  <c r="AH76" i="1"/>
  <c r="AK76" i="1"/>
  <c r="AG76" i="1"/>
  <c r="AX84" i="1"/>
  <c r="AU84" i="1"/>
  <c r="AW84" i="1"/>
  <c r="AO74" i="1"/>
  <c r="AQ74" i="1" s="1"/>
  <c r="X74" i="1" s="1"/>
  <c r="AN75" i="1"/>
  <c r="V75" i="1" s="1"/>
  <c r="AI75" i="1"/>
  <c r="N85" i="1"/>
  <c r="M85" i="1"/>
  <c r="T85" i="1" s="1"/>
  <c r="R84" i="1"/>
  <c r="P84" i="1"/>
  <c r="AS77" i="1"/>
  <c r="AT77" i="1"/>
  <c r="AP77" i="1" s="1"/>
  <c r="O85" i="1"/>
  <c r="S85" i="1"/>
  <c r="Q85" i="1"/>
  <c r="AJ75" i="1" l="1"/>
  <c r="AL75" i="1" s="1"/>
  <c r="W75" i="1" s="1"/>
  <c r="U75" i="1"/>
  <c r="AV85" i="1"/>
  <c r="AH77" i="1"/>
  <c r="AK77" i="1"/>
  <c r="AG77" i="1"/>
  <c r="AX85" i="1"/>
  <c r="AW85" i="1"/>
  <c r="AU85" i="1"/>
  <c r="AO75" i="1"/>
  <c r="AQ75" i="1" s="1"/>
  <c r="X75" i="1" s="1"/>
  <c r="AI76" i="1"/>
  <c r="AN76" i="1"/>
  <c r="V76" i="1" s="1"/>
  <c r="N86" i="1"/>
  <c r="M86" i="1"/>
  <c r="T86" i="1" s="1"/>
  <c r="R85" i="1"/>
  <c r="P85" i="1"/>
  <c r="AS78" i="1"/>
  <c r="AT78" i="1"/>
  <c r="AP78" i="1" s="1"/>
  <c r="O86" i="1"/>
  <c r="S86" i="1"/>
  <c r="Q86" i="1"/>
  <c r="AJ76" i="1" l="1"/>
  <c r="AL76" i="1" s="1"/>
  <c r="W76" i="1" s="1"/>
  <c r="U76" i="1"/>
  <c r="AV86" i="1"/>
  <c r="AH78" i="1"/>
  <c r="AK78" i="1"/>
  <c r="AG78" i="1"/>
  <c r="AX86" i="1"/>
  <c r="AU86" i="1"/>
  <c r="AW86" i="1"/>
  <c r="AO76" i="1"/>
  <c r="AQ76" i="1" s="1"/>
  <c r="X76" i="1" s="1"/>
  <c r="AN77" i="1"/>
  <c r="V77" i="1" s="1"/>
  <c r="AI77" i="1"/>
  <c r="N87" i="1"/>
  <c r="M87" i="1"/>
  <c r="T87" i="1" s="1"/>
  <c r="R86" i="1"/>
  <c r="P86" i="1"/>
  <c r="AS79" i="1"/>
  <c r="AT79" i="1"/>
  <c r="AP79" i="1" s="1"/>
  <c r="S87" i="1"/>
  <c r="O87" i="1"/>
  <c r="Q87" i="1"/>
  <c r="AJ77" i="1" l="1"/>
  <c r="AL77" i="1" s="1"/>
  <c r="W77" i="1" s="1"/>
  <c r="U77" i="1"/>
  <c r="AV87" i="1"/>
  <c r="AH79" i="1"/>
  <c r="AK79" i="1"/>
  <c r="AG79" i="1"/>
  <c r="AX87" i="1"/>
  <c r="AU87" i="1"/>
  <c r="AW87" i="1"/>
  <c r="AO77" i="1"/>
  <c r="AQ77" i="1" s="1"/>
  <c r="X77" i="1" s="1"/>
  <c r="AI78" i="1"/>
  <c r="AN78" i="1"/>
  <c r="V78" i="1" s="1"/>
  <c r="N88" i="1"/>
  <c r="M88" i="1"/>
  <c r="T88" i="1" s="1"/>
  <c r="P87" i="1"/>
  <c r="R87" i="1"/>
  <c r="AS80" i="1"/>
  <c r="AT80" i="1"/>
  <c r="AP80" i="1" s="1"/>
  <c r="O88" i="1"/>
  <c r="S88" i="1"/>
  <c r="Q88" i="1"/>
  <c r="AJ78" i="1" l="1"/>
  <c r="AL78" i="1" s="1"/>
  <c r="W78" i="1" s="1"/>
  <c r="U78" i="1"/>
  <c r="AV88" i="1"/>
  <c r="AH80" i="1"/>
  <c r="AK80" i="1"/>
  <c r="AG80" i="1"/>
  <c r="AX88" i="1"/>
  <c r="AU88" i="1"/>
  <c r="AW88" i="1"/>
  <c r="AO78" i="1"/>
  <c r="AQ78" i="1" s="1"/>
  <c r="X78" i="1" s="1"/>
  <c r="AN79" i="1"/>
  <c r="V79" i="1" s="1"/>
  <c r="AI79" i="1"/>
  <c r="N89" i="1"/>
  <c r="M89" i="1"/>
  <c r="T89" i="1" s="1"/>
  <c r="R88" i="1"/>
  <c r="P88" i="1"/>
  <c r="AS81" i="1"/>
  <c r="AT81" i="1"/>
  <c r="AP81" i="1" s="1"/>
  <c r="S89" i="1"/>
  <c r="O89" i="1"/>
  <c r="Q89" i="1"/>
  <c r="AJ79" i="1" l="1"/>
  <c r="AL79" i="1" s="1"/>
  <c r="W79" i="1" s="1"/>
  <c r="U79" i="1"/>
  <c r="AV89" i="1"/>
  <c r="AH81" i="1"/>
  <c r="AK81" i="1"/>
  <c r="AG81" i="1"/>
  <c r="AX89" i="1"/>
  <c r="AU89" i="1"/>
  <c r="AW89" i="1"/>
  <c r="AO79" i="1"/>
  <c r="AQ79" i="1" s="1"/>
  <c r="X79" i="1" s="1"/>
  <c r="AI80" i="1"/>
  <c r="AN80" i="1"/>
  <c r="V80" i="1" s="1"/>
  <c r="N90" i="1"/>
  <c r="M90" i="1"/>
  <c r="T90" i="1" s="1"/>
  <c r="P89" i="1"/>
  <c r="R89" i="1"/>
  <c r="AS82" i="1"/>
  <c r="AT82" i="1"/>
  <c r="AP82" i="1" s="1"/>
  <c r="O90" i="1"/>
  <c r="Q90" i="1"/>
  <c r="S90" i="1"/>
  <c r="AJ80" i="1" l="1"/>
  <c r="AL80" i="1" s="1"/>
  <c r="W80" i="1" s="1"/>
  <c r="U80" i="1"/>
  <c r="AV90" i="1"/>
  <c r="AH82" i="1"/>
  <c r="AK82" i="1"/>
  <c r="AG82" i="1"/>
  <c r="AX90" i="1"/>
  <c r="AW90" i="1"/>
  <c r="AU90" i="1"/>
  <c r="AO80" i="1"/>
  <c r="AQ80" i="1" s="1"/>
  <c r="X80" i="1" s="1"/>
  <c r="AN81" i="1"/>
  <c r="V81" i="1" s="1"/>
  <c r="AI81" i="1"/>
  <c r="N91" i="1"/>
  <c r="M91" i="1"/>
  <c r="T91" i="1" s="1"/>
  <c r="R90" i="1"/>
  <c r="P90" i="1"/>
  <c r="AS83" i="1"/>
  <c r="AT83" i="1"/>
  <c r="AP83" i="1" s="1"/>
  <c r="Q91" i="1"/>
  <c r="S91" i="1"/>
  <c r="O91" i="1"/>
  <c r="AJ81" i="1" l="1"/>
  <c r="AL81" i="1" s="1"/>
  <c r="W81" i="1" s="1"/>
  <c r="U81" i="1"/>
  <c r="AV91" i="1"/>
  <c r="AH83" i="1"/>
  <c r="AK83" i="1"/>
  <c r="AG83" i="1"/>
  <c r="AX91" i="1"/>
  <c r="AU91" i="1"/>
  <c r="AW91" i="1"/>
  <c r="AO81" i="1"/>
  <c r="AQ81" i="1" s="1"/>
  <c r="X81" i="1" s="1"/>
  <c r="AI82" i="1"/>
  <c r="AN82" i="1"/>
  <c r="V82" i="1" s="1"/>
  <c r="N92" i="1"/>
  <c r="M92" i="1"/>
  <c r="T92" i="1" s="1"/>
  <c r="R91" i="1"/>
  <c r="P91" i="1"/>
  <c r="AS84" i="1"/>
  <c r="AT84" i="1"/>
  <c r="AP84" i="1" s="1"/>
  <c r="S92" i="1"/>
  <c r="Q92" i="1"/>
  <c r="O92" i="1"/>
  <c r="AJ82" i="1" l="1"/>
  <c r="AL82" i="1" s="1"/>
  <c r="W82" i="1" s="1"/>
  <c r="U82" i="1"/>
  <c r="AV92" i="1"/>
  <c r="AH84" i="1"/>
  <c r="AK84" i="1"/>
  <c r="AG84" i="1"/>
  <c r="AX92" i="1"/>
  <c r="AW92" i="1"/>
  <c r="AU92" i="1"/>
  <c r="AO82" i="1"/>
  <c r="AQ82" i="1" s="1"/>
  <c r="X82" i="1" s="1"/>
  <c r="AN83" i="1"/>
  <c r="V83" i="1" s="1"/>
  <c r="AI83" i="1"/>
  <c r="N93" i="1"/>
  <c r="M93" i="1"/>
  <c r="T93" i="1" s="1"/>
  <c r="R92" i="1"/>
  <c r="P92" i="1"/>
  <c r="AS85" i="1"/>
  <c r="AT85" i="1"/>
  <c r="AP85" i="1" s="1"/>
  <c r="S93" i="1"/>
  <c r="Q93" i="1"/>
  <c r="O93" i="1"/>
  <c r="AJ83" i="1" l="1"/>
  <c r="AL83" i="1" s="1"/>
  <c r="W83" i="1" s="1"/>
  <c r="U83" i="1"/>
  <c r="AV93" i="1"/>
  <c r="AH85" i="1"/>
  <c r="AK85" i="1"/>
  <c r="AG85" i="1"/>
  <c r="AX93" i="1"/>
  <c r="AU93" i="1"/>
  <c r="AW93" i="1"/>
  <c r="AO83" i="1"/>
  <c r="AQ83" i="1" s="1"/>
  <c r="X83" i="1" s="1"/>
  <c r="AN84" i="1"/>
  <c r="V84" i="1" s="1"/>
  <c r="AI84" i="1"/>
  <c r="N94" i="1"/>
  <c r="M94" i="1"/>
  <c r="T94" i="1" s="1"/>
  <c r="P93" i="1"/>
  <c r="R93" i="1"/>
  <c r="AS86" i="1"/>
  <c r="AT86" i="1"/>
  <c r="AP86" i="1" s="1"/>
  <c r="S94" i="1"/>
  <c r="Q94" i="1"/>
  <c r="O94" i="1"/>
  <c r="AJ84" i="1" l="1"/>
  <c r="AL84" i="1" s="1"/>
  <c r="W84" i="1" s="1"/>
  <c r="U84" i="1"/>
  <c r="AV94" i="1"/>
  <c r="AH86" i="1"/>
  <c r="AK86" i="1"/>
  <c r="AG86" i="1"/>
  <c r="AX94" i="1"/>
  <c r="AU94" i="1"/>
  <c r="AW94" i="1"/>
  <c r="AO84" i="1"/>
  <c r="AQ84" i="1" s="1"/>
  <c r="X84" i="1" s="1"/>
  <c r="AN85" i="1"/>
  <c r="V85" i="1" s="1"/>
  <c r="AI85" i="1"/>
  <c r="N95" i="1"/>
  <c r="M95" i="1"/>
  <c r="T95" i="1" s="1"/>
  <c r="P94" i="1"/>
  <c r="R94" i="1"/>
  <c r="AS87" i="1"/>
  <c r="AT87" i="1"/>
  <c r="AP87" i="1" s="1"/>
  <c r="S95" i="1"/>
  <c r="Q95" i="1"/>
  <c r="O95" i="1"/>
  <c r="AJ85" i="1" l="1"/>
  <c r="AL85" i="1" s="1"/>
  <c r="W85" i="1" s="1"/>
  <c r="U85" i="1"/>
  <c r="AV95" i="1"/>
  <c r="AH87" i="1"/>
  <c r="AK87" i="1"/>
  <c r="AG87" i="1"/>
  <c r="AX95" i="1"/>
  <c r="AW95" i="1"/>
  <c r="AU95" i="1"/>
  <c r="AO85" i="1"/>
  <c r="AQ85" i="1" s="1"/>
  <c r="X85" i="1" s="1"/>
  <c r="AI86" i="1"/>
  <c r="AN86" i="1"/>
  <c r="V86" i="1" s="1"/>
  <c r="N96" i="1"/>
  <c r="M96" i="1"/>
  <c r="T96" i="1" s="1"/>
  <c r="R95" i="1"/>
  <c r="P95" i="1"/>
  <c r="AS88" i="1"/>
  <c r="AT88" i="1"/>
  <c r="AP88" i="1" s="1"/>
  <c r="S96" i="1"/>
  <c r="O96" i="1"/>
  <c r="Q96" i="1"/>
  <c r="AJ86" i="1" l="1"/>
  <c r="AL86" i="1" s="1"/>
  <c r="W86" i="1" s="1"/>
  <c r="U86" i="1"/>
  <c r="AV96" i="1"/>
  <c r="AH88" i="1"/>
  <c r="AK88" i="1"/>
  <c r="AG88" i="1"/>
  <c r="AX96" i="1"/>
  <c r="AW96" i="1"/>
  <c r="AU96" i="1"/>
  <c r="AO86" i="1"/>
  <c r="AQ86" i="1" s="1"/>
  <c r="X86" i="1" s="1"/>
  <c r="AN87" i="1"/>
  <c r="V87" i="1" s="1"/>
  <c r="AI87" i="1"/>
  <c r="N97" i="1"/>
  <c r="M97" i="1"/>
  <c r="T97" i="1" s="1"/>
  <c r="R96" i="1"/>
  <c r="P96" i="1"/>
  <c r="AS89" i="1"/>
  <c r="AT89" i="1"/>
  <c r="AP89" i="1" s="1"/>
  <c r="S97" i="1"/>
  <c r="Q97" i="1"/>
  <c r="O97" i="1"/>
  <c r="AJ87" i="1" l="1"/>
  <c r="AL87" i="1" s="1"/>
  <c r="W87" i="1" s="1"/>
  <c r="U87" i="1"/>
  <c r="AV97" i="1"/>
  <c r="AH89" i="1"/>
  <c r="AK89" i="1"/>
  <c r="AG89" i="1"/>
  <c r="AX97" i="1"/>
  <c r="AW97" i="1"/>
  <c r="AU97" i="1"/>
  <c r="AO87" i="1"/>
  <c r="AQ87" i="1" s="1"/>
  <c r="X87" i="1" s="1"/>
  <c r="AI88" i="1"/>
  <c r="AN88" i="1"/>
  <c r="V88" i="1" s="1"/>
  <c r="N98" i="1"/>
  <c r="M98" i="1"/>
  <c r="T98" i="1" s="1"/>
  <c r="P97" i="1"/>
  <c r="R97" i="1"/>
  <c r="AS90" i="1"/>
  <c r="AT90" i="1"/>
  <c r="AP90" i="1" s="1"/>
  <c r="Q98" i="1"/>
  <c r="S98" i="1"/>
  <c r="O98" i="1"/>
  <c r="AJ88" i="1" l="1"/>
  <c r="AL88" i="1" s="1"/>
  <c r="W88" i="1" s="1"/>
  <c r="U88" i="1"/>
  <c r="AV98" i="1"/>
  <c r="AH90" i="1"/>
  <c r="AK90" i="1"/>
  <c r="AG90" i="1"/>
  <c r="AX98" i="1"/>
  <c r="AW98" i="1"/>
  <c r="AU98" i="1"/>
  <c r="AO88" i="1"/>
  <c r="AQ88" i="1" s="1"/>
  <c r="X88" i="1" s="1"/>
  <c r="AN89" i="1"/>
  <c r="V89" i="1" s="1"/>
  <c r="AI89" i="1"/>
  <c r="N99" i="1"/>
  <c r="M99" i="1"/>
  <c r="T99" i="1" s="1"/>
  <c r="P98" i="1"/>
  <c r="R98" i="1"/>
  <c r="AS91" i="1"/>
  <c r="AT91" i="1"/>
  <c r="AP91" i="1" s="1"/>
  <c r="O99" i="1"/>
  <c r="S99" i="1"/>
  <c r="Q99" i="1"/>
  <c r="AJ89" i="1" l="1"/>
  <c r="AL89" i="1" s="1"/>
  <c r="W89" i="1" s="1"/>
  <c r="U89" i="1"/>
  <c r="AV99" i="1"/>
  <c r="AH91" i="1"/>
  <c r="AK91" i="1"/>
  <c r="AG91" i="1"/>
  <c r="AX99" i="1"/>
  <c r="AW99" i="1"/>
  <c r="AU99" i="1"/>
  <c r="AO89" i="1"/>
  <c r="AQ89" i="1" s="1"/>
  <c r="X89" i="1" s="1"/>
  <c r="AI90" i="1"/>
  <c r="AN90" i="1"/>
  <c r="V90" i="1" s="1"/>
  <c r="N100" i="1"/>
  <c r="M100" i="1"/>
  <c r="T100" i="1" s="1"/>
  <c r="R99" i="1"/>
  <c r="P99" i="1"/>
  <c r="AS92" i="1"/>
  <c r="AT92" i="1"/>
  <c r="AP92" i="1" s="1"/>
  <c r="Q100" i="1"/>
  <c r="O100" i="1"/>
  <c r="S100" i="1"/>
  <c r="AJ90" i="1" l="1"/>
  <c r="AL90" i="1" s="1"/>
  <c r="W90" i="1" s="1"/>
  <c r="U90" i="1"/>
  <c r="AV100" i="1"/>
  <c r="AH92" i="1"/>
  <c r="AK92" i="1"/>
  <c r="AG92" i="1"/>
  <c r="AX100" i="1"/>
  <c r="AW100" i="1"/>
  <c r="AU100" i="1"/>
  <c r="AO90" i="1"/>
  <c r="AQ90" i="1" s="1"/>
  <c r="X90" i="1" s="1"/>
  <c r="AN91" i="1"/>
  <c r="V91" i="1" s="1"/>
  <c r="AI91" i="1"/>
  <c r="N101" i="1"/>
  <c r="M101" i="1"/>
  <c r="T101" i="1" s="1"/>
  <c r="R100" i="1"/>
  <c r="P100" i="1"/>
  <c r="AS93" i="1"/>
  <c r="AT93" i="1"/>
  <c r="AP93" i="1" s="1"/>
  <c r="Q101" i="1"/>
  <c r="O101" i="1"/>
  <c r="S101" i="1"/>
  <c r="AJ91" i="1" l="1"/>
  <c r="AL91" i="1" s="1"/>
  <c r="W91" i="1" s="1"/>
  <c r="U91" i="1"/>
  <c r="AV101" i="1"/>
  <c r="AH93" i="1"/>
  <c r="AK93" i="1"/>
  <c r="AG93" i="1"/>
  <c r="AX101" i="1"/>
  <c r="AW101" i="1"/>
  <c r="AU101" i="1"/>
  <c r="AO91" i="1"/>
  <c r="AQ91" i="1" s="1"/>
  <c r="X91" i="1" s="1"/>
  <c r="AI92" i="1"/>
  <c r="AN92" i="1"/>
  <c r="V92" i="1" s="1"/>
  <c r="N102" i="1"/>
  <c r="M102" i="1"/>
  <c r="T102" i="1" s="1"/>
  <c r="R101" i="1"/>
  <c r="P101" i="1"/>
  <c r="AS94" i="1"/>
  <c r="AT94" i="1"/>
  <c r="AP94" i="1" s="1"/>
  <c r="O102" i="1"/>
  <c r="S102" i="1"/>
  <c r="Q102" i="1"/>
  <c r="AJ92" i="1" l="1"/>
  <c r="AL92" i="1" s="1"/>
  <c r="W92" i="1" s="1"/>
  <c r="U92" i="1"/>
  <c r="AV102" i="1"/>
  <c r="AH94" i="1"/>
  <c r="AK94" i="1"/>
  <c r="AG94" i="1"/>
  <c r="AX102" i="1"/>
  <c r="AW102" i="1"/>
  <c r="AU102" i="1"/>
  <c r="AO92" i="1"/>
  <c r="AQ92" i="1" s="1"/>
  <c r="X92" i="1" s="1"/>
  <c r="AN93" i="1"/>
  <c r="V93" i="1" s="1"/>
  <c r="AI93" i="1"/>
  <c r="N103" i="1"/>
  <c r="M103" i="1"/>
  <c r="T103" i="1" s="1"/>
  <c r="R102" i="1"/>
  <c r="P102" i="1"/>
  <c r="AS95" i="1"/>
  <c r="AT95" i="1"/>
  <c r="AP95" i="1" s="1"/>
  <c r="O103" i="1"/>
  <c r="S103" i="1"/>
  <c r="Q103" i="1"/>
  <c r="AJ93" i="1" l="1"/>
  <c r="AL93" i="1" s="1"/>
  <c r="W93" i="1" s="1"/>
  <c r="U93" i="1"/>
  <c r="AV103" i="1"/>
  <c r="AH95" i="1"/>
  <c r="AK95" i="1"/>
  <c r="AG95" i="1"/>
  <c r="AX103" i="1"/>
  <c r="AW103" i="1"/>
  <c r="AU103" i="1"/>
  <c r="AO93" i="1"/>
  <c r="AQ93" i="1" s="1"/>
  <c r="X93" i="1" s="1"/>
  <c r="AI94" i="1"/>
  <c r="AN94" i="1"/>
  <c r="V94" i="1" s="1"/>
  <c r="N104" i="1"/>
  <c r="M104" i="1"/>
  <c r="T104" i="1" s="1"/>
  <c r="R103" i="1"/>
  <c r="P103" i="1"/>
  <c r="AS96" i="1"/>
  <c r="AT96" i="1"/>
  <c r="AP96" i="1" s="1"/>
  <c r="S104" i="1"/>
  <c r="O104" i="1"/>
  <c r="Q104" i="1"/>
  <c r="AJ94" i="1" l="1"/>
  <c r="AL94" i="1" s="1"/>
  <c r="W94" i="1" s="1"/>
  <c r="U94" i="1"/>
  <c r="AV104" i="1"/>
  <c r="AH96" i="1"/>
  <c r="AK96" i="1"/>
  <c r="AG96" i="1"/>
  <c r="AX104" i="1"/>
  <c r="AW104" i="1"/>
  <c r="AU104" i="1"/>
  <c r="AO94" i="1"/>
  <c r="AQ94" i="1" s="1"/>
  <c r="X94" i="1" s="1"/>
  <c r="AN95" i="1"/>
  <c r="V95" i="1" s="1"/>
  <c r="AI95" i="1"/>
  <c r="N105" i="1"/>
  <c r="M105" i="1"/>
  <c r="T105" i="1" s="1"/>
  <c r="R104" i="1"/>
  <c r="P104" i="1"/>
  <c r="AS97" i="1"/>
  <c r="AT97" i="1"/>
  <c r="AP97" i="1" s="1"/>
  <c r="Q105" i="1"/>
  <c r="S105" i="1"/>
  <c r="O105" i="1"/>
  <c r="AJ95" i="1" l="1"/>
  <c r="AL95" i="1" s="1"/>
  <c r="W95" i="1" s="1"/>
  <c r="U95" i="1"/>
  <c r="AV105" i="1"/>
  <c r="AH97" i="1"/>
  <c r="AK97" i="1"/>
  <c r="AG97" i="1"/>
  <c r="AX105" i="1"/>
  <c r="AW105" i="1"/>
  <c r="AU105" i="1"/>
  <c r="AO95" i="1"/>
  <c r="AQ95" i="1" s="1"/>
  <c r="X95" i="1" s="1"/>
  <c r="AI96" i="1"/>
  <c r="AN96" i="1"/>
  <c r="V96" i="1" s="1"/>
  <c r="N106" i="1"/>
  <c r="M106" i="1"/>
  <c r="T106" i="1" s="1"/>
  <c r="P105" i="1"/>
  <c r="R105" i="1"/>
  <c r="AS98" i="1"/>
  <c r="AT98" i="1"/>
  <c r="AP98" i="1" s="1"/>
  <c r="O106" i="1"/>
  <c r="S106" i="1"/>
  <c r="Q106" i="1"/>
  <c r="AJ96" i="1" l="1"/>
  <c r="AL96" i="1" s="1"/>
  <c r="W96" i="1" s="1"/>
  <c r="U96" i="1"/>
  <c r="AV106" i="1"/>
  <c r="AH98" i="1"/>
  <c r="AK98" i="1"/>
  <c r="AG98" i="1"/>
  <c r="AX106" i="1"/>
  <c r="AW106" i="1"/>
  <c r="AU106" i="1"/>
  <c r="AO96" i="1"/>
  <c r="AQ96" i="1" s="1"/>
  <c r="X96" i="1" s="1"/>
  <c r="AN97" i="1"/>
  <c r="V97" i="1" s="1"/>
  <c r="AI97" i="1"/>
  <c r="N107" i="1"/>
  <c r="M107" i="1"/>
  <c r="T107" i="1" s="1"/>
  <c r="R106" i="1"/>
  <c r="P106" i="1"/>
  <c r="AS99" i="1"/>
  <c r="AT99" i="1"/>
  <c r="AP99" i="1" s="1"/>
  <c r="S107" i="1"/>
  <c r="O107" i="1"/>
  <c r="Q107" i="1"/>
  <c r="AJ97" i="1" l="1"/>
  <c r="AL97" i="1" s="1"/>
  <c r="W97" i="1" s="1"/>
  <c r="U97" i="1"/>
  <c r="AV107" i="1"/>
  <c r="AH99" i="1"/>
  <c r="AK99" i="1"/>
  <c r="AG99" i="1"/>
  <c r="AX107" i="1"/>
  <c r="AW107" i="1"/>
  <c r="AU107" i="1"/>
  <c r="AO97" i="1"/>
  <c r="AQ97" i="1" s="1"/>
  <c r="X97" i="1" s="1"/>
  <c r="AI98" i="1"/>
  <c r="AN98" i="1"/>
  <c r="V98" i="1" s="1"/>
  <c r="N108" i="1"/>
  <c r="M108" i="1"/>
  <c r="T108" i="1" s="1"/>
  <c r="R107" i="1"/>
  <c r="P107" i="1"/>
  <c r="AS100" i="1"/>
  <c r="AT100" i="1"/>
  <c r="AP100" i="1" s="1"/>
  <c r="S108" i="1"/>
  <c r="Q108" i="1"/>
  <c r="O108" i="1"/>
  <c r="AJ98" i="1" l="1"/>
  <c r="AL98" i="1" s="1"/>
  <c r="W98" i="1" s="1"/>
  <c r="U98" i="1"/>
  <c r="AV108" i="1"/>
  <c r="AH100" i="1"/>
  <c r="AK100" i="1"/>
  <c r="AG100" i="1"/>
  <c r="AX108" i="1"/>
  <c r="AW108" i="1"/>
  <c r="AU108" i="1"/>
  <c r="AO98" i="1"/>
  <c r="AQ98" i="1" s="1"/>
  <c r="X98" i="1" s="1"/>
  <c r="AN99" i="1"/>
  <c r="V99" i="1" s="1"/>
  <c r="AI99" i="1"/>
  <c r="N109" i="1"/>
  <c r="M109" i="1"/>
  <c r="T109" i="1" s="1"/>
  <c r="R108" i="1"/>
  <c r="P108" i="1"/>
  <c r="AS101" i="1"/>
  <c r="AT101" i="1"/>
  <c r="AP101" i="1" s="1"/>
  <c r="Q109" i="1"/>
  <c r="O109" i="1"/>
  <c r="S109" i="1"/>
  <c r="AJ99" i="1" l="1"/>
  <c r="AL99" i="1" s="1"/>
  <c r="W99" i="1" s="1"/>
  <c r="U99" i="1"/>
  <c r="AV109" i="1"/>
  <c r="AH101" i="1"/>
  <c r="AK101" i="1"/>
  <c r="AG101" i="1"/>
  <c r="AX109" i="1"/>
  <c r="AW109" i="1"/>
  <c r="AU109" i="1"/>
  <c r="AO99" i="1"/>
  <c r="AQ99" i="1" s="1"/>
  <c r="X99" i="1" s="1"/>
  <c r="AN100" i="1"/>
  <c r="V100" i="1" s="1"/>
  <c r="AI100" i="1"/>
  <c r="N110" i="1"/>
  <c r="M110" i="1"/>
  <c r="T110" i="1" s="1"/>
  <c r="P109" i="1"/>
  <c r="R109" i="1"/>
  <c r="AS102" i="1"/>
  <c r="AT102" i="1"/>
  <c r="AP102" i="1" s="1"/>
  <c r="S110" i="1"/>
  <c r="O110" i="1"/>
  <c r="Q110" i="1"/>
  <c r="AJ100" i="1" l="1"/>
  <c r="AL100" i="1" s="1"/>
  <c r="W100" i="1" s="1"/>
  <c r="U100" i="1"/>
  <c r="AV110" i="1"/>
  <c r="AH102" i="1"/>
  <c r="AK102" i="1"/>
  <c r="AG102" i="1"/>
  <c r="AX110" i="1"/>
  <c r="AW110" i="1"/>
  <c r="AU110" i="1"/>
  <c r="AO100" i="1"/>
  <c r="AQ100" i="1" s="1"/>
  <c r="X100" i="1" s="1"/>
  <c r="AN101" i="1"/>
  <c r="V101" i="1" s="1"/>
  <c r="AI101" i="1"/>
  <c r="N111" i="1"/>
  <c r="M111" i="1"/>
  <c r="T111" i="1" s="1"/>
  <c r="P110" i="1"/>
  <c r="R110" i="1"/>
  <c r="AS103" i="1"/>
  <c r="AT103" i="1"/>
  <c r="AP103" i="1" s="1"/>
  <c r="O111" i="1"/>
  <c r="S111" i="1"/>
  <c r="Q111" i="1"/>
  <c r="AJ101" i="1" l="1"/>
  <c r="AL101" i="1" s="1"/>
  <c r="W101" i="1" s="1"/>
  <c r="U101" i="1"/>
  <c r="AV111" i="1"/>
  <c r="AH103" i="1"/>
  <c r="AK103" i="1"/>
  <c r="AG103" i="1"/>
  <c r="AX111" i="1"/>
  <c r="AU111" i="1"/>
  <c r="AW111" i="1"/>
  <c r="AO101" i="1"/>
  <c r="AQ101" i="1" s="1"/>
  <c r="X101" i="1" s="1"/>
  <c r="AI102" i="1"/>
  <c r="AN102" i="1"/>
  <c r="V102" i="1" s="1"/>
  <c r="N112" i="1"/>
  <c r="M112" i="1"/>
  <c r="T112" i="1" s="1"/>
  <c r="R111" i="1"/>
  <c r="P111" i="1"/>
  <c r="AS104" i="1"/>
  <c r="AT104" i="1"/>
  <c r="AP104" i="1" s="1"/>
  <c r="S112" i="1"/>
  <c r="Q112" i="1"/>
  <c r="O112" i="1"/>
  <c r="AJ102" i="1" l="1"/>
  <c r="AL102" i="1" s="1"/>
  <c r="W102" i="1" s="1"/>
  <c r="U102" i="1"/>
  <c r="AV112" i="1"/>
  <c r="AH104" i="1"/>
  <c r="AK104" i="1"/>
  <c r="AG104" i="1"/>
  <c r="AX112" i="1"/>
  <c r="AW112" i="1"/>
  <c r="AU112" i="1"/>
  <c r="AO102" i="1"/>
  <c r="AQ102" i="1" s="1"/>
  <c r="X102" i="1" s="1"/>
  <c r="AN103" i="1"/>
  <c r="V103" i="1" s="1"/>
  <c r="AI103" i="1"/>
  <c r="N113" i="1"/>
  <c r="M113" i="1"/>
  <c r="T113" i="1" s="1"/>
  <c r="R112" i="1"/>
  <c r="P112" i="1"/>
  <c r="AS105" i="1"/>
  <c r="AT105" i="1"/>
  <c r="AP105" i="1" s="1"/>
  <c r="O113" i="1"/>
  <c r="S113" i="1"/>
  <c r="Q113" i="1"/>
  <c r="AJ103" i="1" l="1"/>
  <c r="AL103" i="1" s="1"/>
  <c r="W103" i="1" s="1"/>
  <c r="U103" i="1"/>
  <c r="AV113" i="1"/>
  <c r="AH105" i="1"/>
  <c r="AK105" i="1"/>
  <c r="AG105" i="1"/>
  <c r="AX113" i="1"/>
  <c r="AW113" i="1"/>
  <c r="AU113" i="1"/>
  <c r="AO103" i="1"/>
  <c r="AQ103" i="1" s="1"/>
  <c r="X103" i="1" s="1"/>
  <c r="AI104" i="1"/>
  <c r="AN104" i="1"/>
  <c r="V104" i="1" s="1"/>
  <c r="N114" i="1"/>
  <c r="M114" i="1"/>
  <c r="T114" i="1" s="1"/>
  <c r="P113" i="1"/>
  <c r="R113" i="1"/>
  <c r="AS106" i="1"/>
  <c r="AT106" i="1"/>
  <c r="AP106" i="1" s="1"/>
  <c r="Q114" i="1"/>
  <c r="O114" i="1"/>
  <c r="S114" i="1"/>
  <c r="AJ104" i="1" l="1"/>
  <c r="AL104" i="1" s="1"/>
  <c r="W104" i="1" s="1"/>
  <c r="U104" i="1"/>
  <c r="AV114" i="1"/>
  <c r="AH106" i="1"/>
  <c r="AK106" i="1"/>
  <c r="AG106" i="1"/>
  <c r="AX114" i="1"/>
  <c r="AW114" i="1"/>
  <c r="AU114" i="1"/>
  <c r="AO104" i="1"/>
  <c r="AQ104" i="1" s="1"/>
  <c r="X104" i="1" s="1"/>
  <c r="AN105" i="1"/>
  <c r="V105" i="1" s="1"/>
  <c r="AI105" i="1"/>
  <c r="N115" i="1"/>
  <c r="M115" i="1"/>
  <c r="T115" i="1" s="1"/>
  <c r="P114" i="1"/>
  <c r="R114" i="1"/>
  <c r="AS107" i="1"/>
  <c r="AT107" i="1"/>
  <c r="AP107" i="1" s="1"/>
  <c r="Q115" i="1"/>
  <c r="O115" i="1"/>
  <c r="S115" i="1"/>
  <c r="AJ105" i="1" l="1"/>
  <c r="AL105" i="1" s="1"/>
  <c r="W105" i="1" s="1"/>
  <c r="U105" i="1"/>
  <c r="AV115" i="1"/>
  <c r="AH107" i="1"/>
  <c r="AK107" i="1"/>
  <c r="AG107" i="1"/>
  <c r="AX115" i="1"/>
  <c r="AW115" i="1"/>
  <c r="AU115" i="1"/>
  <c r="AO105" i="1"/>
  <c r="AQ105" i="1" s="1"/>
  <c r="X105" i="1" s="1"/>
  <c r="AI106" i="1"/>
  <c r="AN106" i="1"/>
  <c r="V106" i="1" s="1"/>
  <c r="N116" i="1"/>
  <c r="M116" i="1"/>
  <c r="T116" i="1" s="1"/>
  <c r="P115" i="1"/>
  <c r="R115" i="1"/>
  <c r="AS108" i="1"/>
  <c r="AT108" i="1"/>
  <c r="AP108" i="1" s="1"/>
  <c r="Q116" i="1"/>
  <c r="O116" i="1"/>
  <c r="S116" i="1"/>
  <c r="AJ106" i="1" l="1"/>
  <c r="AL106" i="1" s="1"/>
  <c r="W106" i="1" s="1"/>
  <c r="U106" i="1"/>
  <c r="AV116" i="1"/>
  <c r="AH108" i="1"/>
  <c r="AK108" i="1"/>
  <c r="AG108" i="1"/>
  <c r="AX116" i="1"/>
  <c r="AW116" i="1"/>
  <c r="AU116" i="1"/>
  <c r="AO106" i="1"/>
  <c r="AQ106" i="1" s="1"/>
  <c r="X106" i="1" s="1"/>
  <c r="AN107" i="1"/>
  <c r="V107" i="1" s="1"/>
  <c r="AI107" i="1"/>
  <c r="N117" i="1"/>
  <c r="M117" i="1"/>
  <c r="T117" i="1" s="1"/>
  <c r="R116" i="1"/>
  <c r="P116" i="1"/>
  <c r="AS109" i="1"/>
  <c r="AT109" i="1"/>
  <c r="AP109" i="1" s="1"/>
  <c r="S117" i="1"/>
  <c r="Q117" i="1"/>
  <c r="O117" i="1"/>
  <c r="AJ107" i="1" l="1"/>
  <c r="AL107" i="1" s="1"/>
  <c r="W107" i="1" s="1"/>
  <c r="U107" i="1"/>
  <c r="AV117" i="1"/>
  <c r="AH109" i="1"/>
  <c r="AK109" i="1"/>
  <c r="AG109" i="1"/>
  <c r="AX117" i="1"/>
  <c r="AW117" i="1"/>
  <c r="AU117" i="1"/>
  <c r="AO107" i="1"/>
  <c r="AQ107" i="1" s="1"/>
  <c r="X107" i="1" s="1"/>
  <c r="AI108" i="1"/>
  <c r="AN108" i="1"/>
  <c r="V108" i="1" s="1"/>
  <c r="N118" i="1"/>
  <c r="M118" i="1"/>
  <c r="T118" i="1" s="1"/>
  <c r="R117" i="1"/>
  <c r="P117" i="1"/>
  <c r="AS110" i="1"/>
  <c r="AT110" i="1"/>
  <c r="AP110" i="1" s="1"/>
  <c r="S118" i="1"/>
  <c r="Q118" i="1"/>
  <c r="O118" i="1"/>
  <c r="AJ108" i="1" l="1"/>
  <c r="AL108" i="1" s="1"/>
  <c r="W108" i="1" s="1"/>
  <c r="U108" i="1"/>
  <c r="AV118" i="1"/>
  <c r="AH110" i="1"/>
  <c r="AK110" i="1"/>
  <c r="AG110" i="1"/>
  <c r="AX118" i="1"/>
  <c r="AW118" i="1"/>
  <c r="AU118" i="1"/>
  <c r="AO108" i="1"/>
  <c r="AQ108" i="1" s="1"/>
  <c r="X108" i="1" s="1"/>
  <c r="AN109" i="1"/>
  <c r="V109" i="1" s="1"/>
  <c r="AI109" i="1"/>
  <c r="N119" i="1"/>
  <c r="M119" i="1"/>
  <c r="T119" i="1" s="1"/>
  <c r="R118" i="1"/>
  <c r="P118" i="1"/>
  <c r="AS111" i="1"/>
  <c r="AT111" i="1"/>
  <c r="AP111" i="1" s="1"/>
  <c r="Q119" i="1"/>
  <c r="S119" i="1"/>
  <c r="O119" i="1"/>
  <c r="AJ109" i="1" l="1"/>
  <c r="AL109" i="1" s="1"/>
  <c r="W109" i="1" s="1"/>
  <c r="U109" i="1"/>
  <c r="AV119" i="1"/>
  <c r="AH111" i="1"/>
  <c r="AK111" i="1"/>
  <c r="AG111" i="1"/>
  <c r="AX119" i="1"/>
  <c r="AW119" i="1"/>
  <c r="AU119" i="1"/>
  <c r="AO109" i="1"/>
  <c r="AQ109" i="1" s="1"/>
  <c r="X109" i="1" s="1"/>
  <c r="AI110" i="1"/>
  <c r="AN110" i="1"/>
  <c r="V110" i="1" s="1"/>
  <c r="N120" i="1"/>
  <c r="M120" i="1"/>
  <c r="T120" i="1" s="1"/>
  <c r="P119" i="1"/>
  <c r="R119" i="1"/>
  <c r="AS112" i="1"/>
  <c r="AT112" i="1"/>
  <c r="AP112" i="1" s="1"/>
  <c r="O120" i="1"/>
  <c r="S120" i="1"/>
  <c r="Q120" i="1"/>
  <c r="AJ110" i="1" l="1"/>
  <c r="AL110" i="1" s="1"/>
  <c r="W110" i="1" s="1"/>
  <c r="U110" i="1"/>
  <c r="AV120" i="1"/>
  <c r="AH112" i="1"/>
  <c r="AK112" i="1"/>
  <c r="AG112" i="1"/>
  <c r="AX120" i="1"/>
  <c r="AW120" i="1"/>
  <c r="AU120" i="1"/>
  <c r="AO110" i="1"/>
  <c r="AQ110" i="1" s="1"/>
  <c r="X110" i="1" s="1"/>
  <c r="AN111" i="1"/>
  <c r="V111" i="1" s="1"/>
  <c r="AI111" i="1"/>
  <c r="N121" i="1"/>
  <c r="M121" i="1"/>
  <c r="T121" i="1" s="1"/>
  <c r="R120" i="1"/>
  <c r="P120" i="1"/>
  <c r="AS113" i="1"/>
  <c r="AT113" i="1"/>
  <c r="AP113" i="1" s="1"/>
  <c r="O121" i="1"/>
  <c r="Q121" i="1"/>
  <c r="S121" i="1"/>
  <c r="AJ111" i="1" l="1"/>
  <c r="AL111" i="1" s="1"/>
  <c r="W111" i="1" s="1"/>
  <c r="U111" i="1"/>
  <c r="AV121" i="1"/>
  <c r="AH113" i="1"/>
  <c r="AK113" i="1"/>
  <c r="AG113" i="1"/>
  <c r="AX121" i="1"/>
  <c r="AW121" i="1"/>
  <c r="AU121" i="1"/>
  <c r="AO111" i="1"/>
  <c r="AQ111" i="1" s="1"/>
  <c r="X111" i="1" s="1"/>
  <c r="AI112" i="1"/>
  <c r="AN112" i="1"/>
  <c r="V112" i="1" s="1"/>
  <c r="N122" i="1"/>
  <c r="M122" i="1"/>
  <c r="T122" i="1" s="1"/>
  <c r="P121" i="1"/>
  <c r="R121" i="1"/>
  <c r="AS114" i="1"/>
  <c r="AT114" i="1"/>
  <c r="AP114" i="1" s="1"/>
  <c r="O122" i="1"/>
  <c r="Q122" i="1"/>
  <c r="S122" i="1"/>
  <c r="AJ112" i="1" l="1"/>
  <c r="AL112" i="1" s="1"/>
  <c r="W112" i="1" s="1"/>
  <c r="U112" i="1"/>
  <c r="AV122" i="1"/>
  <c r="AH114" i="1"/>
  <c r="AK114" i="1"/>
  <c r="AG114" i="1"/>
  <c r="AX122" i="1"/>
  <c r="AW122" i="1"/>
  <c r="AU122" i="1"/>
  <c r="AO112" i="1"/>
  <c r="AQ112" i="1" s="1"/>
  <c r="X112" i="1" s="1"/>
  <c r="AN113" i="1"/>
  <c r="V113" i="1" s="1"/>
  <c r="AI113" i="1"/>
  <c r="N123" i="1"/>
  <c r="M123" i="1"/>
  <c r="T123" i="1" s="1"/>
  <c r="R122" i="1"/>
  <c r="P122" i="1"/>
  <c r="AS115" i="1"/>
  <c r="AT115" i="1"/>
  <c r="AP115" i="1" s="1"/>
  <c r="S123" i="1"/>
  <c r="O123" i="1"/>
  <c r="Q123" i="1"/>
  <c r="AJ113" i="1" l="1"/>
  <c r="AL113" i="1" s="1"/>
  <c r="W113" i="1" s="1"/>
  <c r="U113" i="1"/>
  <c r="AV123" i="1"/>
  <c r="AH115" i="1"/>
  <c r="AK115" i="1"/>
  <c r="AG115" i="1"/>
  <c r="AX123" i="1"/>
  <c r="AW123" i="1"/>
  <c r="AU123" i="1"/>
  <c r="AO113" i="1"/>
  <c r="AQ113" i="1" s="1"/>
  <c r="X113" i="1" s="1"/>
  <c r="AI114" i="1"/>
  <c r="AN114" i="1"/>
  <c r="V114" i="1" s="1"/>
  <c r="N124" i="1"/>
  <c r="M124" i="1"/>
  <c r="T124" i="1" s="1"/>
  <c r="R123" i="1"/>
  <c r="P123" i="1"/>
  <c r="AS116" i="1"/>
  <c r="AT116" i="1"/>
  <c r="AP116" i="1" s="1"/>
  <c r="S124" i="1"/>
  <c r="O124" i="1"/>
  <c r="Q124" i="1"/>
  <c r="AJ114" i="1" l="1"/>
  <c r="AL114" i="1" s="1"/>
  <c r="W114" i="1" s="1"/>
  <c r="U114" i="1"/>
  <c r="AV124" i="1"/>
  <c r="AH116" i="1"/>
  <c r="AK116" i="1"/>
  <c r="AG116" i="1"/>
  <c r="AX124" i="1"/>
  <c r="AW124" i="1"/>
  <c r="AU124" i="1"/>
  <c r="AO114" i="1"/>
  <c r="AQ114" i="1" s="1"/>
  <c r="X114" i="1" s="1"/>
  <c r="AN115" i="1"/>
  <c r="V115" i="1" s="1"/>
  <c r="AI115" i="1"/>
  <c r="N125" i="1"/>
  <c r="M125" i="1"/>
  <c r="T125" i="1" s="1"/>
  <c r="R124" i="1"/>
  <c r="P124" i="1"/>
  <c r="AS117" i="1"/>
  <c r="AT117" i="1"/>
  <c r="AP117" i="1" s="1"/>
  <c r="S125" i="1"/>
  <c r="O125" i="1"/>
  <c r="Q125" i="1"/>
  <c r="AJ115" i="1" l="1"/>
  <c r="AL115" i="1" s="1"/>
  <c r="W115" i="1" s="1"/>
  <c r="U115" i="1"/>
  <c r="AV125" i="1"/>
  <c r="AH117" i="1"/>
  <c r="AK117" i="1"/>
  <c r="AG117" i="1"/>
  <c r="AX125" i="1"/>
  <c r="AW125" i="1"/>
  <c r="AU125" i="1"/>
  <c r="AO115" i="1"/>
  <c r="AQ115" i="1" s="1"/>
  <c r="X115" i="1" s="1"/>
  <c r="AI116" i="1"/>
  <c r="AN116" i="1"/>
  <c r="V116" i="1" s="1"/>
  <c r="N126" i="1"/>
  <c r="M126" i="1"/>
  <c r="T126" i="1" s="1"/>
  <c r="P125" i="1"/>
  <c r="R125" i="1"/>
  <c r="AS118" i="1"/>
  <c r="AT118" i="1"/>
  <c r="AP118" i="1" s="1"/>
  <c r="O126" i="1"/>
  <c r="Q126" i="1"/>
  <c r="S126" i="1"/>
  <c r="AJ116" i="1" l="1"/>
  <c r="AL116" i="1" s="1"/>
  <c r="W116" i="1" s="1"/>
  <c r="U116" i="1"/>
  <c r="AV126" i="1"/>
  <c r="AH118" i="1"/>
  <c r="AK118" i="1"/>
  <c r="AG118" i="1"/>
  <c r="AX126" i="1"/>
  <c r="AW126" i="1"/>
  <c r="AU126" i="1"/>
  <c r="AO116" i="1"/>
  <c r="AQ116" i="1" s="1"/>
  <c r="X116" i="1" s="1"/>
  <c r="AN117" i="1"/>
  <c r="V117" i="1" s="1"/>
  <c r="AI117" i="1"/>
  <c r="N127" i="1"/>
  <c r="M127" i="1"/>
  <c r="T127" i="1" s="1"/>
  <c r="P126" i="1"/>
  <c r="R126" i="1"/>
  <c r="AS119" i="1"/>
  <c r="AT119" i="1"/>
  <c r="AP119" i="1" s="1"/>
  <c r="O127" i="1"/>
  <c r="S127" i="1"/>
  <c r="Q127" i="1"/>
  <c r="AJ117" i="1" l="1"/>
  <c r="AL117" i="1" s="1"/>
  <c r="W117" i="1" s="1"/>
  <c r="U117" i="1"/>
  <c r="AV127" i="1"/>
  <c r="AH119" i="1"/>
  <c r="AK119" i="1"/>
  <c r="AG119" i="1"/>
  <c r="AX127" i="1"/>
  <c r="AU127" i="1"/>
  <c r="AW127" i="1"/>
  <c r="AO117" i="1"/>
  <c r="AQ117" i="1" s="1"/>
  <c r="X117" i="1" s="1"/>
  <c r="AI118" i="1"/>
  <c r="AN118" i="1"/>
  <c r="V118" i="1" s="1"/>
  <c r="N128" i="1"/>
  <c r="M128" i="1"/>
  <c r="T128" i="1" s="1"/>
  <c r="R127" i="1"/>
  <c r="P127" i="1"/>
  <c r="AS120" i="1"/>
  <c r="AT120" i="1"/>
  <c r="AP120" i="1" s="1"/>
  <c r="Q128" i="1"/>
  <c r="O128" i="1"/>
  <c r="S128" i="1"/>
  <c r="AJ118" i="1" l="1"/>
  <c r="AL118" i="1" s="1"/>
  <c r="W118" i="1" s="1"/>
  <c r="U118" i="1"/>
  <c r="AV128" i="1"/>
  <c r="AH120" i="1"/>
  <c r="AK120" i="1"/>
  <c r="AG120" i="1"/>
  <c r="AX128" i="1"/>
  <c r="AU128" i="1"/>
  <c r="AW128" i="1"/>
  <c r="AO118" i="1"/>
  <c r="AQ118" i="1" s="1"/>
  <c r="X118" i="1" s="1"/>
  <c r="AN119" i="1"/>
  <c r="V119" i="1" s="1"/>
  <c r="AI119" i="1"/>
  <c r="N129" i="1"/>
  <c r="M129" i="1"/>
  <c r="T129" i="1" s="1"/>
  <c r="R128" i="1"/>
  <c r="P128" i="1"/>
  <c r="AS121" i="1"/>
  <c r="AT121" i="1"/>
  <c r="AP121" i="1" s="1"/>
  <c r="O129" i="1"/>
  <c r="Q129" i="1"/>
  <c r="S129" i="1"/>
  <c r="AJ119" i="1" l="1"/>
  <c r="AL119" i="1" s="1"/>
  <c r="W119" i="1" s="1"/>
  <c r="U119" i="1"/>
  <c r="AV129" i="1"/>
  <c r="AH121" i="1"/>
  <c r="AK121" i="1"/>
  <c r="AG121" i="1"/>
  <c r="AX129" i="1"/>
  <c r="AU129" i="1"/>
  <c r="AW129" i="1"/>
  <c r="AO119" i="1"/>
  <c r="AQ119" i="1" s="1"/>
  <c r="X119" i="1" s="1"/>
  <c r="AI120" i="1"/>
  <c r="AN120" i="1"/>
  <c r="V120" i="1" s="1"/>
  <c r="N130" i="1"/>
  <c r="M130" i="1"/>
  <c r="T130" i="1" s="1"/>
  <c r="P129" i="1"/>
  <c r="R129" i="1"/>
  <c r="AS122" i="1"/>
  <c r="AT122" i="1"/>
  <c r="AP122" i="1" s="1"/>
  <c r="O130" i="1"/>
  <c r="S130" i="1"/>
  <c r="Q130" i="1"/>
  <c r="AJ120" i="1" l="1"/>
  <c r="AL120" i="1" s="1"/>
  <c r="W120" i="1" s="1"/>
  <c r="U120" i="1"/>
  <c r="AV130" i="1"/>
  <c r="AH122" i="1"/>
  <c r="AK122" i="1"/>
  <c r="AG122" i="1"/>
  <c r="AX130" i="1"/>
  <c r="AW130" i="1"/>
  <c r="AU130" i="1"/>
  <c r="AO120" i="1"/>
  <c r="AQ120" i="1" s="1"/>
  <c r="X120" i="1" s="1"/>
  <c r="AN121" i="1"/>
  <c r="V121" i="1" s="1"/>
  <c r="AI121" i="1"/>
  <c r="N131" i="1"/>
  <c r="M131" i="1"/>
  <c r="T131" i="1" s="1"/>
  <c r="P130" i="1"/>
  <c r="R130" i="1"/>
  <c r="AS123" i="1"/>
  <c r="AT123" i="1"/>
  <c r="AP123" i="1" s="1"/>
  <c r="Q131" i="1"/>
  <c r="O131" i="1"/>
  <c r="S131" i="1"/>
  <c r="AJ121" i="1" l="1"/>
  <c r="AL121" i="1" s="1"/>
  <c r="W121" i="1" s="1"/>
  <c r="U121" i="1"/>
  <c r="AV131" i="1"/>
  <c r="AH123" i="1"/>
  <c r="AK123" i="1"/>
  <c r="AG123" i="1"/>
  <c r="AX131" i="1"/>
  <c r="AW131" i="1"/>
  <c r="AU131" i="1"/>
  <c r="AO121" i="1"/>
  <c r="AQ121" i="1" s="1"/>
  <c r="X121" i="1" s="1"/>
  <c r="AI122" i="1"/>
  <c r="AN122" i="1"/>
  <c r="V122" i="1" s="1"/>
  <c r="N132" i="1"/>
  <c r="M132" i="1"/>
  <c r="T132" i="1" s="1"/>
  <c r="R131" i="1"/>
  <c r="P131" i="1"/>
  <c r="AS124" i="1"/>
  <c r="AT124" i="1"/>
  <c r="AP124" i="1" s="1"/>
  <c r="S132" i="1"/>
  <c r="Q132" i="1"/>
  <c r="O132" i="1"/>
  <c r="AJ122" i="1" l="1"/>
  <c r="AL122" i="1" s="1"/>
  <c r="W122" i="1" s="1"/>
  <c r="U122" i="1"/>
  <c r="AV132" i="1"/>
  <c r="AH124" i="1"/>
  <c r="AK124" i="1"/>
  <c r="AG124" i="1"/>
  <c r="AX132" i="1"/>
  <c r="AU132" i="1"/>
  <c r="AW132" i="1"/>
  <c r="AO122" i="1"/>
  <c r="AQ122" i="1" s="1"/>
  <c r="X122" i="1" s="1"/>
  <c r="AN123" i="1"/>
  <c r="V123" i="1" s="1"/>
  <c r="AI123" i="1"/>
  <c r="N133" i="1"/>
  <c r="M133" i="1"/>
  <c r="T133" i="1" s="1"/>
  <c r="R132" i="1"/>
  <c r="P132" i="1"/>
  <c r="AS125" i="1"/>
  <c r="AT125" i="1"/>
  <c r="AP125" i="1" s="1"/>
  <c r="O133" i="1"/>
  <c r="Q133" i="1"/>
  <c r="S133" i="1"/>
  <c r="AJ123" i="1" l="1"/>
  <c r="AL123" i="1" s="1"/>
  <c r="W123" i="1" s="1"/>
  <c r="U123" i="1"/>
  <c r="AV133" i="1"/>
  <c r="AH125" i="1"/>
  <c r="AK125" i="1"/>
  <c r="AG125" i="1"/>
  <c r="AX133" i="1"/>
  <c r="AW133" i="1"/>
  <c r="AU133" i="1"/>
  <c r="AO123" i="1"/>
  <c r="AQ123" i="1" s="1"/>
  <c r="X123" i="1" s="1"/>
  <c r="AI124" i="1"/>
  <c r="AN124" i="1"/>
  <c r="V124" i="1" s="1"/>
  <c r="N134" i="1"/>
  <c r="M134" i="1"/>
  <c r="T134" i="1" s="1"/>
  <c r="R133" i="1"/>
  <c r="P133" i="1"/>
  <c r="AS126" i="1"/>
  <c r="AT126" i="1"/>
  <c r="AP126" i="1" s="1"/>
  <c r="Q134" i="1"/>
  <c r="O134" i="1"/>
  <c r="S134" i="1"/>
  <c r="AJ124" i="1" l="1"/>
  <c r="AL124" i="1" s="1"/>
  <c r="W124" i="1" s="1"/>
  <c r="U124" i="1"/>
  <c r="AV134" i="1"/>
  <c r="AH126" i="1"/>
  <c r="AK126" i="1"/>
  <c r="AG126" i="1"/>
  <c r="AX134" i="1"/>
  <c r="AW134" i="1"/>
  <c r="AU134" i="1"/>
  <c r="AO124" i="1"/>
  <c r="AQ124" i="1" s="1"/>
  <c r="X124" i="1" s="1"/>
  <c r="AN125" i="1"/>
  <c r="V125" i="1" s="1"/>
  <c r="AI125" i="1"/>
  <c r="N135" i="1"/>
  <c r="M135" i="1"/>
  <c r="T135" i="1" s="1"/>
  <c r="R134" i="1"/>
  <c r="P134" i="1"/>
  <c r="AS127" i="1"/>
  <c r="AT127" i="1"/>
  <c r="AP127" i="1" s="1"/>
  <c r="S135" i="1"/>
  <c r="Q135" i="1"/>
  <c r="O135" i="1"/>
  <c r="AJ125" i="1" l="1"/>
  <c r="AL125" i="1" s="1"/>
  <c r="W125" i="1" s="1"/>
  <c r="U125" i="1"/>
  <c r="AV135" i="1"/>
  <c r="AH127" i="1"/>
  <c r="AK127" i="1"/>
  <c r="AG127" i="1"/>
  <c r="AX135" i="1"/>
  <c r="AW135" i="1"/>
  <c r="AU135" i="1"/>
  <c r="AO125" i="1"/>
  <c r="AQ125" i="1" s="1"/>
  <c r="X125" i="1" s="1"/>
  <c r="AI126" i="1"/>
  <c r="AN126" i="1"/>
  <c r="V126" i="1" s="1"/>
  <c r="N136" i="1"/>
  <c r="M136" i="1"/>
  <c r="T136" i="1" s="1"/>
  <c r="R135" i="1"/>
  <c r="P135" i="1"/>
  <c r="AS128" i="1"/>
  <c r="AT128" i="1"/>
  <c r="AP128" i="1" s="1"/>
  <c r="O136" i="1"/>
  <c r="S136" i="1"/>
  <c r="Q136" i="1"/>
  <c r="AJ126" i="1" l="1"/>
  <c r="AL126" i="1" s="1"/>
  <c r="W126" i="1" s="1"/>
  <c r="U126" i="1"/>
  <c r="AV136" i="1"/>
  <c r="AH128" i="1"/>
  <c r="AK128" i="1"/>
  <c r="AG128" i="1"/>
  <c r="AX136" i="1"/>
  <c r="AW136" i="1"/>
  <c r="AU136" i="1"/>
  <c r="AO126" i="1"/>
  <c r="AQ126" i="1" s="1"/>
  <c r="X126" i="1" s="1"/>
  <c r="AN127" i="1"/>
  <c r="V127" i="1" s="1"/>
  <c r="AI127" i="1"/>
  <c r="N137" i="1"/>
  <c r="M137" i="1"/>
  <c r="T137" i="1" s="1"/>
  <c r="R136" i="1"/>
  <c r="P136" i="1"/>
  <c r="AS129" i="1"/>
  <c r="AT129" i="1"/>
  <c r="AP129" i="1" s="1"/>
  <c r="S137" i="1"/>
  <c r="O137" i="1"/>
  <c r="Q137" i="1"/>
  <c r="AJ127" i="1" l="1"/>
  <c r="AL127" i="1" s="1"/>
  <c r="W127" i="1" s="1"/>
  <c r="U127" i="1"/>
  <c r="AV137" i="1"/>
  <c r="AH129" i="1"/>
  <c r="AK129" i="1"/>
  <c r="AG129" i="1"/>
  <c r="AX137" i="1"/>
  <c r="AW137" i="1"/>
  <c r="AU137" i="1"/>
  <c r="AO127" i="1"/>
  <c r="AQ127" i="1" s="1"/>
  <c r="X127" i="1" s="1"/>
  <c r="AI128" i="1"/>
  <c r="AN128" i="1"/>
  <c r="V128" i="1" s="1"/>
  <c r="N138" i="1"/>
  <c r="M138" i="1"/>
  <c r="T138" i="1" s="1"/>
  <c r="P137" i="1"/>
  <c r="R137" i="1"/>
  <c r="AS130" i="1"/>
  <c r="AT130" i="1"/>
  <c r="AP130" i="1" s="1"/>
  <c r="S138" i="1"/>
  <c r="O138" i="1"/>
  <c r="Q138" i="1"/>
  <c r="AJ128" i="1" l="1"/>
  <c r="AL128" i="1" s="1"/>
  <c r="W128" i="1" s="1"/>
  <c r="U128" i="1"/>
  <c r="AV138" i="1"/>
  <c r="AH130" i="1"/>
  <c r="AK130" i="1"/>
  <c r="AG130" i="1"/>
  <c r="AX138" i="1"/>
  <c r="AW138" i="1"/>
  <c r="AU138" i="1"/>
  <c r="AO128" i="1"/>
  <c r="AQ128" i="1" s="1"/>
  <c r="X128" i="1" s="1"/>
  <c r="AN129" i="1"/>
  <c r="V129" i="1" s="1"/>
  <c r="AI129" i="1"/>
  <c r="N139" i="1"/>
  <c r="M139" i="1"/>
  <c r="T139" i="1" s="1"/>
  <c r="R138" i="1"/>
  <c r="P138" i="1"/>
  <c r="AS131" i="1"/>
  <c r="AT131" i="1"/>
  <c r="AP131" i="1" s="1"/>
  <c r="Q139" i="1"/>
  <c r="S139" i="1"/>
  <c r="O139" i="1"/>
  <c r="AJ129" i="1" l="1"/>
  <c r="AL129" i="1" s="1"/>
  <c r="W129" i="1" s="1"/>
  <c r="U129" i="1"/>
  <c r="AV139" i="1"/>
  <c r="AH131" i="1"/>
  <c r="AK131" i="1"/>
  <c r="AG131" i="1"/>
  <c r="AX139" i="1"/>
  <c r="AW139" i="1"/>
  <c r="AU139" i="1"/>
  <c r="AO129" i="1"/>
  <c r="AQ129" i="1" s="1"/>
  <c r="X129" i="1" s="1"/>
  <c r="AI130" i="1"/>
  <c r="AN130" i="1"/>
  <c r="V130" i="1" s="1"/>
  <c r="N140" i="1"/>
  <c r="M140" i="1"/>
  <c r="T140" i="1" s="1"/>
  <c r="R139" i="1"/>
  <c r="P139" i="1"/>
  <c r="AS132" i="1"/>
  <c r="AT132" i="1"/>
  <c r="AP132" i="1" s="1"/>
  <c r="O140" i="1"/>
  <c r="Q140" i="1"/>
  <c r="S140" i="1"/>
  <c r="AJ130" i="1" l="1"/>
  <c r="AL130" i="1" s="1"/>
  <c r="W130" i="1" s="1"/>
  <c r="U130" i="1"/>
  <c r="AV140" i="1"/>
  <c r="AH132" i="1"/>
  <c r="AK132" i="1"/>
  <c r="AG132" i="1"/>
  <c r="AX140" i="1"/>
  <c r="AW140" i="1"/>
  <c r="AU140" i="1"/>
  <c r="AO130" i="1"/>
  <c r="AQ130" i="1" s="1"/>
  <c r="X130" i="1" s="1"/>
  <c r="AN131" i="1"/>
  <c r="V131" i="1" s="1"/>
  <c r="AI131" i="1"/>
  <c r="N141" i="1"/>
  <c r="M141" i="1"/>
  <c r="T141" i="1" s="1"/>
  <c r="R140" i="1"/>
  <c r="P140" i="1"/>
  <c r="AS133" i="1"/>
  <c r="AT133" i="1"/>
  <c r="AP133" i="1" s="1"/>
  <c r="O141" i="1"/>
  <c r="Q141" i="1"/>
  <c r="S141" i="1"/>
  <c r="AJ131" i="1" l="1"/>
  <c r="AL131" i="1" s="1"/>
  <c r="W131" i="1" s="1"/>
  <c r="U131" i="1"/>
  <c r="AV141" i="1"/>
  <c r="AH133" i="1"/>
  <c r="AK133" i="1"/>
  <c r="AG133" i="1"/>
  <c r="AX141" i="1"/>
  <c r="AW141" i="1"/>
  <c r="AU141" i="1"/>
  <c r="AO131" i="1"/>
  <c r="AQ131" i="1" s="1"/>
  <c r="X131" i="1" s="1"/>
  <c r="AI132" i="1"/>
  <c r="AN132" i="1"/>
  <c r="V132" i="1" s="1"/>
  <c r="N142" i="1"/>
  <c r="M142" i="1"/>
  <c r="T142" i="1" s="1"/>
  <c r="P141" i="1"/>
  <c r="R141" i="1"/>
  <c r="AS134" i="1"/>
  <c r="AT134" i="1"/>
  <c r="AP134" i="1" s="1"/>
  <c r="Q142" i="1"/>
  <c r="O142" i="1"/>
  <c r="S142" i="1"/>
  <c r="AJ132" i="1" l="1"/>
  <c r="AL132" i="1" s="1"/>
  <c r="W132" i="1" s="1"/>
  <c r="U132" i="1"/>
  <c r="AV142" i="1"/>
  <c r="AH134" i="1"/>
  <c r="AK134" i="1"/>
  <c r="AG134" i="1"/>
  <c r="AX142" i="1"/>
  <c r="AW142" i="1"/>
  <c r="AU142" i="1"/>
  <c r="AO132" i="1"/>
  <c r="AQ132" i="1" s="1"/>
  <c r="X132" i="1" s="1"/>
  <c r="AN133" i="1"/>
  <c r="V133" i="1" s="1"/>
  <c r="AI133" i="1"/>
  <c r="N143" i="1"/>
  <c r="M143" i="1"/>
  <c r="T143" i="1" s="1"/>
  <c r="P142" i="1"/>
  <c r="R142" i="1"/>
  <c r="AS135" i="1"/>
  <c r="AT135" i="1"/>
  <c r="AP135" i="1" s="1"/>
  <c r="O143" i="1"/>
  <c r="S143" i="1"/>
  <c r="Q143" i="1"/>
  <c r="AJ133" i="1" l="1"/>
  <c r="AL133" i="1" s="1"/>
  <c r="W133" i="1" s="1"/>
  <c r="U133" i="1"/>
  <c r="AV143" i="1"/>
  <c r="AH135" i="1"/>
  <c r="AK135" i="1"/>
  <c r="AG135" i="1"/>
  <c r="AX143" i="1"/>
  <c r="AW143" i="1"/>
  <c r="AU143" i="1"/>
  <c r="AO133" i="1"/>
  <c r="AQ133" i="1" s="1"/>
  <c r="X133" i="1" s="1"/>
  <c r="AI134" i="1"/>
  <c r="AN134" i="1"/>
  <c r="V134" i="1" s="1"/>
  <c r="N144" i="1"/>
  <c r="M144" i="1"/>
  <c r="T144" i="1" s="1"/>
  <c r="R143" i="1"/>
  <c r="P143" i="1"/>
  <c r="AS136" i="1"/>
  <c r="AT136" i="1"/>
  <c r="AP136" i="1" s="1"/>
  <c r="Q144" i="1"/>
  <c r="O144" i="1"/>
  <c r="S144" i="1"/>
  <c r="AJ134" i="1" l="1"/>
  <c r="AL134" i="1" s="1"/>
  <c r="W134" i="1" s="1"/>
  <c r="U134" i="1"/>
  <c r="AV144" i="1"/>
  <c r="AH136" i="1"/>
  <c r="AK136" i="1"/>
  <c r="AG136" i="1"/>
  <c r="AX144" i="1"/>
  <c r="AW144" i="1"/>
  <c r="AU144" i="1"/>
  <c r="AO134" i="1"/>
  <c r="AQ134" i="1" s="1"/>
  <c r="X134" i="1" s="1"/>
  <c r="AN135" i="1"/>
  <c r="V135" i="1" s="1"/>
  <c r="AI135" i="1"/>
  <c r="N145" i="1"/>
  <c r="M145" i="1"/>
  <c r="T145" i="1" s="1"/>
  <c r="R144" i="1"/>
  <c r="P144" i="1"/>
  <c r="AS137" i="1"/>
  <c r="AT137" i="1"/>
  <c r="AP137" i="1" s="1"/>
  <c r="Q145" i="1"/>
  <c r="S145" i="1"/>
  <c r="O145" i="1"/>
  <c r="AJ135" i="1" l="1"/>
  <c r="AL135" i="1" s="1"/>
  <c r="W135" i="1" s="1"/>
  <c r="U135" i="1"/>
  <c r="AV145" i="1"/>
  <c r="AH137" i="1"/>
  <c r="AK137" i="1"/>
  <c r="AG137" i="1"/>
  <c r="AX145" i="1"/>
  <c r="AW145" i="1"/>
  <c r="AU145" i="1"/>
  <c r="AO135" i="1"/>
  <c r="AQ135" i="1" s="1"/>
  <c r="X135" i="1" s="1"/>
  <c r="AI136" i="1"/>
  <c r="AN136" i="1"/>
  <c r="V136" i="1" s="1"/>
  <c r="N146" i="1"/>
  <c r="M146" i="1"/>
  <c r="T146" i="1" s="1"/>
  <c r="P145" i="1"/>
  <c r="R145" i="1"/>
  <c r="AS138" i="1"/>
  <c r="AT138" i="1"/>
  <c r="AP138" i="1" s="1"/>
  <c r="Q146" i="1"/>
  <c r="O146" i="1"/>
  <c r="S146" i="1"/>
  <c r="AJ136" i="1" l="1"/>
  <c r="AL136" i="1" s="1"/>
  <c r="W136" i="1" s="1"/>
  <c r="U136" i="1"/>
  <c r="AV146" i="1"/>
  <c r="AH138" i="1"/>
  <c r="AK138" i="1"/>
  <c r="AG138" i="1"/>
  <c r="AX146" i="1"/>
  <c r="AW146" i="1"/>
  <c r="AU146" i="1"/>
  <c r="AO136" i="1"/>
  <c r="AQ136" i="1" s="1"/>
  <c r="X136" i="1" s="1"/>
  <c r="AN137" i="1"/>
  <c r="V137" i="1" s="1"/>
  <c r="AI137" i="1"/>
  <c r="N147" i="1"/>
  <c r="M147" i="1"/>
  <c r="T147" i="1" s="1"/>
  <c r="P146" i="1"/>
  <c r="R146" i="1"/>
  <c r="AS139" i="1"/>
  <c r="AT139" i="1"/>
  <c r="AP139" i="1" s="1"/>
  <c r="O147" i="1"/>
  <c r="Q147" i="1"/>
  <c r="S147" i="1"/>
  <c r="AJ137" i="1" l="1"/>
  <c r="AL137" i="1" s="1"/>
  <c r="W137" i="1" s="1"/>
  <c r="U137" i="1"/>
  <c r="AV147" i="1"/>
  <c r="AH139" i="1"/>
  <c r="AK139" i="1"/>
  <c r="AG139" i="1"/>
  <c r="AX147" i="1"/>
  <c r="AW147" i="1"/>
  <c r="AU147" i="1"/>
  <c r="AO137" i="1"/>
  <c r="AQ137" i="1" s="1"/>
  <c r="X137" i="1" s="1"/>
  <c r="AI138" i="1"/>
  <c r="AN138" i="1"/>
  <c r="V138" i="1" s="1"/>
  <c r="N148" i="1"/>
  <c r="M148" i="1"/>
  <c r="T148" i="1" s="1"/>
  <c r="P147" i="1"/>
  <c r="R147" i="1"/>
  <c r="AS140" i="1"/>
  <c r="AT140" i="1"/>
  <c r="AP140" i="1" s="1"/>
  <c r="Q148" i="1"/>
  <c r="S148" i="1"/>
  <c r="O148" i="1"/>
  <c r="AJ138" i="1" l="1"/>
  <c r="AL138" i="1" s="1"/>
  <c r="W138" i="1" s="1"/>
  <c r="U138" i="1"/>
  <c r="AV148" i="1"/>
  <c r="AH140" i="1"/>
  <c r="AK140" i="1"/>
  <c r="AG140" i="1"/>
  <c r="AX148" i="1"/>
  <c r="AW148" i="1"/>
  <c r="AU148" i="1"/>
  <c r="AO138" i="1"/>
  <c r="AQ138" i="1" s="1"/>
  <c r="X138" i="1" s="1"/>
  <c r="AN139" i="1"/>
  <c r="V139" i="1" s="1"/>
  <c r="AI139" i="1"/>
  <c r="N149" i="1"/>
  <c r="M149" i="1"/>
  <c r="T149" i="1" s="1"/>
  <c r="R148" i="1"/>
  <c r="P148" i="1"/>
  <c r="AS141" i="1"/>
  <c r="AT141" i="1"/>
  <c r="AP141" i="1" s="1"/>
  <c r="Q149" i="1"/>
  <c r="S149" i="1"/>
  <c r="O149" i="1"/>
  <c r="AJ139" i="1" l="1"/>
  <c r="AL139" i="1" s="1"/>
  <c r="W139" i="1" s="1"/>
  <c r="U139" i="1"/>
  <c r="AV149" i="1"/>
  <c r="AH141" i="1"/>
  <c r="AK141" i="1"/>
  <c r="AG141" i="1"/>
  <c r="AX149" i="1"/>
  <c r="AW149" i="1"/>
  <c r="AU149" i="1"/>
  <c r="AO139" i="1"/>
  <c r="AQ139" i="1" s="1"/>
  <c r="X139" i="1" s="1"/>
  <c r="AI140" i="1"/>
  <c r="AN140" i="1"/>
  <c r="V140" i="1" s="1"/>
  <c r="N150" i="1"/>
  <c r="M150" i="1"/>
  <c r="T150" i="1" s="1"/>
  <c r="R149" i="1"/>
  <c r="P149" i="1"/>
  <c r="AS142" i="1"/>
  <c r="AT142" i="1"/>
  <c r="AP142" i="1" s="1"/>
  <c r="S150" i="1"/>
  <c r="O150" i="1"/>
  <c r="Q150" i="1"/>
  <c r="AJ140" i="1" l="1"/>
  <c r="AL140" i="1" s="1"/>
  <c r="W140" i="1" s="1"/>
  <c r="U140" i="1"/>
  <c r="AV150" i="1"/>
  <c r="AH142" i="1"/>
  <c r="AK142" i="1"/>
  <c r="AG142" i="1"/>
  <c r="AX150" i="1"/>
  <c r="AW150" i="1"/>
  <c r="AU150" i="1"/>
  <c r="AO140" i="1"/>
  <c r="AQ140" i="1" s="1"/>
  <c r="X140" i="1" s="1"/>
  <c r="AN141" i="1"/>
  <c r="V141" i="1" s="1"/>
  <c r="AI141" i="1"/>
  <c r="N151" i="1"/>
  <c r="M151" i="1"/>
  <c r="T151" i="1" s="1"/>
  <c r="R150" i="1"/>
  <c r="P150" i="1"/>
  <c r="AS143" i="1"/>
  <c r="AT143" i="1"/>
  <c r="AP143" i="1" s="1"/>
  <c r="O151" i="1"/>
  <c r="S151" i="1"/>
  <c r="Q151" i="1"/>
  <c r="AJ141" i="1" l="1"/>
  <c r="AL141" i="1" s="1"/>
  <c r="W141" i="1" s="1"/>
  <c r="U141" i="1"/>
  <c r="AV151" i="1"/>
  <c r="AH143" i="1"/>
  <c r="AK143" i="1"/>
  <c r="AG143" i="1"/>
  <c r="AX151" i="1"/>
  <c r="AW151" i="1"/>
  <c r="AU151" i="1"/>
  <c r="AO141" i="1"/>
  <c r="AQ141" i="1" s="1"/>
  <c r="X141" i="1" s="1"/>
  <c r="AI142" i="1"/>
  <c r="AN142" i="1"/>
  <c r="V142" i="1" s="1"/>
  <c r="N152" i="1"/>
  <c r="M152" i="1"/>
  <c r="T152" i="1" s="1"/>
  <c r="P151" i="1"/>
  <c r="R151" i="1"/>
  <c r="AS144" i="1"/>
  <c r="AT144" i="1"/>
  <c r="AP144" i="1" s="1"/>
  <c r="O152" i="1"/>
  <c r="Q152" i="1"/>
  <c r="S152" i="1"/>
  <c r="AJ142" i="1" l="1"/>
  <c r="AL142" i="1" s="1"/>
  <c r="W142" i="1" s="1"/>
  <c r="U142" i="1"/>
  <c r="AV152" i="1"/>
  <c r="AH144" i="1"/>
  <c r="AK144" i="1"/>
  <c r="AG144" i="1"/>
  <c r="AX152" i="1"/>
  <c r="AW152" i="1"/>
  <c r="AU152" i="1"/>
  <c r="AO142" i="1"/>
  <c r="AQ142" i="1" s="1"/>
  <c r="X142" i="1" s="1"/>
  <c r="AN143" i="1"/>
  <c r="V143" i="1" s="1"/>
  <c r="AI143" i="1"/>
  <c r="N153" i="1"/>
  <c r="M153" i="1"/>
  <c r="T153" i="1" s="1"/>
  <c r="R152" i="1"/>
  <c r="P152" i="1"/>
  <c r="AS145" i="1"/>
  <c r="AT145" i="1"/>
  <c r="AP145" i="1" s="1"/>
  <c r="S153" i="1"/>
  <c r="O153" i="1"/>
  <c r="Q153" i="1"/>
  <c r="AJ143" i="1" l="1"/>
  <c r="AL143" i="1" s="1"/>
  <c r="W143" i="1" s="1"/>
  <c r="U143" i="1"/>
  <c r="AV153" i="1"/>
  <c r="AH145" i="1"/>
  <c r="AK145" i="1"/>
  <c r="AG145" i="1"/>
  <c r="AX153" i="1"/>
  <c r="AW153" i="1"/>
  <c r="AU153" i="1"/>
  <c r="AO143" i="1"/>
  <c r="AQ143" i="1" s="1"/>
  <c r="X143" i="1" s="1"/>
  <c r="AI144" i="1"/>
  <c r="AN144" i="1"/>
  <c r="V144" i="1" s="1"/>
  <c r="N154" i="1"/>
  <c r="M154" i="1"/>
  <c r="T154" i="1" s="1"/>
  <c r="P153" i="1"/>
  <c r="R153" i="1"/>
  <c r="AS146" i="1"/>
  <c r="AT146" i="1"/>
  <c r="AP146" i="1" s="1"/>
  <c r="Q154" i="1"/>
  <c r="S154" i="1"/>
  <c r="O154" i="1"/>
  <c r="AJ144" i="1" l="1"/>
  <c r="AL144" i="1" s="1"/>
  <c r="W144" i="1" s="1"/>
  <c r="U144" i="1"/>
  <c r="AV154" i="1"/>
  <c r="AH146" i="1"/>
  <c r="AK146" i="1"/>
  <c r="AG146" i="1"/>
  <c r="AX154" i="1"/>
  <c r="AW154" i="1"/>
  <c r="AU154" i="1"/>
  <c r="AO144" i="1"/>
  <c r="AQ144" i="1" s="1"/>
  <c r="X144" i="1" s="1"/>
  <c r="AN145" i="1"/>
  <c r="V145" i="1" s="1"/>
  <c r="AI145" i="1"/>
  <c r="N155" i="1"/>
  <c r="M155" i="1"/>
  <c r="T155" i="1" s="1"/>
  <c r="R154" i="1"/>
  <c r="P154" i="1"/>
  <c r="AS147" i="1"/>
  <c r="AT147" i="1"/>
  <c r="AP147" i="1" s="1"/>
  <c r="Q155" i="1"/>
  <c r="S155" i="1"/>
  <c r="O155" i="1"/>
  <c r="AJ145" i="1" l="1"/>
  <c r="AL145" i="1" s="1"/>
  <c r="W145" i="1" s="1"/>
  <c r="U145" i="1"/>
  <c r="AV155" i="1"/>
  <c r="AH147" i="1"/>
  <c r="AK147" i="1"/>
  <c r="AG147" i="1"/>
  <c r="AX155" i="1"/>
  <c r="AW155" i="1"/>
  <c r="AU155" i="1"/>
  <c r="AO145" i="1"/>
  <c r="AQ145" i="1" s="1"/>
  <c r="X145" i="1" s="1"/>
  <c r="AI146" i="1"/>
  <c r="AN146" i="1"/>
  <c r="V146" i="1" s="1"/>
  <c r="N156" i="1"/>
  <c r="M156" i="1"/>
  <c r="T156" i="1" s="1"/>
  <c r="R155" i="1"/>
  <c r="P155" i="1"/>
  <c r="AS148" i="1"/>
  <c r="AT148" i="1"/>
  <c r="AP148" i="1" s="1"/>
  <c r="S156" i="1"/>
  <c r="Q156" i="1"/>
  <c r="O156" i="1"/>
  <c r="AJ146" i="1" l="1"/>
  <c r="AL146" i="1" s="1"/>
  <c r="W146" i="1" s="1"/>
  <c r="U146" i="1"/>
  <c r="AV156" i="1"/>
  <c r="AH148" i="1"/>
  <c r="AK148" i="1"/>
  <c r="AG148" i="1"/>
  <c r="AX156" i="1"/>
  <c r="AW156" i="1"/>
  <c r="AU156" i="1"/>
  <c r="AO146" i="1"/>
  <c r="AQ146" i="1" s="1"/>
  <c r="X146" i="1" s="1"/>
  <c r="AN147" i="1"/>
  <c r="V147" i="1" s="1"/>
  <c r="AI147" i="1"/>
  <c r="N157" i="1"/>
  <c r="M157" i="1"/>
  <c r="T157" i="1" s="1"/>
  <c r="R156" i="1"/>
  <c r="P156" i="1"/>
  <c r="AS149" i="1"/>
  <c r="AT149" i="1"/>
  <c r="AP149" i="1" s="1"/>
  <c r="O157" i="1"/>
  <c r="Q157" i="1"/>
  <c r="S157" i="1"/>
  <c r="AJ147" i="1" l="1"/>
  <c r="AL147" i="1" s="1"/>
  <c r="W147" i="1" s="1"/>
  <c r="U147" i="1"/>
  <c r="AV157" i="1"/>
  <c r="AH149" i="1"/>
  <c r="AK149" i="1"/>
  <c r="AG149" i="1"/>
  <c r="AX157" i="1"/>
  <c r="AW157" i="1"/>
  <c r="AU157" i="1"/>
  <c r="AO147" i="1"/>
  <c r="AQ147" i="1" s="1"/>
  <c r="X147" i="1" s="1"/>
  <c r="AI148" i="1"/>
  <c r="AN148" i="1"/>
  <c r="V148" i="1" s="1"/>
  <c r="N158" i="1"/>
  <c r="M158" i="1"/>
  <c r="T158" i="1" s="1"/>
  <c r="P157" i="1"/>
  <c r="R157" i="1"/>
  <c r="AS150" i="1"/>
  <c r="AT150" i="1"/>
  <c r="AP150" i="1" s="1"/>
  <c r="Q158" i="1"/>
  <c r="S158" i="1"/>
  <c r="O158" i="1"/>
  <c r="AJ148" i="1" l="1"/>
  <c r="AL148" i="1" s="1"/>
  <c r="W148" i="1" s="1"/>
  <c r="U148" i="1"/>
  <c r="AV158" i="1"/>
  <c r="AH150" i="1"/>
  <c r="AK150" i="1"/>
  <c r="AG150" i="1"/>
  <c r="AX158" i="1"/>
  <c r="AW158" i="1"/>
  <c r="AU158" i="1"/>
  <c r="AO148" i="1"/>
  <c r="AQ148" i="1" s="1"/>
  <c r="X148" i="1" s="1"/>
  <c r="AN149" i="1"/>
  <c r="V149" i="1" s="1"/>
  <c r="AI149" i="1"/>
  <c r="N159" i="1"/>
  <c r="M159" i="1"/>
  <c r="T159" i="1" s="1"/>
  <c r="P158" i="1"/>
  <c r="R158" i="1"/>
  <c r="AS151" i="1"/>
  <c r="AT151" i="1"/>
  <c r="AP151" i="1" s="1"/>
  <c r="Q159" i="1"/>
  <c r="S159" i="1"/>
  <c r="O159" i="1"/>
  <c r="AJ149" i="1" l="1"/>
  <c r="AL149" i="1" s="1"/>
  <c r="W149" i="1" s="1"/>
  <c r="U149" i="1"/>
  <c r="AV159" i="1"/>
  <c r="AH151" i="1"/>
  <c r="AK151" i="1"/>
  <c r="AG151" i="1"/>
  <c r="AX159" i="1"/>
  <c r="AW159" i="1"/>
  <c r="AU159" i="1"/>
  <c r="AO149" i="1"/>
  <c r="AQ149" i="1" s="1"/>
  <c r="X149" i="1" s="1"/>
  <c r="AI150" i="1"/>
  <c r="AN150" i="1"/>
  <c r="V150" i="1" s="1"/>
  <c r="N160" i="1"/>
  <c r="M160" i="1"/>
  <c r="T160" i="1" s="1"/>
  <c r="R159" i="1"/>
  <c r="P159" i="1"/>
  <c r="AS152" i="1"/>
  <c r="AT152" i="1"/>
  <c r="AP152" i="1" s="1"/>
  <c r="S160" i="1"/>
  <c r="Q160" i="1"/>
  <c r="O160" i="1"/>
  <c r="AJ150" i="1" l="1"/>
  <c r="AL150" i="1" s="1"/>
  <c r="W150" i="1" s="1"/>
  <c r="U150" i="1"/>
  <c r="AV160" i="1"/>
  <c r="AH152" i="1"/>
  <c r="AK152" i="1"/>
  <c r="AG152" i="1"/>
  <c r="AX160" i="1"/>
  <c r="AW160" i="1"/>
  <c r="AU160" i="1"/>
  <c r="AO150" i="1"/>
  <c r="AQ150" i="1" s="1"/>
  <c r="X150" i="1" s="1"/>
  <c r="AN151" i="1"/>
  <c r="V151" i="1" s="1"/>
  <c r="AI151" i="1"/>
  <c r="N161" i="1"/>
  <c r="M161" i="1"/>
  <c r="T161" i="1" s="1"/>
  <c r="R160" i="1"/>
  <c r="P160" i="1"/>
  <c r="AS153" i="1"/>
  <c r="AT153" i="1"/>
  <c r="AP153" i="1" s="1"/>
  <c r="S161" i="1"/>
  <c r="Q161" i="1"/>
  <c r="O161" i="1"/>
  <c r="AJ151" i="1" l="1"/>
  <c r="AL151" i="1" s="1"/>
  <c r="W151" i="1" s="1"/>
  <c r="U151" i="1"/>
  <c r="AV161" i="1"/>
  <c r="AH153" i="1"/>
  <c r="AK153" i="1"/>
  <c r="AG153" i="1"/>
  <c r="AX161" i="1"/>
  <c r="AW161" i="1"/>
  <c r="AU161" i="1"/>
  <c r="AO151" i="1"/>
  <c r="AQ151" i="1" s="1"/>
  <c r="X151" i="1" s="1"/>
  <c r="AI152" i="1"/>
  <c r="AN152" i="1"/>
  <c r="V152" i="1" s="1"/>
  <c r="N162" i="1"/>
  <c r="M162" i="1"/>
  <c r="T162" i="1" s="1"/>
  <c r="P161" i="1"/>
  <c r="R161" i="1"/>
  <c r="AS154" i="1"/>
  <c r="AT154" i="1"/>
  <c r="AP154" i="1" s="1"/>
  <c r="Q162" i="1"/>
  <c r="O162" i="1"/>
  <c r="S162" i="1"/>
  <c r="AJ152" i="1" l="1"/>
  <c r="AL152" i="1" s="1"/>
  <c r="W152" i="1" s="1"/>
  <c r="U152" i="1"/>
  <c r="AV162" i="1"/>
  <c r="AH154" i="1"/>
  <c r="AK154" i="1"/>
  <c r="AG154" i="1"/>
  <c r="AX162" i="1"/>
  <c r="AW162" i="1"/>
  <c r="AU162" i="1"/>
  <c r="AO152" i="1"/>
  <c r="AQ152" i="1" s="1"/>
  <c r="X152" i="1" s="1"/>
  <c r="AN153" i="1"/>
  <c r="V153" i="1" s="1"/>
  <c r="AI153" i="1"/>
  <c r="N163" i="1"/>
  <c r="M163" i="1"/>
  <c r="T163" i="1" s="1"/>
  <c r="P162" i="1"/>
  <c r="R162" i="1"/>
  <c r="AS155" i="1"/>
  <c r="AT155" i="1"/>
  <c r="AP155" i="1" s="1"/>
  <c r="Q163" i="1"/>
  <c r="O163" i="1"/>
  <c r="S163" i="1"/>
  <c r="AJ153" i="1" l="1"/>
  <c r="AL153" i="1" s="1"/>
  <c r="W153" i="1" s="1"/>
  <c r="U153" i="1"/>
  <c r="AV163" i="1"/>
  <c r="AH155" i="1"/>
  <c r="AK155" i="1"/>
  <c r="AG155" i="1"/>
  <c r="AX163" i="1"/>
  <c r="AW163" i="1"/>
  <c r="AU163" i="1"/>
  <c r="AO153" i="1"/>
  <c r="AQ153" i="1" s="1"/>
  <c r="X153" i="1" s="1"/>
  <c r="AI154" i="1"/>
  <c r="AN154" i="1"/>
  <c r="V154" i="1" s="1"/>
  <c r="N164" i="1"/>
  <c r="M164" i="1"/>
  <c r="T164" i="1" s="1"/>
  <c r="R163" i="1"/>
  <c r="P163" i="1"/>
  <c r="AS156" i="1"/>
  <c r="AT156" i="1"/>
  <c r="AP156" i="1" s="1"/>
  <c r="S164" i="1"/>
  <c r="Q164" i="1"/>
  <c r="O164" i="1"/>
  <c r="AJ154" i="1" l="1"/>
  <c r="AL154" i="1" s="1"/>
  <c r="W154" i="1" s="1"/>
  <c r="U154" i="1"/>
  <c r="AV164" i="1"/>
  <c r="AH156" i="1"/>
  <c r="AK156" i="1"/>
  <c r="AG156" i="1"/>
  <c r="AX164" i="1"/>
  <c r="AW164" i="1"/>
  <c r="AU164" i="1"/>
  <c r="AO154" i="1"/>
  <c r="AQ154" i="1" s="1"/>
  <c r="X154" i="1" s="1"/>
  <c r="AN155" i="1"/>
  <c r="V155" i="1" s="1"/>
  <c r="AI155" i="1"/>
  <c r="N165" i="1"/>
  <c r="M165" i="1"/>
  <c r="T165" i="1" s="1"/>
  <c r="R164" i="1"/>
  <c r="P164" i="1"/>
  <c r="AS157" i="1"/>
  <c r="AT157" i="1"/>
  <c r="AP157" i="1" s="1"/>
  <c r="Q165" i="1"/>
  <c r="S165" i="1"/>
  <c r="O165" i="1"/>
  <c r="AJ155" i="1" l="1"/>
  <c r="AL155" i="1" s="1"/>
  <c r="W155" i="1" s="1"/>
  <c r="U155" i="1"/>
  <c r="AV165" i="1"/>
  <c r="AH157" i="1"/>
  <c r="AK157" i="1"/>
  <c r="AG157" i="1"/>
  <c r="AX165" i="1"/>
  <c r="AW165" i="1"/>
  <c r="AU165" i="1"/>
  <c r="AO155" i="1"/>
  <c r="AQ155" i="1" s="1"/>
  <c r="X155" i="1" s="1"/>
  <c r="AN156" i="1"/>
  <c r="V156" i="1" s="1"/>
  <c r="AI156" i="1"/>
  <c r="N166" i="1"/>
  <c r="M166" i="1"/>
  <c r="T166" i="1" s="1"/>
  <c r="R165" i="1"/>
  <c r="P165" i="1"/>
  <c r="AS158" i="1"/>
  <c r="AT158" i="1"/>
  <c r="AP158" i="1" s="1"/>
  <c r="S166" i="1"/>
  <c r="O166" i="1"/>
  <c r="Q166" i="1"/>
  <c r="AJ156" i="1" l="1"/>
  <c r="AL156" i="1" s="1"/>
  <c r="W156" i="1" s="1"/>
  <c r="U156" i="1"/>
  <c r="AV166" i="1"/>
  <c r="AH158" i="1"/>
  <c r="AK158" i="1"/>
  <c r="AG158" i="1"/>
  <c r="AX166" i="1"/>
  <c r="AW166" i="1"/>
  <c r="AU166" i="1"/>
  <c r="AO156" i="1"/>
  <c r="AQ156" i="1" s="1"/>
  <c r="X156" i="1" s="1"/>
  <c r="AN157" i="1"/>
  <c r="V157" i="1" s="1"/>
  <c r="AI157" i="1"/>
  <c r="N167" i="1"/>
  <c r="M167" i="1"/>
  <c r="T167" i="1" s="1"/>
  <c r="R166" i="1"/>
  <c r="P166" i="1"/>
  <c r="AS159" i="1"/>
  <c r="AT159" i="1"/>
  <c r="AP159" i="1" s="1"/>
  <c r="O167" i="1"/>
  <c r="S167" i="1"/>
  <c r="Q167" i="1"/>
  <c r="AJ157" i="1" l="1"/>
  <c r="AL157" i="1" s="1"/>
  <c r="W157" i="1" s="1"/>
  <c r="U157" i="1"/>
  <c r="AV167" i="1"/>
  <c r="AH159" i="1"/>
  <c r="AK159" i="1"/>
  <c r="AG159" i="1"/>
  <c r="AX167" i="1"/>
  <c r="AW167" i="1"/>
  <c r="AU167" i="1"/>
  <c r="AO157" i="1"/>
  <c r="AQ157" i="1" s="1"/>
  <c r="X157" i="1" s="1"/>
  <c r="AI158" i="1"/>
  <c r="AN158" i="1"/>
  <c r="V158" i="1" s="1"/>
  <c r="N168" i="1"/>
  <c r="M168" i="1"/>
  <c r="T168" i="1" s="1"/>
  <c r="R167" i="1"/>
  <c r="P167" i="1"/>
  <c r="AS160" i="1"/>
  <c r="AT160" i="1"/>
  <c r="AP160" i="1" s="1"/>
  <c r="S168" i="1"/>
  <c r="O168" i="1"/>
  <c r="Q168" i="1"/>
  <c r="AJ158" i="1" l="1"/>
  <c r="AL158" i="1" s="1"/>
  <c r="W158" i="1" s="1"/>
  <c r="U158" i="1"/>
  <c r="AV168" i="1"/>
  <c r="AH160" i="1"/>
  <c r="AK160" i="1"/>
  <c r="AG160" i="1"/>
  <c r="AX168" i="1"/>
  <c r="AW168" i="1"/>
  <c r="AU168" i="1"/>
  <c r="AO158" i="1"/>
  <c r="AQ158" i="1" s="1"/>
  <c r="X158" i="1" s="1"/>
  <c r="AN159" i="1"/>
  <c r="V159" i="1" s="1"/>
  <c r="AI159" i="1"/>
  <c r="N169" i="1"/>
  <c r="M169" i="1"/>
  <c r="T169" i="1" s="1"/>
  <c r="R168" i="1"/>
  <c r="P168" i="1"/>
  <c r="AS161" i="1"/>
  <c r="AT161" i="1"/>
  <c r="AP161" i="1" s="1"/>
  <c r="O169" i="1"/>
  <c r="Q169" i="1"/>
  <c r="S169" i="1"/>
  <c r="AJ159" i="1" l="1"/>
  <c r="AL159" i="1" s="1"/>
  <c r="W159" i="1" s="1"/>
  <c r="U159" i="1"/>
  <c r="AV169" i="1"/>
  <c r="AH161" i="1"/>
  <c r="AK161" i="1"/>
  <c r="AG161" i="1"/>
  <c r="AX169" i="1"/>
  <c r="AU169" i="1"/>
  <c r="AW169" i="1"/>
  <c r="AO159" i="1"/>
  <c r="AQ159" i="1" s="1"/>
  <c r="X159" i="1" s="1"/>
  <c r="AI160" i="1"/>
  <c r="AN160" i="1"/>
  <c r="V160" i="1" s="1"/>
  <c r="N170" i="1"/>
  <c r="M170" i="1"/>
  <c r="T170" i="1" s="1"/>
  <c r="P169" i="1"/>
  <c r="R169" i="1"/>
  <c r="AS162" i="1"/>
  <c r="AT162" i="1"/>
  <c r="AP162" i="1" s="1"/>
  <c r="Q170" i="1"/>
  <c r="O170" i="1"/>
  <c r="S170" i="1"/>
  <c r="AJ160" i="1" l="1"/>
  <c r="AL160" i="1" s="1"/>
  <c r="W160" i="1" s="1"/>
  <c r="U160" i="1"/>
  <c r="AV170" i="1"/>
  <c r="AH162" i="1"/>
  <c r="AK162" i="1"/>
  <c r="AG162" i="1"/>
  <c r="AX170" i="1"/>
  <c r="AU170" i="1"/>
  <c r="AW170" i="1"/>
  <c r="AO160" i="1"/>
  <c r="AQ160" i="1" s="1"/>
  <c r="X160" i="1" s="1"/>
  <c r="AN161" i="1"/>
  <c r="V161" i="1" s="1"/>
  <c r="AI161" i="1"/>
  <c r="N171" i="1"/>
  <c r="M171" i="1"/>
  <c r="T171" i="1" s="1"/>
  <c r="R170" i="1"/>
  <c r="P170" i="1"/>
  <c r="AS163" i="1"/>
  <c r="AT163" i="1"/>
  <c r="AP163" i="1" s="1"/>
  <c r="O171" i="1"/>
  <c r="S171" i="1"/>
  <c r="Q171" i="1"/>
  <c r="AJ161" i="1" l="1"/>
  <c r="AL161" i="1" s="1"/>
  <c r="W161" i="1" s="1"/>
  <c r="U161" i="1"/>
  <c r="AV171" i="1"/>
  <c r="AH163" i="1"/>
  <c r="AK163" i="1"/>
  <c r="AG163" i="1"/>
  <c r="AX171" i="1"/>
  <c r="AU171" i="1"/>
  <c r="AW171" i="1"/>
  <c r="AO161" i="1"/>
  <c r="AQ161" i="1" s="1"/>
  <c r="X161" i="1" s="1"/>
  <c r="AI162" i="1"/>
  <c r="AN162" i="1"/>
  <c r="V162" i="1" s="1"/>
  <c r="N172" i="1"/>
  <c r="M172" i="1"/>
  <c r="T172" i="1" s="1"/>
  <c r="R171" i="1"/>
  <c r="P171" i="1"/>
  <c r="AS164" i="1"/>
  <c r="AT164" i="1"/>
  <c r="AP164" i="1" s="1"/>
  <c r="O172" i="1"/>
  <c r="Q172" i="1"/>
  <c r="S172" i="1"/>
  <c r="AJ162" i="1" l="1"/>
  <c r="AL162" i="1" s="1"/>
  <c r="W162" i="1" s="1"/>
  <c r="U162" i="1"/>
  <c r="AV172" i="1"/>
  <c r="AH164" i="1"/>
  <c r="AK164" i="1"/>
  <c r="AG164" i="1"/>
  <c r="AX172" i="1"/>
  <c r="AW172" i="1"/>
  <c r="AU172" i="1"/>
  <c r="AO162" i="1"/>
  <c r="AQ162" i="1" s="1"/>
  <c r="X162" i="1" s="1"/>
  <c r="AN163" i="1"/>
  <c r="V163" i="1" s="1"/>
  <c r="AI163" i="1"/>
  <c r="N173" i="1"/>
  <c r="M173" i="1"/>
  <c r="T173" i="1" s="1"/>
  <c r="R172" i="1"/>
  <c r="P172" i="1"/>
  <c r="AS165" i="1"/>
  <c r="AT165" i="1"/>
  <c r="AP165" i="1" s="1"/>
  <c r="O173" i="1"/>
  <c r="S173" i="1"/>
  <c r="Q173" i="1"/>
  <c r="AJ163" i="1" l="1"/>
  <c r="AL163" i="1" s="1"/>
  <c r="W163" i="1" s="1"/>
  <c r="U163" i="1"/>
  <c r="AV173" i="1"/>
  <c r="AH165" i="1"/>
  <c r="AK165" i="1"/>
  <c r="AG165" i="1"/>
  <c r="AX173" i="1"/>
  <c r="AW173" i="1"/>
  <c r="AU173" i="1"/>
  <c r="AO163" i="1"/>
  <c r="AQ163" i="1" s="1"/>
  <c r="X163" i="1" s="1"/>
  <c r="AI164" i="1"/>
  <c r="AN164" i="1"/>
  <c r="V164" i="1" s="1"/>
  <c r="N174" i="1"/>
  <c r="M174" i="1"/>
  <c r="T174" i="1" s="1"/>
  <c r="P173" i="1"/>
  <c r="R173" i="1"/>
  <c r="AS166" i="1"/>
  <c r="AT166" i="1"/>
  <c r="AP166" i="1" s="1"/>
  <c r="Q174" i="1"/>
  <c r="O174" i="1"/>
  <c r="S174" i="1"/>
  <c r="AJ164" i="1" l="1"/>
  <c r="AL164" i="1" s="1"/>
  <c r="W164" i="1" s="1"/>
  <c r="U164" i="1"/>
  <c r="AV174" i="1"/>
  <c r="AH166" i="1"/>
  <c r="AK166" i="1"/>
  <c r="AG166" i="1"/>
  <c r="AX174" i="1"/>
  <c r="AU174" i="1"/>
  <c r="AW174" i="1"/>
  <c r="AO164" i="1"/>
  <c r="AQ164" i="1" s="1"/>
  <c r="X164" i="1" s="1"/>
  <c r="AN165" i="1"/>
  <c r="V165" i="1" s="1"/>
  <c r="AI165" i="1"/>
  <c r="N175" i="1"/>
  <c r="M175" i="1"/>
  <c r="T175" i="1" s="1"/>
  <c r="P174" i="1"/>
  <c r="R174" i="1"/>
  <c r="AS167" i="1"/>
  <c r="AT167" i="1"/>
  <c r="AP167" i="1" s="1"/>
  <c r="Q175" i="1"/>
  <c r="S175" i="1"/>
  <c r="O175" i="1"/>
  <c r="AJ165" i="1" l="1"/>
  <c r="AL165" i="1" s="1"/>
  <c r="W165" i="1" s="1"/>
  <c r="U165" i="1"/>
  <c r="AV175" i="1"/>
  <c r="AH167" i="1"/>
  <c r="AK167" i="1"/>
  <c r="AG167" i="1"/>
  <c r="AX175" i="1"/>
  <c r="AU175" i="1"/>
  <c r="AW175" i="1"/>
  <c r="AO165" i="1"/>
  <c r="AQ165" i="1" s="1"/>
  <c r="X165" i="1" s="1"/>
  <c r="AI166" i="1"/>
  <c r="AN166" i="1"/>
  <c r="V166" i="1" s="1"/>
  <c r="N176" i="1"/>
  <c r="M176" i="1"/>
  <c r="T176" i="1" s="1"/>
  <c r="R175" i="1"/>
  <c r="P175" i="1"/>
  <c r="AS168" i="1"/>
  <c r="AT168" i="1"/>
  <c r="AP168" i="1" s="1"/>
  <c r="S176" i="1"/>
  <c r="Q176" i="1"/>
  <c r="O176" i="1"/>
  <c r="AJ166" i="1" l="1"/>
  <c r="AL166" i="1" s="1"/>
  <c r="W166" i="1" s="1"/>
  <c r="U166" i="1"/>
  <c r="AV176" i="1"/>
  <c r="AH168" i="1"/>
  <c r="AK168" i="1"/>
  <c r="AG168" i="1"/>
  <c r="AX176" i="1"/>
  <c r="AU176" i="1"/>
  <c r="AW176" i="1"/>
  <c r="AO166" i="1"/>
  <c r="AQ166" i="1" s="1"/>
  <c r="X166" i="1" s="1"/>
  <c r="AN167" i="1"/>
  <c r="V167" i="1" s="1"/>
  <c r="AI167" i="1"/>
  <c r="N177" i="1"/>
  <c r="M177" i="1"/>
  <c r="T177" i="1" s="1"/>
  <c r="R176" i="1"/>
  <c r="P176" i="1"/>
  <c r="AS169" i="1"/>
  <c r="AT169" i="1"/>
  <c r="AP169" i="1" s="1"/>
  <c r="Q177" i="1"/>
  <c r="S177" i="1"/>
  <c r="O177" i="1"/>
  <c r="AJ167" i="1" l="1"/>
  <c r="AL167" i="1" s="1"/>
  <c r="W167" i="1" s="1"/>
  <c r="U167" i="1"/>
  <c r="AV177" i="1"/>
  <c r="AH169" i="1"/>
  <c r="AK169" i="1"/>
  <c r="AG169" i="1"/>
  <c r="AX177" i="1"/>
  <c r="AW177" i="1"/>
  <c r="AU177" i="1"/>
  <c r="AO167" i="1"/>
  <c r="AQ167" i="1" s="1"/>
  <c r="X167" i="1" s="1"/>
  <c r="AI168" i="1"/>
  <c r="AN168" i="1"/>
  <c r="V168" i="1" s="1"/>
  <c r="N178" i="1"/>
  <c r="M178" i="1"/>
  <c r="T178" i="1" s="1"/>
  <c r="P177" i="1"/>
  <c r="R177" i="1"/>
  <c r="AS170" i="1"/>
  <c r="AT170" i="1"/>
  <c r="AP170" i="1" s="1"/>
  <c r="O178" i="1"/>
  <c r="S178" i="1"/>
  <c r="Q178" i="1"/>
  <c r="AJ168" i="1" l="1"/>
  <c r="AL168" i="1" s="1"/>
  <c r="W168" i="1" s="1"/>
  <c r="U168" i="1"/>
  <c r="AV178" i="1"/>
  <c r="AH170" i="1"/>
  <c r="AK170" i="1"/>
  <c r="AG170" i="1"/>
  <c r="AX178" i="1"/>
  <c r="AW178" i="1"/>
  <c r="AU178" i="1"/>
  <c r="AO168" i="1"/>
  <c r="AQ168" i="1" s="1"/>
  <c r="X168" i="1" s="1"/>
  <c r="AN169" i="1"/>
  <c r="V169" i="1" s="1"/>
  <c r="AI169" i="1"/>
  <c r="N179" i="1"/>
  <c r="M179" i="1"/>
  <c r="T179" i="1" s="1"/>
  <c r="P178" i="1"/>
  <c r="R178" i="1"/>
  <c r="AS171" i="1"/>
  <c r="AT171" i="1"/>
  <c r="AP171" i="1" s="1"/>
  <c r="Q179" i="1"/>
  <c r="O179" i="1"/>
  <c r="S179" i="1"/>
  <c r="AJ169" i="1" l="1"/>
  <c r="AL169" i="1" s="1"/>
  <c r="W169" i="1" s="1"/>
  <c r="U169" i="1"/>
  <c r="AV179" i="1"/>
  <c r="AH171" i="1"/>
  <c r="AK171" i="1"/>
  <c r="AG171" i="1"/>
  <c r="AX179" i="1"/>
  <c r="AW179" i="1"/>
  <c r="AU179" i="1"/>
  <c r="AO169" i="1"/>
  <c r="AQ169" i="1" s="1"/>
  <c r="X169" i="1" s="1"/>
  <c r="AI170" i="1"/>
  <c r="AN170" i="1"/>
  <c r="V170" i="1" s="1"/>
  <c r="N180" i="1"/>
  <c r="M180" i="1"/>
  <c r="T180" i="1" s="1"/>
  <c r="R179" i="1"/>
  <c r="P179" i="1"/>
  <c r="AS172" i="1"/>
  <c r="AT172" i="1"/>
  <c r="AP172" i="1" s="1"/>
  <c r="Q180" i="1"/>
  <c r="O180" i="1"/>
  <c r="S180" i="1"/>
  <c r="AJ170" i="1" l="1"/>
  <c r="AL170" i="1" s="1"/>
  <c r="W170" i="1" s="1"/>
  <c r="U170" i="1"/>
  <c r="AV180" i="1"/>
  <c r="AH172" i="1"/>
  <c r="AK172" i="1"/>
  <c r="AG172" i="1"/>
  <c r="AX180" i="1"/>
  <c r="AU180" i="1"/>
  <c r="AW180" i="1"/>
  <c r="AO170" i="1"/>
  <c r="AQ170" i="1" s="1"/>
  <c r="X170" i="1" s="1"/>
  <c r="AN171" i="1"/>
  <c r="V171" i="1" s="1"/>
  <c r="AI171" i="1"/>
  <c r="N181" i="1"/>
  <c r="M181" i="1"/>
  <c r="T181" i="1" s="1"/>
  <c r="R180" i="1"/>
  <c r="P180" i="1"/>
  <c r="AS173" i="1"/>
  <c r="AT173" i="1"/>
  <c r="AP173" i="1" s="1"/>
  <c r="S181" i="1"/>
  <c r="Q181" i="1"/>
  <c r="O181" i="1"/>
  <c r="AJ171" i="1" l="1"/>
  <c r="AL171" i="1" s="1"/>
  <c r="W171" i="1" s="1"/>
  <c r="U171" i="1"/>
  <c r="AV181" i="1"/>
  <c r="AH173" i="1"/>
  <c r="AK173" i="1"/>
  <c r="AG173" i="1"/>
  <c r="AX181" i="1"/>
  <c r="AW181" i="1"/>
  <c r="AU181" i="1"/>
  <c r="AO171" i="1"/>
  <c r="AQ171" i="1" s="1"/>
  <c r="X171" i="1" s="1"/>
  <c r="AN172" i="1"/>
  <c r="V172" i="1" s="1"/>
  <c r="AI172" i="1"/>
  <c r="N182" i="1"/>
  <c r="M182" i="1"/>
  <c r="T182" i="1" s="1"/>
  <c r="R181" i="1"/>
  <c r="P181" i="1"/>
  <c r="AS174" i="1"/>
  <c r="AT174" i="1"/>
  <c r="AP174" i="1" s="1"/>
  <c r="O182" i="1"/>
  <c r="S182" i="1"/>
  <c r="Q182" i="1"/>
  <c r="AJ172" i="1" l="1"/>
  <c r="AL172" i="1" s="1"/>
  <c r="W172" i="1" s="1"/>
  <c r="U172" i="1"/>
  <c r="AV182" i="1"/>
  <c r="AH174" i="1"/>
  <c r="AK174" i="1"/>
  <c r="AG174" i="1"/>
  <c r="AX182" i="1"/>
  <c r="AU182" i="1"/>
  <c r="AW182" i="1"/>
  <c r="AO172" i="1"/>
  <c r="AQ172" i="1" s="1"/>
  <c r="X172" i="1" s="1"/>
  <c r="AN173" i="1"/>
  <c r="V173" i="1" s="1"/>
  <c r="AI173" i="1"/>
  <c r="N183" i="1"/>
  <c r="M183" i="1"/>
  <c r="T183" i="1" s="1"/>
  <c r="R182" i="1"/>
  <c r="P182" i="1"/>
  <c r="AS175" i="1"/>
  <c r="AT175" i="1"/>
  <c r="AP175" i="1" s="1"/>
  <c r="Q183" i="1"/>
  <c r="S183" i="1"/>
  <c r="O183" i="1"/>
  <c r="AJ173" i="1" l="1"/>
  <c r="AL173" i="1" s="1"/>
  <c r="W173" i="1" s="1"/>
  <c r="U173" i="1"/>
  <c r="AV183" i="1"/>
  <c r="AH175" i="1"/>
  <c r="AK175" i="1"/>
  <c r="AG175" i="1"/>
  <c r="AX183" i="1"/>
  <c r="AW183" i="1"/>
  <c r="AU183" i="1"/>
  <c r="AO173" i="1"/>
  <c r="AQ173" i="1" s="1"/>
  <c r="X173" i="1" s="1"/>
  <c r="AI174" i="1"/>
  <c r="AN174" i="1"/>
  <c r="V174" i="1" s="1"/>
  <c r="N184" i="1"/>
  <c r="M184" i="1"/>
  <c r="T184" i="1" s="1"/>
  <c r="P183" i="1"/>
  <c r="R183" i="1"/>
  <c r="AS176" i="1"/>
  <c r="AT176" i="1"/>
  <c r="AP176" i="1" s="1"/>
  <c r="O184" i="1"/>
  <c r="Q184" i="1"/>
  <c r="S184" i="1"/>
  <c r="AJ174" i="1" l="1"/>
  <c r="AL174" i="1" s="1"/>
  <c r="W174" i="1" s="1"/>
  <c r="U174" i="1"/>
  <c r="AV184" i="1"/>
  <c r="AH176" i="1"/>
  <c r="AK176" i="1"/>
  <c r="AG176" i="1"/>
  <c r="AX184" i="1"/>
  <c r="AU184" i="1"/>
  <c r="AW184" i="1"/>
  <c r="AO174" i="1"/>
  <c r="AQ174" i="1" s="1"/>
  <c r="X174" i="1" s="1"/>
  <c r="AN175" i="1"/>
  <c r="V175" i="1" s="1"/>
  <c r="AI175" i="1"/>
  <c r="N185" i="1"/>
  <c r="M185" i="1"/>
  <c r="T185" i="1" s="1"/>
  <c r="R184" i="1"/>
  <c r="P184" i="1"/>
  <c r="AS177" i="1"/>
  <c r="AT177" i="1"/>
  <c r="AP177" i="1" s="1"/>
  <c r="O185" i="1"/>
  <c r="Q185" i="1"/>
  <c r="S185" i="1"/>
  <c r="AJ175" i="1" l="1"/>
  <c r="AL175" i="1" s="1"/>
  <c r="W175" i="1" s="1"/>
  <c r="U175" i="1"/>
  <c r="AV185" i="1"/>
  <c r="AH177" i="1"/>
  <c r="AK177" i="1"/>
  <c r="AG177" i="1"/>
  <c r="AX185" i="1"/>
  <c r="AU185" i="1"/>
  <c r="AW185" i="1"/>
  <c r="AO175" i="1"/>
  <c r="AQ175" i="1" s="1"/>
  <c r="X175" i="1" s="1"/>
  <c r="AI176" i="1"/>
  <c r="AN176" i="1"/>
  <c r="V176" i="1" s="1"/>
  <c r="N186" i="1"/>
  <c r="M186" i="1"/>
  <c r="T186" i="1" s="1"/>
  <c r="P185" i="1"/>
  <c r="R185" i="1"/>
  <c r="AS178" i="1"/>
  <c r="AT178" i="1"/>
  <c r="AP178" i="1" s="1"/>
  <c r="Q186" i="1"/>
  <c r="S186" i="1"/>
  <c r="O186" i="1"/>
  <c r="AJ176" i="1" l="1"/>
  <c r="AL176" i="1" s="1"/>
  <c r="W176" i="1" s="1"/>
  <c r="U176" i="1"/>
  <c r="AV186" i="1"/>
  <c r="AH178" i="1"/>
  <c r="AK178" i="1"/>
  <c r="AG178" i="1"/>
  <c r="AX186" i="1"/>
  <c r="AW186" i="1"/>
  <c r="AU186" i="1"/>
  <c r="AO176" i="1"/>
  <c r="AQ176" i="1" s="1"/>
  <c r="X176" i="1" s="1"/>
  <c r="AN177" i="1"/>
  <c r="V177" i="1" s="1"/>
  <c r="AI177" i="1"/>
  <c r="N187" i="1"/>
  <c r="M187" i="1"/>
  <c r="T187" i="1" s="1"/>
  <c r="R186" i="1"/>
  <c r="P186" i="1"/>
  <c r="AS179" i="1"/>
  <c r="AT179" i="1"/>
  <c r="AP179" i="1" s="1"/>
  <c r="O187" i="1"/>
  <c r="S187" i="1"/>
  <c r="Q187" i="1"/>
  <c r="AJ177" i="1" l="1"/>
  <c r="AL177" i="1" s="1"/>
  <c r="W177" i="1" s="1"/>
  <c r="U177" i="1"/>
  <c r="AV187" i="1"/>
  <c r="AH179" i="1"/>
  <c r="AK179" i="1"/>
  <c r="AG179" i="1"/>
  <c r="AX187" i="1"/>
  <c r="AW187" i="1"/>
  <c r="AU187" i="1"/>
  <c r="AO177" i="1"/>
  <c r="AQ177" i="1" s="1"/>
  <c r="X177" i="1" s="1"/>
  <c r="AI178" i="1"/>
  <c r="AN178" i="1"/>
  <c r="V178" i="1" s="1"/>
  <c r="N188" i="1"/>
  <c r="M188" i="1"/>
  <c r="T188" i="1" s="1"/>
  <c r="R187" i="1"/>
  <c r="P187" i="1"/>
  <c r="AS180" i="1"/>
  <c r="AT180" i="1"/>
  <c r="AP180" i="1" s="1"/>
  <c r="S188" i="1"/>
  <c r="Q188" i="1"/>
  <c r="O188" i="1"/>
  <c r="AJ178" i="1" l="1"/>
  <c r="AL178" i="1" s="1"/>
  <c r="W178" i="1" s="1"/>
  <c r="U178" i="1"/>
  <c r="AV188" i="1"/>
  <c r="AH180" i="1"/>
  <c r="AK180" i="1"/>
  <c r="AG180" i="1"/>
  <c r="AX188" i="1"/>
  <c r="AU188" i="1"/>
  <c r="AW188" i="1"/>
  <c r="AO178" i="1"/>
  <c r="AQ178" i="1" s="1"/>
  <c r="X178" i="1" s="1"/>
  <c r="AN179" i="1"/>
  <c r="V179" i="1" s="1"/>
  <c r="AI179" i="1"/>
  <c r="N189" i="1"/>
  <c r="M189" i="1"/>
  <c r="T189" i="1" s="1"/>
  <c r="R188" i="1"/>
  <c r="P188" i="1"/>
  <c r="AS181" i="1"/>
  <c r="AT181" i="1"/>
  <c r="AP181" i="1" s="1"/>
  <c r="S189" i="1"/>
  <c r="O189" i="1"/>
  <c r="Q189" i="1"/>
  <c r="AJ179" i="1" l="1"/>
  <c r="AL179" i="1" s="1"/>
  <c r="W179" i="1" s="1"/>
  <c r="U179" i="1"/>
  <c r="AV189" i="1"/>
  <c r="AH181" i="1"/>
  <c r="AK181" i="1"/>
  <c r="AG181" i="1"/>
  <c r="AX189" i="1"/>
  <c r="AW189" i="1"/>
  <c r="AU189" i="1"/>
  <c r="AO179" i="1"/>
  <c r="AQ179" i="1" s="1"/>
  <c r="X179" i="1" s="1"/>
  <c r="AI180" i="1"/>
  <c r="AN180" i="1"/>
  <c r="V180" i="1" s="1"/>
  <c r="N190" i="1"/>
  <c r="M190" i="1"/>
  <c r="T190" i="1" s="1"/>
  <c r="P189" i="1"/>
  <c r="R189" i="1"/>
  <c r="AS182" i="1"/>
  <c r="AT182" i="1"/>
  <c r="AP182" i="1" s="1"/>
  <c r="Q190" i="1"/>
  <c r="O190" i="1"/>
  <c r="S190" i="1"/>
  <c r="AJ180" i="1" l="1"/>
  <c r="AL180" i="1" s="1"/>
  <c r="W180" i="1" s="1"/>
  <c r="U180" i="1"/>
  <c r="AV190" i="1"/>
  <c r="AH182" i="1"/>
  <c r="AK182" i="1"/>
  <c r="AG182" i="1"/>
  <c r="AX190" i="1"/>
  <c r="AW190" i="1"/>
  <c r="AU190" i="1"/>
  <c r="AO180" i="1"/>
  <c r="AQ180" i="1" s="1"/>
  <c r="X180" i="1" s="1"/>
  <c r="AN181" i="1"/>
  <c r="V181" i="1" s="1"/>
  <c r="AI181" i="1"/>
  <c r="N191" i="1"/>
  <c r="M191" i="1"/>
  <c r="T191" i="1" s="1"/>
  <c r="P190" i="1"/>
  <c r="R190" i="1"/>
  <c r="AS183" i="1"/>
  <c r="AT183" i="1"/>
  <c r="AP183" i="1" s="1"/>
  <c r="S191" i="1"/>
  <c r="O191" i="1"/>
  <c r="Q191" i="1"/>
  <c r="AJ181" i="1" l="1"/>
  <c r="AL181" i="1" s="1"/>
  <c r="W181" i="1" s="1"/>
  <c r="U181" i="1"/>
  <c r="AV191" i="1"/>
  <c r="AH183" i="1"/>
  <c r="AK183" i="1"/>
  <c r="AG183" i="1"/>
  <c r="AX191" i="1"/>
  <c r="AU191" i="1"/>
  <c r="AW191" i="1"/>
  <c r="AO181" i="1"/>
  <c r="AQ181" i="1" s="1"/>
  <c r="X181" i="1" s="1"/>
  <c r="AI182" i="1"/>
  <c r="AN182" i="1"/>
  <c r="V182" i="1" s="1"/>
  <c r="N192" i="1"/>
  <c r="M192" i="1"/>
  <c r="T192" i="1" s="1"/>
  <c r="R191" i="1"/>
  <c r="P191" i="1"/>
  <c r="AS184" i="1"/>
  <c r="AT184" i="1"/>
  <c r="AP184" i="1" s="1"/>
  <c r="O192" i="1"/>
  <c r="Q192" i="1"/>
  <c r="S192" i="1"/>
  <c r="AJ182" i="1" l="1"/>
  <c r="AL182" i="1" s="1"/>
  <c r="W182" i="1" s="1"/>
  <c r="U182" i="1"/>
  <c r="AV192" i="1"/>
  <c r="AH184" i="1"/>
  <c r="AK184" i="1"/>
  <c r="AG184" i="1"/>
  <c r="AX192" i="1"/>
  <c r="AU192" i="1"/>
  <c r="AW192" i="1"/>
  <c r="AO182" i="1"/>
  <c r="AQ182" i="1" s="1"/>
  <c r="X182" i="1" s="1"/>
  <c r="AN183" i="1"/>
  <c r="V183" i="1" s="1"/>
  <c r="AI183" i="1"/>
  <c r="N193" i="1"/>
  <c r="M193" i="1"/>
  <c r="T193" i="1" s="1"/>
  <c r="R192" i="1"/>
  <c r="P192" i="1"/>
  <c r="AS185" i="1"/>
  <c r="AT185" i="1"/>
  <c r="AP185" i="1" s="1"/>
  <c r="S193" i="1"/>
  <c r="O193" i="1"/>
  <c r="Q193" i="1"/>
  <c r="AJ183" i="1" l="1"/>
  <c r="AL183" i="1" s="1"/>
  <c r="W183" i="1" s="1"/>
  <c r="U183" i="1"/>
  <c r="AV193" i="1"/>
  <c r="AH185" i="1"/>
  <c r="AK185" i="1"/>
  <c r="AG185" i="1"/>
  <c r="AX193" i="1"/>
  <c r="AW193" i="1"/>
  <c r="AU193" i="1"/>
  <c r="AO183" i="1"/>
  <c r="AQ183" i="1" s="1"/>
  <c r="X183" i="1" s="1"/>
  <c r="AI184" i="1"/>
  <c r="AN184" i="1"/>
  <c r="V184" i="1" s="1"/>
  <c r="N194" i="1"/>
  <c r="M194" i="1"/>
  <c r="T194" i="1" s="1"/>
  <c r="P193" i="1"/>
  <c r="R193" i="1"/>
  <c r="AS186" i="1"/>
  <c r="AT186" i="1"/>
  <c r="AP186" i="1" s="1"/>
  <c r="O194" i="1"/>
  <c r="Q194" i="1"/>
  <c r="S194" i="1"/>
  <c r="AJ184" i="1" l="1"/>
  <c r="AL184" i="1" s="1"/>
  <c r="W184" i="1" s="1"/>
  <c r="U184" i="1"/>
  <c r="AV194" i="1"/>
  <c r="AH186" i="1"/>
  <c r="AK186" i="1"/>
  <c r="AG186" i="1"/>
  <c r="AX194" i="1"/>
  <c r="AU194" i="1"/>
  <c r="AW194" i="1"/>
  <c r="AO184" i="1"/>
  <c r="AQ184" i="1" s="1"/>
  <c r="X184" i="1" s="1"/>
  <c r="AN185" i="1"/>
  <c r="V185" i="1" s="1"/>
  <c r="AI185" i="1"/>
  <c r="N195" i="1"/>
  <c r="M195" i="1"/>
  <c r="T195" i="1" s="1"/>
  <c r="P194" i="1"/>
  <c r="R194" i="1"/>
  <c r="AS187" i="1"/>
  <c r="AT187" i="1"/>
  <c r="AP187" i="1" s="1"/>
  <c r="O195" i="1"/>
  <c r="S195" i="1"/>
  <c r="Q195" i="1"/>
  <c r="AJ185" i="1" l="1"/>
  <c r="AL185" i="1" s="1"/>
  <c r="W185" i="1" s="1"/>
  <c r="U185" i="1"/>
  <c r="AV195" i="1"/>
  <c r="AH187" i="1"/>
  <c r="AK187" i="1"/>
  <c r="AG187" i="1"/>
  <c r="AX195" i="1"/>
  <c r="AU195" i="1"/>
  <c r="AW195" i="1"/>
  <c r="AO185" i="1"/>
  <c r="AQ185" i="1" s="1"/>
  <c r="X185" i="1" s="1"/>
  <c r="AI186" i="1"/>
  <c r="AN186" i="1"/>
  <c r="V186" i="1" s="1"/>
  <c r="N196" i="1"/>
  <c r="M196" i="1"/>
  <c r="T196" i="1" s="1"/>
  <c r="R195" i="1"/>
  <c r="P195" i="1"/>
  <c r="AS188" i="1"/>
  <c r="AT188" i="1"/>
  <c r="AP188" i="1" s="1"/>
  <c r="Q196" i="1"/>
  <c r="O196" i="1"/>
  <c r="S196" i="1"/>
  <c r="AJ186" i="1" l="1"/>
  <c r="AL186" i="1" s="1"/>
  <c r="W186" i="1" s="1"/>
  <c r="U186" i="1"/>
  <c r="AV196" i="1"/>
  <c r="AH188" i="1"/>
  <c r="AK188" i="1"/>
  <c r="AG188" i="1"/>
  <c r="AX196" i="1"/>
  <c r="AW196" i="1"/>
  <c r="AU196" i="1"/>
  <c r="AO186" i="1"/>
  <c r="AQ186" i="1" s="1"/>
  <c r="X186" i="1" s="1"/>
  <c r="AN187" i="1"/>
  <c r="V187" i="1" s="1"/>
  <c r="AI187" i="1"/>
  <c r="N197" i="1"/>
  <c r="M197" i="1"/>
  <c r="T197" i="1" s="1"/>
  <c r="R196" i="1"/>
  <c r="P196" i="1"/>
  <c r="AS189" i="1"/>
  <c r="AT189" i="1"/>
  <c r="AP189" i="1" s="1"/>
  <c r="O197" i="1"/>
  <c r="Q197" i="1"/>
  <c r="S197" i="1"/>
  <c r="AJ187" i="1" l="1"/>
  <c r="AL187" i="1" s="1"/>
  <c r="W187" i="1" s="1"/>
  <c r="U187" i="1"/>
  <c r="AV197" i="1"/>
  <c r="AH189" i="1"/>
  <c r="AK189" i="1"/>
  <c r="AG189" i="1"/>
  <c r="AX197" i="1"/>
  <c r="AU197" i="1"/>
  <c r="AW197" i="1"/>
  <c r="AO187" i="1"/>
  <c r="AQ187" i="1" s="1"/>
  <c r="X187" i="1" s="1"/>
  <c r="AI188" i="1"/>
  <c r="AN188" i="1"/>
  <c r="V188" i="1" s="1"/>
  <c r="N198" i="1"/>
  <c r="M198" i="1"/>
  <c r="T198" i="1" s="1"/>
  <c r="R197" i="1"/>
  <c r="P197" i="1"/>
  <c r="AS190" i="1"/>
  <c r="AT190" i="1"/>
  <c r="AP190" i="1" s="1"/>
  <c r="Q198" i="1"/>
  <c r="O198" i="1"/>
  <c r="S198" i="1"/>
  <c r="AJ188" i="1" l="1"/>
  <c r="AL188" i="1" s="1"/>
  <c r="W188" i="1" s="1"/>
  <c r="U188" i="1"/>
  <c r="AV198" i="1"/>
  <c r="AH190" i="1"/>
  <c r="AK190" i="1"/>
  <c r="AG190" i="1"/>
  <c r="AX198" i="1"/>
  <c r="AW198" i="1"/>
  <c r="AU198" i="1"/>
  <c r="AO188" i="1"/>
  <c r="AQ188" i="1" s="1"/>
  <c r="X188" i="1" s="1"/>
  <c r="AN189" i="1"/>
  <c r="V189" i="1" s="1"/>
  <c r="AI189" i="1"/>
  <c r="N199" i="1"/>
  <c r="M199" i="1"/>
  <c r="T199" i="1" s="1"/>
  <c r="R198" i="1"/>
  <c r="P198" i="1"/>
  <c r="AS191" i="1"/>
  <c r="AT191" i="1"/>
  <c r="AP191" i="1" s="1"/>
  <c r="Q199" i="1"/>
  <c r="O199" i="1"/>
  <c r="S199" i="1"/>
  <c r="AJ189" i="1" l="1"/>
  <c r="AL189" i="1" s="1"/>
  <c r="W189" i="1" s="1"/>
  <c r="U189" i="1"/>
  <c r="AV199" i="1"/>
  <c r="AH191" i="1"/>
  <c r="AK191" i="1"/>
  <c r="AG191" i="1"/>
  <c r="AX199" i="1"/>
  <c r="AU199" i="1"/>
  <c r="AW199" i="1"/>
  <c r="AO189" i="1"/>
  <c r="AQ189" i="1" s="1"/>
  <c r="X189" i="1" s="1"/>
  <c r="AI190" i="1"/>
  <c r="AN190" i="1"/>
  <c r="V190" i="1" s="1"/>
  <c r="N200" i="1"/>
  <c r="M200" i="1"/>
  <c r="T200" i="1" s="1"/>
  <c r="R199" i="1"/>
  <c r="P199" i="1"/>
  <c r="AS192" i="1"/>
  <c r="AT192" i="1"/>
  <c r="AP192" i="1" s="1"/>
  <c r="O200" i="1"/>
  <c r="S200" i="1"/>
  <c r="Q200" i="1"/>
  <c r="AJ190" i="1" l="1"/>
  <c r="AL190" i="1" s="1"/>
  <c r="W190" i="1" s="1"/>
  <c r="U190" i="1"/>
  <c r="AV200" i="1"/>
  <c r="AH192" i="1"/>
  <c r="AK192" i="1"/>
  <c r="AG192" i="1"/>
  <c r="AX200" i="1"/>
  <c r="AW200" i="1"/>
  <c r="AU200" i="1"/>
  <c r="AO190" i="1"/>
  <c r="AQ190" i="1" s="1"/>
  <c r="X190" i="1" s="1"/>
  <c r="AN191" i="1"/>
  <c r="V191" i="1" s="1"/>
  <c r="AI191" i="1"/>
  <c r="N201" i="1"/>
  <c r="M201" i="1"/>
  <c r="T201" i="1" s="1"/>
  <c r="R200" i="1"/>
  <c r="P200" i="1"/>
  <c r="AS193" i="1"/>
  <c r="AT193" i="1"/>
  <c r="AP193" i="1" s="1"/>
  <c r="Q201" i="1"/>
  <c r="O201" i="1"/>
  <c r="S201" i="1"/>
  <c r="AJ191" i="1" l="1"/>
  <c r="AL191" i="1" s="1"/>
  <c r="W191" i="1" s="1"/>
  <c r="U191" i="1"/>
  <c r="AV201" i="1"/>
  <c r="AH193" i="1"/>
  <c r="AK193" i="1"/>
  <c r="AG193" i="1"/>
  <c r="AX201" i="1"/>
  <c r="AU201" i="1"/>
  <c r="AW201" i="1"/>
  <c r="AO191" i="1"/>
  <c r="AQ191" i="1" s="1"/>
  <c r="X191" i="1" s="1"/>
  <c r="AI192" i="1"/>
  <c r="AN192" i="1"/>
  <c r="V192" i="1" s="1"/>
  <c r="N202" i="1"/>
  <c r="M202" i="1"/>
  <c r="T202" i="1" s="1"/>
  <c r="P201" i="1"/>
  <c r="R201" i="1"/>
  <c r="AS194" i="1"/>
  <c r="AT194" i="1"/>
  <c r="AP194" i="1" s="1"/>
  <c r="O202" i="1"/>
  <c r="Q202" i="1"/>
  <c r="S202" i="1"/>
  <c r="AJ192" i="1" l="1"/>
  <c r="AL192" i="1" s="1"/>
  <c r="W192" i="1" s="1"/>
  <c r="U192" i="1"/>
  <c r="AV202" i="1"/>
  <c r="AH194" i="1"/>
  <c r="AK194" i="1"/>
  <c r="AG194" i="1"/>
  <c r="AX202" i="1"/>
  <c r="AU202" i="1"/>
  <c r="AW202" i="1"/>
  <c r="AO192" i="1"/>
  <c r="AQ192" i="1" s="1"/>
  <c r="X192" i="1" s="1"/>
  <c r="AN193" i="1"/>
  <c r="V193" i="1" s="1"/>
  <c r="AI193" i="1"/>
  <c r="N203" i="1"/>
  <c r="M203" i="1"/>
  <c r="T203" i="1" s="1"/>
  <c r="R202" i="1"/>
  <c r="P202" i="1"/>
  <c r="AS195" i="1"/>
  <c r="AT195" i="1"/>
  <c r="AP195" i="1" s="1"/>
  <c r="Q203" i="1"/>
  <c r="O203" i="1"/>
  <c r="S203" i="1"/>
  <c r="AJ193" i="1" l="1"/>
  <c r="AL193" i="1" s="1"/>
  <c r="W193" i="1" s="1"/>
  <c r="U193" i="1"/>
  <c r="AV203" i="1"/>
  <c r="AH195" i="1"/>
  <c r="AK195" i="1"/>
  <c r="AG195" i="1"/>
  <c r="AX203" i="1"/>
  <c r="AU203" i="1"/>
  <c r="AW203" i="1"/>
  <c r="AO193" i="1"/>
  <c r="AQ193" i="1" s="1"/>
  <c r="X193" i="1" s="1"/>
  <c r="AI194" i="1"/>
  <c r="AN194" i="1"/>
  <c r="V194" i="1" s="1"/>
  <c r="N204" i="1"/>
  <c r="M204" i="1"/>
  <c r="T204" i="1" s="1"/>
  <c r="R203" i="1"/>
  <c r="P203" i="1"/>
  <c r="AS196" i="1"/>
  <c r="AT196" i="1"/>
  <c r="AP196" i="1" s="1"/>
  <c r="Q204" i="1"/>
  <c r="S204" i="1"/>
  <c r="O204" i="1"/>
  <c r="AJ194" i="1" l="1"/>
  <c r="AL194" i="1" s="1"/>
  <c r="W194" i="1" s="1"/>
  <c r="U194" i="1"/>
  <c r="AV204" i="1"/>
  <c r="AH196" i="1"/>
  <c r="AK196" i="1"/>
  <c r="AG196" i="1"/>
  <c r="AX204" i="1"/>
  <c r="AW204" i="1"/>
  <c r="AU204" i="1"/>
  <c r="AO194" i="1"/>
  <c r="AQ194" i="1" s="1"/>
  <c r="X194" i="1" s="1"/>
  <c r="AN195" i="1"/>
  <c r="V195" i="1" s="1"/>
  <c r="AI195" i="1"/>
  <c r="N205" i="1"/>
  <c r="M205" i="1"/>
  <c r="T205" i="1" s="1"/>
  <c r="R204" i="1"/>
  <c r="P204" i="1"/>
  <c r="AS197" i="1"/>
  <c r="AT197" i="1"/>
  <c r="AP197" i="1" s="1"/>
  <c r="O205" i="1"/>
  <c r="S205" i="1"/>
  <c r="Q205" i="1"/>
  <c r="AJ195" i="1" l="1"/>
  <c r="AL195" i="1" s="1"/>
  <c r="W195" i="1" s="1"/>
  <c r="U195" i="1"/>
  <c r="AV205" i="1"/>
  <c r="AH197" i="1"/>
  <c r="AK197" i="1"/>
  <c r="AG197" i="1"/>
  <c r="AX205" i="1"/>
  <c r="AW205" i="1"/>
  <c r="AU205" i="1"/>
  <c r="AO195" i="1"/>
  <c r="AQ195" i="1" s="1"/>
  <c r="X195" i="1" s="1"/>
  <c r="AI196" i="1"/>
  <c r="AN196" i="1"/>
  <c r="V196" i="1" s="1"/>
  <c r="N206" i="1"/>
  <c r="M206" i="1"/>
  <c r="T206" i="1" s="1"/>
  <c r="P205" i="1"/>
  <c r="R205" i="1"/>
  <c r="AS198" i="1"/>
  <c r="AT198" i="1"/>
  <c r="AP198" i="1" s="1"/>
  <c r="S206" i="1"/>
  <c r="Q206" i="1"/>
  <c r="O206" i="1"/>
  <c r="AJ196" i="1" l="1"/>
  <c r="AL196" i="1" s="1"/>
  <c r="W196" i="1" s="1"/>
  <c r="U196" i="1"/>
  <c r="AV206" i="1"/>
  <c r="AH198" i="1"/>
  <c r="AK198" i="1"/>
  <c r="AG198" i="1"/>
  <c r="AX206" i="1"/>
  <c r="AU206" i="1"/>
  <c r="AW206" i="1"/>
  <c r="AO196" i="1"/>
  <c r="AQ196" i="1" s="1"/>
  <c r="X196" i="1" s="1"/>
  <c r="AN197" i="1"/>
  <c r="V197" i="1" s="1"/>
  <c r="AI197" i="1"/>
  <c r="N207" i="1"/>
  <c r="M207" i="1"/>
  <c r="T207" i="1" s="1"/>
  <c r="P206" i="1"/>
  <c r="R206" i="1"/>
  <c r="AS199" i="1"/>
  <c r="AT199" i="1"/>
  <c r="AP199" i="1" s="1"/>
  <c r="S207" i="1"/>
  <c r="Q207" i="1"/>
  <c r="O207" i="1"/>
  <c r="AJ197" i="1" l="1"/>
  <c r="AL197" i="1" s="1"/>
  <c r="W197" i="1" s="1"/>
  <c r="U197" i="1"/>
  <c r="AV207" i="1"/>
  <c r="AH199" i="1"/>
  <c r="AK199" i="1"/>
  <c r="AG199" i="1"/>
  <c r="AX207" i="1"/>
  <c r="AW207" i="1"/>
  <c r="AU207" i="1"/>
  <c r="AO197" i="1"/>
  <c r="AQ197" i="1" s="1"/>
  <c r="X197" i="1" s="1"/>
  <c r="AI198" i="1"/>
  <c r="AN198" i="1"/>
  <c r="V198" i="1" s="1"/>
  <c r="N208" i="1"/>
  <c r="M208" i="1"/>
  <c r="T208" i="1" s="1"/>
  <c r="R207" i="1"/>
  <c r="P207" i="1"/>
  <c r="AS200" i="1"/>
  <c r="AT200" i="1"/>
  <c r="AP200" i="1" s="1"/>
  <c r="O208" i="1"/>
  <c r="Q208" i="1"/>
  <c r="S208" i="1"/>
  <c r="AJ198" i="1" l="1"/>
  <c r="AL198" i="1" s="1"/>
  <c r="W198" i="1" s="1"/>
  <c r="U198" i="1"/>
  <c r="AV208" i="1"/>
  <c r="AH200" i="1"/>
  <c r="AK200" i="1"/>
  <c r="AG200" i="1"/>
  <c r="AX208" i="1"/>
  <c r="AU208" i="1"/>
  <c r="AW208" i="1"/>
  <c r="AO198" i="1"/>
  <c r="AQ198" i="1" s="1"/>
  <c r="X198" i="1" s="1"/>
  <c r="AN199" i="1"/>
  <c r="V199" i="1" s="1"/>
  <c r="AI199" i="1"/>
  <c r="N209" i="1"/>
  <c r="M209" i="1"/>
  <c r="T209" i="1" s="1"/>
  <c r="R208" i="1"/>
  <c r="P208" i="1"/>
  <c r="AS201" i="1"/>
  <c r="AT201" i="1"/>
  <c r="AP201" i="1" s="1"/>
  <c r="S209" i="1"/>
  <c r="O209" i="1"/>
  <c r="Q209" i="1"/>
  <c r="AJ199" i="1" l="1"/>
  <c r="AL199" i="1" s="1"/>
  <c r="W199" i="1" s="1"/>
  <c r="U199" i="1"/>
  <c r="AV209" i="1"/>
  <c r="AH201" i="1"/>
  <c r="AK201" i="1"/>
  <c r="AG201" i="1"/>
  <c r="AX209" i="1"/>
  <c r="AW209" i="1"/>
  <c r="AU209" i="1"/>
  <c r="AO199" i="1"/>
  <c r="AQ199" i="1" s="1"/>
  <c r="X199" i="1" s="1"/>
  <c r="AI200" i="1"/>
  <c r="AN200" i="1"/>
  <c r="V200" i="1" s="1"/>
  <c r="N210" i="1"/>
  <c r="M210" i="1"/>
  <c r="T210" i="1" s="1"/>
  <c r="P209" i="1"/>
  <c r="R209" i="1"/>
  <c r="AS202" i="1"/>
  <c r="AT202" i="1"/>
  <c r="AP202" i="1" s="1"/>
  <c r="S210" i="1"/>
  <c r="O210" i="1"/>
  <c r="Q210" i="1"/>
  <c r="AJ200" i="1" l="1"/>
  <c r="AL200" i="1" s="1"/>
  <c r="W200" i="1" s="1"/>
  <c r="U200" i="1"/>
  <c r="AV210" i="1"/>
  <c r="AH202" i="1"/>
  <c r="AK202" i="1"/>
  <c r="AG202" i="1"/>
  <c r="AX210" i="1"/>
  <c r="AU210" i="1"/>
  <c r="AW210" i="1"/>
  <c r="AO200" i="1"/>
  <c r="AQ200" i="1" s="1"/>
  <c r="X200" i="1" s="1"/>
  <c r="AN201" i="1"/>
  <c r="V201" i="1" s="1"/>
  <c r="AI201" i="1"/>
  <c r="N211" i="1"/>
  <c r="M211" i="1"/>
  <c r="T211" i="1" s="1"/>
  <c r="P210" i="1"/>
  <c r="R210" i="1"/>
  <c r="AS203" i="1"/>
  <c r="AT203" i="1"/>
  <c r="AP203" i="1" s="1"/>
  <c r="O211" i="1"/>
  <c r="Q211" i="1"/>
  <c r="S211" i="1"/>
  <c r="AJ201" i="1" l="1"/>
  <c r="AL201" i="1" s="1"/>
  <c r="W201" i="1" s="1"/>
  <c r="U201" i="1"/>
  <c r="AV211" i="1"/>
  <c r="AH203" i="1"/>
  <c r="AK203" i="1"/>
  <c r="AG203" i="1"/>
  <c r="AX211" i="1"/>
  <c r="AU211" i="1"/>
  <c r="AW211" i="1"/>
  <c r="AO201" i="1"/>
  <c r="AQ201" i="1" s="1"/>
  <c r="X201" i="1" s="1"/>
  <c r="AI202" i="1"/>
  <c r="AN202" i="1"/>
  <c r="V202" i="1" s="1"/>
  <c r="N212" i="1"/>
  <c r="M212" i="1"/>
  <c r="T212" i="1" s="1"/>
  <c r="R211" i="1"/>
  <c r="P211" i="1"/>
  <c r="AS204" i="1"/>
  <c r="AT204" i="1"/>
  <c r="AP204" i="1" s="1"/>
  <c r="O212" i="1"/>
  <c r="Q212" i="1"/>
  <c r="S212" i="1"/>
  <c r="AJ202" i="1" l="1"/>
  <c r="AL202" i="1" s="1"/>
  <c r="W202" i="1" s="1"/>
  <c r="U202" i="1"/>
  <c r="AV212" i="1"/>
  <c r="AH204" i="1"/>
  <c r="AK204" i="1"/>
  <c r="AG204" i="1"/>
  <c r="AX212" i="1"/>
  <c r="AU212" i="1"/>
  <c r="AW212" i="1"/>
  <c r="AO202" i="1"/>
  <c r="AQ202" i="1" s="1"/>
  <c r="X202" i="1" s="1"/>
  <c r="AN203" i="1"/>
  <c r="V203" i="1" s="1"/>
  <c r="AI203" i="1"/>
  <c r="N213" i="1"/>
  <c r="M213" i="1"/>
  <c r="T213" i="1" s="1"/>
  <c r="R212" i="1"/>
  <c r="P212" i="1"/>
  <c r="AS205" i="1"/>
  <c r="AT205" i="1"/>
  <c r="AP205" i="1" s="1"/>
  <c r="O213" i="1"/>
  <c r="S213" i="1"/>
  <c r="Q213" i="1"/>
  <c r="AJ203" i="1" l="1"/>
  <c r="AL203" i="1" s="1"/>
  <c r="W203" i="1" s="1"/>
  <c r="U203" i="1"/>
  <c r="AV213" i="1"/>
  <c r="AH205" i="1"/>
  <c r="AK205" i="1"/>
  <c r="AG205" i="1"/>
  <c r="AX213" i="1"/>
  <c r="AU213" i="1"/>
  <c r="AW213" i="1"/>
  <c r="AO203" i="1"/>
  <c r="AQ203" i="1" s="1"/>
  <c r="X203" i="1" s="1"/>
  <c r="AN204" i="1"/>
  <c r="V204" i="1" s="1"/>
  <c r="AI204" i="1"/>
  <c r="N214" i="1"/>
  <c r="M214" i="1"/>
  <c r="T214" i="1" s="1"/>
  <c r="R213" i="1"/>
  <c r="P213" i="1"/>
  <c r="AS206" i="1"/>
  <c r="AT206" i="1"/>
  <c r="AP206" i="1" s="1"/>
  <c r="Q214" i="1"/>
  <c r="S214" i="1"/>
  <c r="O214" i="1"/>
  <c r="AJ204" i="1" l="1"/>
  <c r="AL204" i="1" s="1"/>
  <c r="W204" i="1" s="1"/>
  <c r="U204" i="1"/>
  <c r="AV214" i="1"/>
  <c r="AH206" i="1"/>
  <c r="AK206" i="1"/>
  <c r="AG206" i="1"/>
  <c r="AX214" i="1"/>
  <c r="AW214" i="1"/>
  <c r="AU214" i="1"/>
  <c r="AO204" i="1"/>
  <c r="AQ204" i="1" s="1"/>
  <c r="X204" i="1" s="1"/>
  <c r="AN205" i="1"/>
  <c r="V205" i="1" s="1"/>
  <c r="AI205" i="1"/>
  <c r="N215" i="1"/>
  <c r="M215" i="1"/>
  <c r="T215" i="1" s="1"/>
  <c r="R214" i="1"/>
  <c r="P214" i="1"/>
  <c r="AS207" i="1"/>
  <c r="AT207" i="1"/>
  <c r="AP207" i="1" s="1"/>
  <c r="Q215" i="1"/>
  <c r="O215" i="1"/>
  <c r="S215" i="1"/>
  <c r="AJ205" i="1" l="1"/>
  <c r="AL205" i="1" s="1"/>
  <c r="W205" i="1" s="1"/>
  <c r="U205" i="1"/>
  <c r="AV215" i="1"/>
  <c r="AH207" i="1"/>
  <c r="AK207" i="1"/>
  <c r="AG207" i="1"/>
  <c r="AX215" i="1"/>
  <c r="AW215" i="1"/>
  <c r="AU215" i="1"/>
  <c r="AO205" i="1"/>
  <c r="AQ205" i="1" s="1"/>
  <c r="X205" i="1" s="1"/>
  <c r="AI206" i="1"/>
  <c r="AN206" i="1"/>
  <c r="V206" i="1" s="1"/>
  <c r="N216" i="1"/>
  <c r="M216" i="1"/>
  <c r="T216" i="1" s="1"/>
  <c r="P215" i="1"/>
  <c r="R215" i="1"/>
  <c r="AS208" i="1"/>
  <c r="AT208" i="1"/>
  <c r="AP208" i="1" s="1"/>
  <c r="Q216" i="1"/>
  <c r="S216" i="1"/>
  <c r="O216" i="1"/>
  <c r="AJ206" i="1" l="1"/>
  <c r="AL206" i="1" s="1"/>
  <c r="W206" i="1" s="1"/>
  <c r="U206" i="1"/>
  <c r="AV216" i="1"/>
  <c r="AH208" i="1"/>
  <c r="AK208" i="1"/>
  <c r="AG208" i="1"/>
  <c r="AX216" i="1"/>
  <c r="AU216" i="1"/>
  <c r="AW216" i="1"/>
  <c r="AO206" i="1"/>
  <c r="AQ206" i="1" s="1"/>
  <c r="X206" i="1" s="1"/>
  <c r="AN207" i="1"/>
  <c r="V207" i="1" s="1"/>
  <c r="AI207" i="1"/>
  <c r="N217" i="1"/>
  <c r="M217" i="1"/>
  <c r="T217" i="1" s="1"/>
  <c r="R216" i="1"/>
  <c r="P216" i="1"/>
  <c r="AS209" i="1"/>
  <c r="AT209" i="1"/>
  <c r="AP209" i="1" s="1"/>
  <c r="Q217" i="1"/>
  <c r="O217" i="1"/>
  <c r="S217" i="1"/>
  <c r="AJ207" i="1" l="1"/>
  <c r="AL207" i="1" s="1"/>
  <c r="W207" i="1" s="1"/>
  <c r="U207" i="1"/>
  <c r="AV217" i="1"/>
  <c r="AH209" i="1"/>
  <c r="AK209" i="1"/>
  <c r="AG209" i="1"/>
  <c r="AX217" i="1"/>
  <c r="AU217" i="1"/>
  <c r="AW217" i="1"/>
  <c r="AO207" i="1"/>
  <c r="AQ207" i="1" s="1"/>
  <c r="X207" i="1" s="1"/>
  <c r="AI208" i="1"/>
  <c r="AN208" i="1"/>
  <c r="V208" i="1" s="1"/>
  <c r="N218" i="1"/>
  <c r="M218" i="1"/>
  <c r="T218" i="1" s="1"/>
  <c r="P217" i="1"/>
  <c r="R217" i="1"/>
  <c r="AS210" i="1"/>
  <c r="AT210" i="1"/>
  <c r="AP210" i="1" s="1"/>
  <c r="S218" i="1"/>
  <c r="O218" i="1"/>
  <c r="Q218" i="1"/>
  <c r="AJ208" i="1" l="1"/>
  <c r="AL208" i="1" s="1"/>
  <c r="W208" i="1" s="1"/>
  <c r="U208" i="1"/>
  <c r="AV218" i="1"/>
  <c r="AH210" i="1"/>
  <c r="AK210" i="1"/>
  <c r="AG210" i="1"/>
  <c r="AX218" i="1"/>
  <c r="AW218" i="1"/>
  <c r="AU218" i="1"/>
  <c r="AO208" i="1"/>
  <c r="AQ208" i="1" s="1"/>
  <c r="X208" i="1" s="1"/>
  <c r="AN209" i="1"/>
  <c r="V209" i="1" s="1"/>
  <c r="AI209" i="1"/>
  <c r="N219" i="1"/>
  <c r="M219" i="1"/>
  <c r="T219" i="1" s="1"/>
  <c r="R218" i="1"/>
  <c r="P218" i="1"/>
  <c r="AS211" i="1"/>
  <c r="AT211" i="1"/>
  <c r="AP211" i="1" s="1"/>
  <c r="Q219" i="1"/>
  <c r="S219" i="1"/>
  <c r="O219" i="1"/>
  <c r="AJ209" i="1" l="1"/>
  <c r="AL209" i="1" s="1"/>
  <c r="W209" i="1" s="1"/>
  <c r="U209" i="1"/>
  <c r="AV219" i="1"/>
  <c r="AH211" i="1"/>
  <c r="AK211" i="1"/>
  <c r="AG211" i="1"/>
  <c r="AX219" i="1"/>
  <c r="AU219" i="1"/>
  <c r="AW219" i="1"/>
  <c r="AO209" i="1"/>
  <c r="AQ209" i="1" s="1"/>
  <c r="X209" i="1" s="1"/>
  <c r="AI210" i="1"/>
  <c r="AN210" i="1"/>
  <c r="V210" i="1" s="1"/>
  <c r="N220" i="1"/>
  <c r="M220" i="1"/>
  <c r="T220" i="1" s="1"/>
  <c r="R219" i="1"/>
  <c r="P219" i="1"/>
  <c r="AS212" i="1"/>
  <c r="AT212" i="1"/>
  <c r="AP212" i="1" s="1"/>
  <c r="S220" i="1"/>
  <c r="O220" i="1"/>
  <c r="Q220" i="1"/>
  <c r="AJ210" i="1" l="1"/>
  <c r="AL210" i="1" s="1"/>
  <c r="W210" i="1" s="1"/>
  <c r="U210" i="1"/>
  <c r="AV220" i="1"/>
  <c r="AH212" i="1"/>
  <c r="AK212" i="1"/>
  <c r="AG212" i="1"/>
  <c r="AX220" i="1"/>
  <c r="AW220" i="1"/>
  <c r="AU220" i="1"/>
  <c r="AO210" i="1"/>
  <c r="AQ210" i="1" s="1"/>
  <c r="X210" i="1" s="1"/>
  <c r="AN211" i="1"/>
  <c r="V211" i="1" s="1"/>
  <c r="AI211" i="1"/>
  <c r="N221" i="1"/>
  <c r="M221" i="1"/>
  <c r="T221" i="1" s="1"/>
  <c r="R220" i="1"/>
  <c r="P220" i="1"/>
  <c r="AS213" i="1"/>
  <c r="AT213" i="1"/>
  <c r="AP213" i="1" s="1"/>
  <c r="Q221" i="1"/>
  <c r="S221" i="1"/>
  <c r="O221" i="1"/>
  <c r="AJ211" i="1" l="1"/>
  <c r="AL211" i="1" s="1"/>
  <c r="W211" i="1" s="1"/>
  <c r="U211" i="1"/>
  <c r="AV221" i="1"/>
  <c r="AH213" i="1"/>
  <c r="AK213" i="1"/>
  <c r="AG213" i="1"/>
  <c r="AX221" i="1"/>
  <c r="AU221" i="1"/>
  <c r="AW221" i="1"/>
  <c r="AO211" i="1"/>
  <c r="AQ211" i="1" s="1"/>
  <c r="X211" i="1" s="1"/>
  <c r="AI212" i="1"/>
  <c r="AN212" i="1"/>
  <c r="V212" i="1" s="1"/>
  <c r="N222" i="1"/>
  <c r="M222" i="1"/>
  <c r="T222" i="1" s="1"/>
  <c r="P221" i="1"/>
  <c r="R221" i="1"/>
  <c r="AS214" i="1"/>
  <c r="AT214" i="1"/>
  <c r="AP214" i="1" s="1"/>
  <c r="O222" i="1"/>
  <c r="Q222" i="1"/>
  <c r="S222" i="1"/>
  <c r="AJ212" i="1" l="1"/>
  <c r="AL212" i="1" s="1"/>
  <c r="W212" i="1" s="1"/>
  <c r="U212" i="1"/>
  <c r="AV222" i="1"/>
  <c r="AH214" i="1"/>
  <c r="AK214" i="1"/>
  <c r="AG214" i="1"/>
  <c r="AX222" i="1"/>
  <c r="AW222" i="1"/>
  <c r="AU222" i="1"/>
  <c r="AO212" i="1"/>
  <c r="AQ212" i="1" s="1"/>
  <c r="X212" i="1" s="1"/>
  <c r="AN213" i="1"/>
  <c r="V213" i="1" s="1"/>
  <c r="AI213" i="1"/>
  <c r="N223" i="1"/>
  <c r="M223" i="1"/>
  <c r="T223" i="1" s="1"/>
  <c r="P222" i="1"/>
  <c r="R222" i="1"/>
  <c r="AS215" i="1"/>
  <c r="AT215" i="1"/>
  <c r="AP215" i="1" s="1"/>
  <c r="S223" i="1"/>
  <c r="O223" i="1"/>
  <c r="Q223" i="1"/>
  <c r="AJ213" i="1" l="1"/>
  <c r="AL213" i="1" s="1"/>
  <c r="W213" i="1" s="1"/>
  <c r="U213" i="1"/>
  <c r="AV223" i="1"/>
  <c r="AH215" i="1"/>
  <c r="AK215" i="1"/>
  <c r="AG215" i="1"/>
  <c r="AX223" i="1"/>
  <c r="AU223" i="1"/>
  <c r="AW223" i="1"/>
  <c r="AO213" i="1"/>
  <c r="AQ213" i="1" s="1"/>
  <c r="X213" i="1" s="1"/>
  <c r="AN214" i="1"/>
  <c r="V214" i="1" s="1"/>
  <c r="AI214" i="1"/>
  <c r="N224" i="1"/>
  <c r="M224" i="1"/>
  <c r="T224" i="1" s="1"/>
  <c r="R223" i="1"/>
  <c r="P223" i="1"/>
  <c r="AS216" i="1"/>
  <c r="AT216" i="1"/>
  <c r="AP216" i="1" s="1"/>
  <c r="O224" i="1"/>
  <c r="S224" i="1"/>
  <c r="Q224" i="1"/>
  <c r="AJ214" i="1" l="1"/>
  <c r="AL214" i="1" s="1"/>
  <c r="W214" i="1" s="1"/>
  <c r="U214" i="1"/>
  <c r="AV224" i="1"/>
  <c r="AH216" i="1"/>
  <c r="AK216" i="1"/>
  <c r="AG216" i="1"/>
  <c r="AX224" i="1"/>
  <c r="AW224" i="1"/>
  <c r="AU224" i="1"/>
  <c r="AO214" i="1"/>
  <c r="AQ214" i="1" s="1"/>
  <c r="X214" i="1" s="1"/>
  <c r="AN215" i="1"/>
  <c r="V215" i="1" s="1"/>
  <c r="AI215" i="1"/>
  <c r="N225" i="1"/>
  <c r="M225" i="1"/>
  <c r="T225" i="1" s="1"/>
  <c r="R224" i="1"/>
  <c r="P224" i="1"/>
  <c r="AS217" i="1"/>
  <c r="AT217" i="1"/>
  <c r="AP217" i="1" s="1"/>
  <c r="Q225" i="1"/>
  <c r="O225" i="1"/>
  <c r="S225" i="1"/>
  <c r="AJ215" i="1" l="1"/>
  <c r="AL215" i="1" s="1"/>
  <c r="W215" i="1" s="1"/>
  <c r="U215" i="1"/>
  <c r="AV225" i="1"/>
  <c r="AH217" i="1"/>
  <c r="AK217" i="1"/>
  <c r="AG217" i="1"/>
  <c r="AX225" i="1"/>
  <c r="AW225" i="1"/>
  <c r="AU225" i="1"/>
  <c r="AO215" i="1"/>
  <c r="AQ215" i="1" s="1"/>
  <c r="X215" i="1" s="1"/>
  <c r="AN216" i="1"/>
  <c r="V216" i="1" s="1"/>
  <c r="AI216" i="1"/>
  <c r="N226" i="1"/>
  <c r="M226" i="1"/>
  <c r="T226" i="1" s="1"/>
  <c r="P225" i="1"/>
  <c r="R225" i="1"/>
  <c r="AS218" i="1"/>
  <c r="AT218" i="1"/>
  <c r="AP218" i="1" s="1"/>
  <c r="Q226" i="1"/>
  <c r="S226" i="1"/>
  <c r="O226" i="1"/>
  <c r="AJ216" i="1" l="1"/>
  <c r="AL216" i="1" s="1"/>
  <c r="W216" i="1" s="1"/>
  <c r="U216" i="1"/>
  <c r="AV226" i="1"/>
  <c r="AH218" i="1"/>
  <c r="AK218" i="1"/>
  <c r="AG218" i="1"/>
  <c r="AX226" i="1"/>
  <c r="AU226" i="1"/>
  <c r="AW226" i="1"/>
  <c r="AO216" i="1"/>
  <c r="AQ216" i="1" s="1"/>
  <c r="X216" i="1" s="1"/>
  <c r="AN217" i="1"/>
  <c r="V217" i="1" s="1"/>
  <c r="AI217" i="1"/>
  <c r="N227" i="1"/>
  <c r="M227" i="1"/>
  <c r="T227" i="1" s="1"/>
  <c r="P226" i="1"/>
  <c r="R226" i="1"/>
  <c r="AS219" i="1"/>
  <c r="AT219" i="1"/>
  <c r="AP219" i="1" s="1"/>
  <c r="S227" i="1"/>
  <c r="Q227" i="1"/>
  <c r="O227" i="1"/>
  <c r="AJ217" i="1" l="1"/>
  <c r="AL217" i="1" s="1"/>
  <c r="W217" i="1" s="1"/>
  <c r="U217" i="1"/>
  <c r="AV227" i="1"/>
  <c r="AH219" i="1"/>
  <c r="AK219" i="1"/>
  <c r="AG219" i="1"/>
  <c r="AX227" i="1"/>
  <c r="AW227" i="1"/>
  <c r="AU227" i="1"/>
  <c r="AO217" i="1"/>
  <c r="AQ217" i="1" s="1"/>
  <c r="X217" i="1" s="1"/>
  <c r="AI218" i="1"/>
  <c r="AN218" i="1"/>
  <c r="V218" i="1" s="1"/>
  <c r="N228" i="1"/>
  <c r="M228" i="1"/>
  <c r="T228" i="1" s="1"/>
  <c r="R227" i="1"/>
  <c r="P227" i="1"/>
  <c r="AS220" i="1"/>
  <c r="AT220" i="1"/>
  <c r="AP220" i="1" s="1"/>
  <c r="S228" i="1"/>
  <c r="Q228" i="1"/>
  <c r="O228" i="1"/>
  <c r="AJ218" i="1" l="1"/>
  <c r="AL218" i="1" s="1"/>
  <c r="W218" i="1" s="1"/>
  <c r="U218" i="1"/>
  <c r="AV228" i="1"/>
  <c r="AH220" i="1"/>
  <c r="AK220" i="1"/>
  <c r="AG220" i="1"/>
  <c r="AX228" i="1"/>
  <c r="AW228" i="1"/>
  <c r="AU228" i="1"/>
  <c r="AO218" i="1"/>
  <c r="AQ218" i="1" s="1"/>
  <c r="X218" i="1" s="1"/>
  <c r="AN219" i="1"/>
  <c r="V219" i="1" s="1"/>
  <c r="AI219" i="1"/>
  <c r="N229" i="1"/>
  <c r="M229" i="1"/>
  <c r="T229" i="1" s="1"/>
  <c r="R228" i="1"/>
  <c r="P228" i="1"/>
  <c r="AS221" i="1"/>
  <c r="AT221" i="1"/>
  <c r="AP221" i="1" s="1"/>
  <c r="S229" i="1"/>
  <c r="Q229" i="1"/>
  <c r="O229" i="1"/>
  <c r="AJ219" i="1" l="1"/>
  <c r="AL219" i="1" s="1"/>
  <c r="W219" i="1" s="1"/>
  <c r="U219" i="1"/>
  <c r="AV229" i="1"/>
  <c r="AH221" i="1"/>
  <c r="AK221" i="1"/>
  <c r="AG221" i="1"/>
  <c r="AX229" i="1"/>
  <c r="AW229" i="1"/>
  <c r="AU229" i="1"/>
  <c r="AO219" i="1"/>
  <c r="AQ219" i="1" s="1"/>
  <c r="X219" i="1" s="1"/>
  <c r="AN220" i="1"/>
  <c r="V220" i="1" s="1"/>
  <c r="AI220" i="1"/>
  <c r="N230" i="1"/>
  <c r="M230" i="1"/>
  <c r="T230" i="1" s="1"/>
  <c r="R229" i="1"/>
  <c r="P229" i="1"/>
  <c r="AS222" i="1"/>
  <c r="AT222" i="1"/>
  <c r="AP222" i="1" s="1"/>
  <c r="O230" i="1"/>
  <c r="S230" i="1"/>
  <c r="Q230" i="1"/>
  <c r="AJ220" i="1" l="1"/>
  <c r="AL220" i="1" s="1"/>
  <c r="W220" i="1" s="1"/>
  <c r="U220" i="1"/>
  <c r="AV230" i="1"/>
  <c r="AH222" i="1"/>
  <c r="AK222" i="1"/>
  <c r="AG222" i="1"/>
  <c r="AX230" i="1"/>
  <c r="AW230" i="1"/>
  <c r="AU230" i="1"/>
  <c r="AO220" i="1"/>
  <c r="AQ220" i="1" s="1"/>
  <c r="X220" i="1" s="1"/>
  <c r="AN221" i="1"/>
  <c r="V221" i="1" s="1"/>
  <c r="AI221" i="1"/>
  <c r="N231" i="1"/>
  <c r="M231" i="1"/>
  <c r="T231" i="1" s="1"/>
  <c r="R230" i="1"/>
  <c r="P230" i="1"/>
  <c r="AS223" i="1"/>
  <c r="AT223" i="1"/>
  <c r="AP223" i="1" s="1"/>
  <c r="O231" i="1"/>
  <c r="S231" i="1"/>
  <c r="Q231" i="1"/>
  <c r="AJ221" i="1" l="1"/>
  <c r="AL221" i="1" s="1"/>
  <c r="W221" i="1" s="1"/>
  <c r="U221" i="1"/>
  <c r="AV231" i="1"/>
  <c r="AH223" i="1"/>
  <c r="AK223" i="1"/>
  <c r="AG223" i="1"/>
  <c r="AX231" i="1"/>
  <c r="AU231" i="1"/>
  <c r="AW231" i="1"/>
  <c r="AO221" i="1"/>
  <c r="AQ221" i="1" s="1"/>
  <c r="X221" i="1" s="1"/>
  <c r="AN222" i="1"/>
  <c r="V222" i="1" s="1"/>
  <c r="AI222" i="1"/>
  <c r="N232" i="1"/>
  <c r="M232" i="1"/>
  <c r="T232" i="1" s="1"/>
  <c r="R231" i="1"/>
  <c r="P231" i="1"/>
  <c r="AS224" i="1"/>
  <c r="AT224" i="1"/>
  <c r="AP224" i="1" s="1"/>
  <c r="Q232" i="1"/>
  <c r="S232" i="1"/>
  <c r="O232" i="1"/>
  <c r="AJ222" i="1" l="1"/>
  <c r="AL222" i="1" s="1"/>
  <c r="W222" i="1" s="1"/>
  <c r="U222" i="1"/>
  <c r="AV232" i="1"/>
  <c r="AH224" i="1"/>
  <c r="AK224" i="1"/>
  <c r="AG224" i="1"/>
  <c r="AX232" i="1"/>
  <c r="AU232" i="1"/>
  <c r="AW232" i="1"/>
  <c r="AO222" i="1"/>
  <c r="AQ222" i="1" s="1"/>
  <c r="X222" i="1" s="1"/>
  <c r="AN223" i="1"/>
  <c r="V223" i="1" s="1"/>
  <c r="AI223" i="1"/>
  <c r="N233" i="1"/>
  <c r="M233" i="1"/>
  <c r="T233" i="1" s="1"/>
  <c r="R232" i="1"/>
  <c r="P232" i="1"/>
  <c r="AS225" i="1"/>
  <c r="AT225" i="1"/>
  <c r="AP225" i="1" s="1"/>
  <c r="S233" i="1"/>
  <c r="O233" i="1"/>
  <c r="Q233" i="1"/>
  <c r="AJ223" i="1" l="1"/>
  <c r="AL223" i="1" s="1"/>
  <c r="W223" i="1" s="1"/>
  <c r="U223" i="1"/>
  <c r="AV233" i="1"/>
  <c r="AH225" i="1"/>
  <c r="AK225" i="1"/>
  <c r="AG225" i="1"/>
  <c r="AX233" i="1"/>
  <c r="AW233" i="1"/>
  <c r="AU233" i="1"/>
  <c r="AO223" i="1"/>
  <c r="AQ223" i="1" s="1"/>
  <c r="X223" i="1" s="1"/>
  <c r="AN224" i="1"/>
  <c r="V224" i="1" s="1"/>
  <c r="AI224" i="1"/>
  <c r="N234" i="1"/>
  <c r="M234" i="1"/>
  <c r="T234" i="1" s="1"/>
  <c r="P233" i="1"/>
  <c r="R233" i="1"/>
  <c r="AS226" i="1"/>
  <c r="AT226" i="1"/>
  <c r="AP226" i="1" s="1"/>
  <c r="Q234" i="1"/>
  <c r="O234" i="1"/>
  <c r="S234" i="1"/>
  <c r="AJ224" i="1" l="1"/>
  <c r="AL224" i="1" s="1"/>
  <c r="W224" i="1" s="1"/>
  <c r="U224" i="1"/>
  <c r="AV234" i="1"/>
  <c r="AH226" i="1"/>
  <c r="AK226" i="1"/>
  <c r="AG226" i="1"/>
  <c r="AX234" i="1"/>
  <c r="AW234" i="1"/>
  <c r="AU234" i="1"/>
  <c r="AO224" i="1"/>
  <c r="AQ224" i="1" s="1"/>
  <c r="X224" i="1" s="1"/>
  <c r="AN225" i="1"/>
  <c r="V225" i="1" s="1"/>
  <c r="AI225" i="1"/>
  <c r="N235" i="1"/>
  <c r="M235" i="1"/>
  <c r="T235" i="1" s="1"/>
  <c r="R234" i="1"/>
  <c r="P234" i="1"/>
  <c r="AS227" i="1"/>
  <c r="AT227" i="1"/>
  <c r="AP227" i="1" s="1"/>
  <c r="S235" i="1"/>
  <c r="Q235" i="1"/>
  <c r="O235" i="1"/>
  <c r="AJ225" i="1" l="1"/>
  <c r="AL225" i="1" s="1"/>
  <c r="W225" i="1" s="1"/>
  <c r="U225" i="1"/>
  <c r="AV235" i="1"/>
  <c r="AH227" i="1"/>
  <c r="AK227" i="1"/>
  <c r="AG227" i="1"/>
  <c r="AX235" i="1"/>
  <c r="AU235" i="1"/>
  <c r="AW235" i="1"/>
  <c r="AO225" i="1"/>
  <c r="AQ225" i="1" s="1"/>
  <c r="X225" i="1" s="1"/>
  <c r="AN226" i="1"/>
  <c r="V226" i="1" s="1"/>
  <c r="AI226" i="1"/>
  <c r="N236" i="1"/>
  <c r="M236" i="1"/>
  <c r="T236" i="1" s="1"/>
  <c r="R235" i="1"/>
  <c r="P235" i="1"/>
  <c r="AS228" i="1"/>
  <c r="AT228" i="1"/>
  <c r="AP228" i="1" s="1"/>
  <c r="Q236" i="1"/>
  <c r="O236" i="1"/>
  <c r="S236" i="1"/>
  <c r="AJ226" i="1" l="1"/>
  <c r="AL226" i="1" s="1"/>
  <c r="W226" i="1" s="1"/>
  <c r="U226" i="1"/>
  <c r="AV236" i="1"/>
  <c r="AH228" i="1"/>
  <c r="AK228" i="1"/>
  <c r="AG228" i="1"/>
  <c r="AX236" i="1"/>
  <c r="AW236" i="1"/>
  <c r="AU236" i="1"/>
  <c r="AO226" i="1"/>
  <c r="AQ226" i="1" s="1"/>
  <c r="X226" i="1" s="1"/>
  <c r="AN227" i="1"/>
  <c r="V227" i="1" s="1"/>
  <c r="AI227" i="1"/>
  <c r="N237" i="1"/>
  <c r="M237" i="1"/>
  <c r="T237" i="1" s="1"/>
  <c r="R236" i="1"/>
  <c r="P236" i="1"/>
  <c r="AS229" i="1"/>
  <c r="AT229" i="1"/>
  <c r="AP229" i="1" s="1"/>
  <c r="S237" i="1"/>
  <c r="Q237" i="1"/>
  <c r="O237" i="1"/>
  <c r="AJ227" i="1" l="1"/>
  <c r="AL227" i="1" s="1"/>
  <c r="W227" i="1" s="1"/>
  <c r="U227" i="1"/>
  <c r="AV237" i="1"/>
  <c r="AH229" i="1"/>
  <c r="AK229" i="1"/>
  <c r="AG229" i="1"/>
  <c r="AX237" i="1"/>
  <c r="AW237" i="1"/>
  <c r="AU237" i="1"/>
  <c r="AO227" i="1"/>
  <c r="AQ227" i="1" s="1"/>
  <c r="X227" i="1" s="1"/>
  <c r="AN228" i="1"/>
  <c r="V228" i="1" s="1"/>
  <c r="AI228" i="1"/>
  <c r="N238" i="1"/>
  <c r="M238" i="1"/>
  <c r="T238" i="1" s="1"/>
  <c r="P237" i="1"/>
  <c r="R237" i="1"/>
  <c r="AS230" i="1"/>
  <c r="AT230" i="1"/>
  <c r="AP230" i="1" s="1"/>
  <c r="Q238" i="1"/>
  <c r="S238" i="1"/>
  <c r="O238" i="1"/>
  <c r="AJ228" i="1" l="1"/>
  <c r="AL228" i="1" s="1"/>
  <c r="W228" i="1" s="1"/>
  <c r="U228" i="1"/>
  <c r="AV238" i="1"/>
  <c r="AH230" i="1"/>
  <c r="AK230" i="1"/>
  <c r="AG230" i="1"/>
  <c r="AX238" i="1"/>
  <c r="AU238" i="1"/>
  <c r="AW238" i="1"/>
  <c r="AO228" i="1"/>
  <c r="AQ228" i="1" s="1"/>
  <c r="X228" i="1" s="1"/>
  <c r="AN229" i="1"/>
  <c r="V229" i="1" s="1"/>
  <c r="AI229" i="1"/>
  <c r="N239" i="1"/>
  <c r="M239" i="1"/>
  <c r="T239" i="1" s="1"/>
  <c r="P238" i="1"/>
  <c r="R238" i="1"/>
  <c r="AT231" i="1"/>
  <c r="AP231" i="1" s="1"/>
  <c r="AS231" i="1"/>
  <c r="S239" i="1"/>
  <c r="O239" i="1"/>
  <c r="Q239" i="1"/>
  <c r="AJ229" i="1" l="1"/>
  <c r="AL229" i="1" s="1"/>
  <c r="W229" i="1" s="1"/>
  <c r="U229" i="1"/>
  <c r="AV239" i="1"/>
  <c r="AH231" i="1"/>
  <c r="AK231" i="1"/>
  <c r="AG231" i="1"/>
  <c r="AX239" i="1"/>
  <c r="AU239" i="1"/>
  <c r="AW239" i="1"/>
  <c r="AO229" i="1"/>
  <c r="AQ229" i="1" s="1"/>
  <c r="X229" i="1" s="1"/>
  <c r="AN230" i="1"/>
  <c r="V230" i="1" s="1"/>
  <c r="AI230" i="1"/>
  <c r="N240" i="1"/>
  <c r="M240" i="1"/>
  <c r="T240" i="1" s="1"/>
  <c r="R239" i="1"/>
  <c r="P239" i="1"/>
  <c r="AS232" i="1"/>
  <c r="AT232" i="1"/>
  <c r="AP232" i="1" s="1"/>
  <c r="Q240" i="1"/>
  <c r="S240" i="1"/>
  <c r="O240" i="1"/>
  <c r="AJ230" i="1" l="1"/>
  <c r="AL230" i="1" s="1"/>
  <c r="W230" i="1" s="1"/>
  <c r="U230" i="1"/>
  <c r="AV240" i="1"/>
  <c r="AH232" i="1"/>
  <c r="AK232" i="1"/>
  <c r="AG232" i="1"/>
  <c r="AX240" i="1"/>
  <c r="AU240" i="1"/>
  <c r="AW240" i="1"/>
  <c r="AO230" i="1"/>
  <c r="AQ230" i="1" s="1"/>
  <c r="X230" i="1" s="1"/>
  <c r="AN231" i="1"/>
  <c r="V231" i="1" s="1"/>
  <c r="AI231" i="1"/>
  <c r="N241" i="1"/>
  <c r="M241" i="1"/>
  <c r="T241" i="1" s="1"/>
  <c r="R240" i="1"/>
  <c r="P240" i="1"/>
  <c r="AT233" i="1"/>
  <c r="AP233" i="1" s="1"/>
  <c r="AS233" i="1"/>
  <c r="S241" i="1"/>
  <c r="Q241" i="1"/>
  <c r="O241" i="1"/>
  <c r="AJ231" i="1" l="1"/>
  <c r="AL231" i="1" s="1"/>
  <c r="W231" i="1" s="1"/>
  <c r="U231" i="1"/>
  <c r="AV241" i="1"/>
  <c r="AH233" i="1"/>
  <c r="AK233" i="1"/>
  <c r="AG233" i="1"/>
  <c r="AX241" i="1"/>
  <c r="AU241" i="1"/>
  <c r="AW241" i="1"/>
  <c r="AO231" i="1"/>
  <c r="AQ231" i="1" s="1"/>
  <c r="X231" i="1" s="1"/>
  <c r="AN232" i="1"/>
  <c r="V232" i="1" s="1"/>
  <c r="AI232" i="1"/>
  <c r="N242" i="1"/>
  <c r="M242" i="1"/>
  <c r="T242" i="1" s="1"/>
  <c r="P241" i="1"/>
  <c r="R241" i="1"/>
  <c r="AT234" i="1"/>
  <c r="AP234" i="1" s="1"/>
  <c r="AS234" i="1"/>
  <c r="S242" i="1"/>
  <c r="Q242" i="1"/>
  <c r="O242" i="1"/>
  <c r="AJ232" i="1" l="1"/>
  <c r="AL232" i="1" s="1"/>
  <c r="W232" i="1" s="1"/>
  <c r="U232" i="1"/>
  <c r="AV242" i="1"/>
  <c r="AH234" i="1"/>
  <c r="AK234" i="1"/>
  <c r="AG234" i="1"/>
  <c r="AX242" i="1"/>
  <c r="AU242" i="1"/>
  <c r="AW242" i="1"/>
  <c r="AO232" i="1"/>
  <c r="AQ232" i="1" s="1"/>
  <c r="X232" i="1" s="1"/>
  <c r="AN233" i="1"/>
  <c r="V233" i="1" s="1"/>
  <c r="AI233" i="1"/>
  <c r="N243" i="1"/>
  <c r="M243" i="1"/>
  <c r="T243" i="1" s="1"/>
  <c r="P242" i="1"/>
  <c r="R242" i="1"/>
  <c r="AS235" i="1"/>
  <c r="AT235" i="1"/>
  <c r="AP235" i="1" s="1"/>
  <c r="Q243" i="1"/>
  <c r="S243" i="1"/>
  <c r="O243" i="1"/>
  <c r="AJ233" i="1" l="1"/>
  <c r="AL233" i="1" s="1"/>
  <c r="W233" i="1" s="1"/>
  <c r="U233" i="1"/>
  <c r="AV243" i="1"/>
  <c r="AH235" i="1"/>
  <c r="AK235" i="1"/>
  <c r="AG235" i="1"/>
  <c r="AX243" i="1"/>
  <c r="AW243" i="1"/>
  <c r="AU243" i="1"/>
  <c r="AO233" i="1"/>
  <c r="AQ233" i="1" s="1"/>
  <c r="X233" i="1" s="1"/>
  <c r="AI234" i="1"/>
  <c r="AN234" i="1"/>
  <c r="V234" i="1" s="1"/>
  <c r="N244" i="1"/>
  <c r="M244" i="1"/>
  <c r="T244" i="1" s="1"/>
  <c r="P243" i="1"/>
  <c r="R243" i="1"/>
  <c r="AS236" i="1"/>
  <c r="AT236" i="1"/>
  <c r="AP236" i="1" s="1"/>
  <c r="Q244" i="1"/>
  <c r="S244" i="1"/>
  <c r="O244" i="1"/>
  <c r="AJ234" i="1" l="1"/>
  <c r="AL234" i="1" s="1"/>
  <c r="W234" i="1" s="1"/>
  <c r="U234" i="1"/>
  <c r="AV244" i="1"/>
  <c r="AH236" i="1"/>
  <c r="AK236" i="1"/>
  <c r="AG236" i="1"/>
  <c r="AX244" i="1"/>
  <c r="AW244" i="1"/>
  <c r="AU244" i="1"/>
  <c r="AO234" i="1"/>
  <c r="AQ234" i="1" s="1"/>
  <c r="X234" i="1" s="1"/>
  <c r="AN235" i="1"/>
  <c r="V235" i="1" s="1"/>
  <c r="AI235" i="1"/>
  <c r="N245" i="1"/>
  <c r="M245" i="1"/>
  <c r="T245" i="1" s="1"/>
  <c r="R244" i="1"/>
  <c r="P244" i="1"/>
  <c r="AS237" i="1"/>
  <c r="AT237" i="1"/>
  <c r="AP237" i="1" s="1"/>
  <c r="O245" i="1"/>
  <c r="Q245" i="1"/>
  <c r="S245" i="1"/>
  <c r="AJ235" i="1" l="1"/>
  <c r="AL235" i="1" s="1"/>
  <c r="W235" i="1" s="1"/>
  <c r="U235" i="1"/>
  <c r="AV245" i="1"/>
  <c r="AH237" i="1"/>
  <c r="AK237" i="1"/>
  <c r="AG237" i="1"/>
  <c r="AX245" i="1"/>
  <c r="AU245" i="1"/>
  <c r="AW245" i="1"/>
  <c r="AO235" i="1"/>
  <c r="AQ235" i="1" s="1"/>
  <c r="X235" i="1" s="1"/>
  <c r="AN236" i="1"/>
  <c r="V236" i="1" s="1"/>
  <c r="AI236" i="1"/>
  <c r="N246" i="1"/>
  <c r="M246" i="1"/>
  <c r="T246" i="1" s="1"/>
  <c r="P245" i="1"/>
  <c r="R245" i="1"/>
  <c r="AT238" i="1"/>
  <c r="AP238" i="1" s="1"/>
  <c r="AS238" i="1"/>
  <c r="Q246" i="1"/>
  <c r="S246" i="1"/>
  <c r="O246" i="1"/>
  <c r="AJ236" i="1" l="1"/>
  <c r="AL236" i="1" s="1"/>
  <c r="W236" i="1" s="1"/>
  <c r="U236" i="1"/>
  <c r="AV246" i="1"/>
  <c r="AH238" i="1"/>
  <c r="AK238" i="1"/>
  <c r="AG238" i="1"/>
  <c r="AX246" i="1"/>
  <c r="AW246" i="1"/>
  <c r="AU246" i="1"/>
  <c r="AO236" i="1"/>
  <c r="AQ236" i="1" s="1"/>
  <c r="X236" i="1" s="1"/>
  <c r="AN237" i="1"/>
  <c r="V237" i="1" s="1"/>
  <c r="AI237" i="1"/>
  <c r="N247" i="1"/>
  <c r="M247" i="1"/>
  <c r="T247" i="1" s="1"/>
  <c r="P246" i="1"/>
  <c r="R246" i="1"/>
  <c r="AS239" i="1"/>
  <c r="AT239" i="1"/>
  <c r="AP239" i="1" s="1"/>
  <c r="O247" i="1"/>
  <c r="S247" i="1"/>
  <c r="Q247" i="1"/>
  <c r="AJ237" i="1" l="1"/>
  <c r="AL237" i="1" s="1"/>
  <c r="W237" i="1" s="1"/>
  <c r="U237" i="1"/>
  <c r="AV247" i="1"/>
  <c r="AH239" i="1"/>
  <c r="AK239" i="1"/>
  <c r="AG239" i="1"/>
  <c r="AX247" i="1"/>
  <c r="AW247" i="1"/>
  <c r="AU247" i="1"/>
  <c r="AO237" i="1"/>
  <c r="AQ237" i="1" s="1"/>
  <c r="X237" i="1" s="1"/>
  <c r="AN238" i="1"/>
  <c r="V238" i="1" s="1"/>
  <c r="AI238" i="1"/>
  <c r="N248" i="1"/>
  <c r="M248" i="1"/>
  <c r="T248" i="1" s="1"/>
  <c r="P247" i="1"/>
  <c r="R247" i="1"/>
  <c r="AS240" i="1"/>
  <c r="AT240" i="1"/>
  <c r="AP240" i="1" s="1"/>
  <c r="O248" i="1"/>
  <c r="S248" i="1"/>
  <c r="Q248" i="1"/>
  <c r="AJ238" i="1" l="1"/>
  <c r="AL238" i="1" s="1"/>
  <c r="W238" i="1" s="1"/>
  <c r="U238" i="1"/>
  <c r="AV248" i="1"/>
  <c r="AH240" i="1"/>
  <c r="AK240" i="1"/>
  <c r="AG240" i="1"/>
  <c r="AX248" i="1"/>
  <c r="AW248" i="1"/>
  <c r="AU248" i="1"/>
  <c r="AO238" i="1"/>
  <c r="AQ238" i="1" s="1"/>
  <c r="X238" i="1" s="1"/>
  <c r="AN239" i="1"/>
  <c r="V239" i="1" s="1"/>
  <c r="AI239" i="1"/>
  <c r="N249" i="1"/>
  <c r="M249" i="1"/>
  <c r="T249" i="1" s="1"/>
  <c r="R248" i="1"/>
  <c r="P248" i="1"/>
  <c r="AS241" i="1"/>
  <c r="AT241" i="1"/>
  <c r="AP241" i="1" s="1"/>
  <c r="Q249" i="1"/>
  <c r="S249" i="1"/>
  <c r="O249" i="1"/>
  <c r="AJ239" i="1" l="1"/>
  <c r="AL239" i="1" s="1"/>
  <c r="W239" i="1" s="1"/>
  <c r="U239" i="1"/>
  <c r="AV249" i="1"/>
  <c r="AH241" i="1"/>
  <c r="AK241" i="1"/>
  <c r="AG241" i="1"/>
  <c r="AX249" i="1"/>
  <c r="AW249" i="1"/>
  <c r="AU249" i="1"/>
  <c r="AO239" i="1"/>
  <c r="AQ239" i="1" s="1"/>
  <c r="X239" i="1" s="1"/>
  <c r="AN240" i="1"/>
  <c r="V240" i="1" s="1"/>
  <c r="AI240" i="1"/>
  <c r="N250" i="1"/>
  <c r="M250" i="1"/>
  <c r="T250" i="1" s="1"/>
  <c r="P249" i="1"/>
  <c r="R249" i="1"/>
  <c r="AS242" i="1"/>
  <c r="AT242" i="1"/>
  <c r="AP242" i="1" s="1"/>
  <c r="O250" i="1"/>
  <c r="Q250" i="1"/>
  <c r="S250" i="1"/>
  <c r="AJ240" i="1" l="1"/>
  <c r="AL240" i="1" s="1"/>
  <c r="W240" i="1" s="1"/>
  <c r="U240" i="1"/>
  <c r="AV250" i="1"/>
  <c r="AH242" i="1"/>
  <c r="AK242" i="1"/>
  <c r="AG242" i="1"/>
  <c r="AX250" i="1"/>
  <c r="AW250" i="1"/>
  <c r="AU250" i="1"/>
  <c r="AO240" i="1"/>
  <c r="AQ240" i="1" s="1"/>
  <c r="X240" i="1" s="1"/>
  <c r="AN241" i="1"/>
  <c r="V241" i="1" s="1"/>
  <c r="AI241" i="1"/>
  <c r="N251" i="1"/>
  <c r="M251" i="1"/>
  <c r="T251" i="1" s="1"/>
  <c r="R250" i="1"/>
  <c r="P250" i="1"/>
  <c r="AT243" i="1"/>
  <c r="AP243" i="1" s="1"/>
  <c r="AS243" i="1"/>
  <c r="S251" i="1"/>
  <c r="Q251" i="1"/>
  <c r="O251" i="1"/>
  <c r="AJ241" i="1" l="1"/>
  <c r="AL241" i="1" s="1"/>
  <c r="W241" i="1" s="1"/>
  <c r="U241" i="1"/>
  <c r="AV251" i="1"/>
  <c r="AH243" i="1"/>
  <c r="AK243" i="1"/>
  <c r="AG243" i="1"/>
  <c r="AX251" i="1"/>
  <c r="AW251" i="1"/>
  <c r="AU251" i="1"/>
  <c r="AO241" i="1"/>
  <c r="AQ241" i="1" s="1"/>
  <c r="X241" i="1" s="1"/>
  <c r="AN242" i="1"/>
  <c r="V242" i="1" s="1"/>
  <c r="AI242" i="1"/>
  <c r="N252" i="1"/>
  <c r="M252" i="1"/>
  <c r="T252" i="1" s="1"/>
  <c r="P251" i="1"/>
  <c r="R251" i="1"/>
  <c r="AT244" i="1"/>
  <c r="AP244" i="1" s="1"/>
  <c r="AS244" i="1"/>
  <c r="S252" i="1"/>
  <c r="Q252" i="1"/>
  <c r="O252" i="1"/>
  <c r="AJ242" i="1" l="1"/>
  <c r="AL242" i="1" s="1"/>
  <c r="W242" i="1" s="1"/>
  <c r="U242" i="1"/>
  <c r="AV252" i="1"/>
  <c r="AH244" i="1"/>
  <c r="AK244" i="1"/>
  <c r="AG244" i="1"/>
  <c r="AX252" i="1"/>
  <c r="AU252" i="1"/>
  <c r="AW252" i="1"/>
  <c r="AO242" i="1"/>
  <c r="AQ242" i="1" s="1"/>
  <c r="X242" i="1" s="1"/>
  <c r="AN243" i="1"/>
  <c r="V243" i="1" s="1"/>
  <c r="AI243" i="1"/>
  <c r="N253" i="1"/>
  <c r="M253" i="1"/>
  <c r="T253" i="1" s="1"/>
  <c r="R252" i="1"/>
  <c r="P252" i="1"/>
  <c r="AT245" i="1"/>
  <c r="AP245" i="1" s="1"/>
  <c r="AS245" i="1"/>
  <c r="Q253" i="1"/>
  <c r="S253" i="1"/>
  <c r="O253" i="1"/>
  <c r="AJ243" i="1" l="1"/>
  <c r="AL243" i="1" s="1"/>
  <c r="W243" i="1" s="1"/>
  <c r="U243" i="1"/>
  <c r="AV253" i="1"/>
  <c r="AH245" i="1"/>
  <c r="AK245" i="1"/>
  <c r="AG245" i="1"/>
  <c r="AX253" i="1"/>
  <c r="AW253" i="1"/>
  <c r="AU253" i="1"/>
  <c r="AO243" i="1"/>
  <c r="AQ243" i="1" s="1"/>
  <c r="X243" i="1" s="1"/>
  <c r="AN244" i="1"/>
  <c r="V244" i="1" s="1"/>
  <c r="AI244" i="1"/>
  <c r="N254" i="1"/>
  <c r="M254" i="1"/>
  <c r="T254" i="1" s="1"/>
  <c r="P253" i="1"/>
  <c r="R253" i="1"/>
  <c r="AS246" i="1"/>
  <c r="AT246" i="1"/>
  <c r="AP246" i="1" s="1"/>
  <c r="Q254" i="1"/>
  <c r="S254" i="1"/>
  <c r="O254" i="1"/>
  <c r="AJ244" i="1" l="1"/>
  <c r="AL244" i="1" s="1"/>
  <c r="W244" i="1" s="1"/>
  <c r="U244" i="1"/>
  <c r="AV254" i="1"/>
  <c r="AH246" i="1"/>
  <c r="AK246" i="1"/>
  <c r="AG246" i="1"/>
  <c r="AX254" i="1"/>
  <c r="AU254" i="1"/>
  <c r="AW254" i="1"/>
  <c r="AO244" i="1"/>
  <c r="AQ244" i="1" s="1"/>
  <c r="X244" i="1" s="1"/>
  <c r="AN245" i="1"/>
  <c r="V245" i="1" s="1"/>
  <c r="AI245" i="1"/>
  <c r="N255" i="1"/>
  <c r="M255" i="1"/>
  <c r="T255" i="1" s="1"/>
  <c r="R254" i="1"/>
  <c r="P254" i="1"/>
  <c r="AS247" i="1"/>
  <c r="AT247" i="1"/>
  <c r="AP247" i="1" s="1"/>
  <c r="S255" i="1"/>
  <c r="Q255" i="1"/>
  <c r="O255" i="1"/>
  <c r="AJ245" i="1" l="1"/>
  <c r="AL245" i="1" s="1"/>
  <c r="W245" i="1" s="1"/>
  <c r="U245" i="1"/>
  <c r="AV255" i="1"/>
  <c r="AH247" i="1"/>
  <c r="AK247" i="1"/>
  <c r="AG247" i="1"/>
  <c r="AX255" i="1"/>
  <c r="AW255" i="1"/>
  <c r="AU255" i="1"/>
  <c r="AO245" i="1"/>
  <c r="AQ245" i="1" s="1"/>
  <c r="X245" i="1" s="1"/>
  <c r="AN246" i="1"/>
  <c r="V246" i="1" s="1"/>
  <c r="AI246" i="1"/>
  <c r="N256" i="1"/>
  <c r="M256" i="1"/>
  <c r="T256" i="1" s="1"/>
  <c r="R255" i="1"/>
  <c r="P255" i="1"/>
  <c r="AT248" i="1"/>
  <c r="AP248" i="1" s="1"/>
  <c r="AS248" i="1"/>
  <c r="Q256" i="1"/>
  <c r="O256" i="1"/>
  <c r="S256" i="1"/>
  <c r="AJ246" i="1" l="1"/>
  <c r="AL246" i="1" s="1"/>
  <c r="W246" i="1" s="1"/>
  <c r="U246" i="1"/>
  <c r="AV256" i="1"/>
  <c r="AH248" i="1"/>
  <c r="AK248" i="1"/>
  <c r="AG248" i="1"/>
  <c r="AX256" i="1"/>
  <c r="AW256" i="1"/>
  <c r="AU256" i="1"/>
  <c r="AO246" i="1"/>
  <c r="AQ246" i="1" s="1"/>
  <c r="X246" i="1" s="1"/>
  <c r="AN247" i="1"/>
  <c r="V247" i="1" s="1"/>
  <c r="AI247" i="1"/>
  <c r="N257" i="1"/>
  <c r="M257" i="1"/>
  <c r="T257" i="1" s="1"/>
  <c r="R256" i="1"/>
  <c r="P256" i="1"/>
  <c r="AT249" i="1"/>
  <c r="AP249" i="1" s="1"/>
  <c r="AS249" i="1"/>
  <c r="O257" i="1"/>
  <c r="S257" i="1"/>
  <c r="Q257" i="1"/>
  <c r="AJ247" i="1" l="1"/>
  <c r="AL247" i="1" s="1"/>
  <c r="W247" i="1" s="1"/>
  <c r="U247" i="1"/>
  <c r="AV257" i="1"/>
  <c r="AH249" i="1"/>
  <c r="AK249" i="1"/>
  <c r="AG249" i="1"/>
  <c r="AX257" i="1"/>
  <c r="AW257" i="1"/>
  <c r="AU257" i="1"/>
  <c r="AO247" i="1"/>
  <c r="AQ247" i="1" s="1"/>
  <c r="X247" i="1" s="1"/>
  <c r="AN248" i="1"/>
  <c r="V248" i="1" s="1"/>
  <c r="AI248" i="1"/>
  <c r="N258" i="1"/>
  <c r="M258" i="1"/>
  <c r="T258" i="1" s="1"/>
  <c r="P257" i="1"/>
  <c r="R257" i="1"/>
  <c r="AT250" i="1"/>
  <c r="AP250" i="1" s="1"/>
  <c r="AS250" i="1"/>
  <c r="O258" i="1"/>
  <c r="S258" i="1"/>
  <c r="Q258" i="1"/>
  <c r="AJ248" i="1" l="1"/>
  <c r="AL248" i="1" s="1"/>
  <c r="W248" i="1" s="1"/>
  <c r="U248" i="1"/>
  <c r="AV258" i="1"/>
  <c r="AH250" i="1"/>
  <c r="AK250" i="1"/>
  <c r="AG250" i="1"/>
  <c r="AX258" i="1"/>
  <c r="AW258" i="1"/>
  <c r="AU258" i="1"/>
  <c r="AO248" i="1"/>
  <c r="AQ248" i="1" s="1"/>
  <c r="X248" i="1" s="1"/>
  <c r="AN249" i="1"/>
  <c r="V249" i="1" s="1"/>
  <c r="AI249" i="1"/>
  <c r="N259" i="1"/>
  <c r="M259" i="1"/>
  <c r="T259" i="1" s="1"/>
  <c r="P258" i="1"/>
  <c r="R258" i="1"/>
  <c r="AT251" i="1"/>
  <c r="AP251" i="1" s="1"/>
  <c r="AS251" i="1"/>
  <c r="O259" i="1"/>
  <c r="S259" i="1"/>
  <c r="Q259" i="1"/>
  <c r="AJ249" i="1" l="1"/>
  <c r="AL249" i="1" s="1"/>
  <c r="W249" i="1" s="1"/>
  <c r="U249" i="1"/>
  <c r="AV259" i="1"/>
  <c r="AH251" i="1"/>
  <c r="AK251" i="1"/>
  <c r="AG251" i="1"/>
  <c r="AX259" i="1"/>
  <c r="AW259" i="1"/>
  <c r="AU259" i="1"/>
  <c r="AO249" i="1"/>
  <c r="AQ249" i="1" s="1"/>
  <c r="X249" i="1" s="1"/>
  <c r="AI250" i="1"/>
  <c r="AN250" i="1"/>
  <c r="V250" i="1" s="1"/>
  <c r="N260" i="1"/>
  <c r="M260" i="1"/>
  <c r="T260" i="1" s="1"/>
  <c r="P259" i="1"/>
  <c r="R259" i="1"/>
  <c r="AT252" i="1"/>
  <c r="AP252" i="1" s="1"/>
  <c r="AS252" i="1"/>
  <c r="O260" i="1"/>
  <c r="Q260" i="1"/>
  <c r="S260" i="1"/>
  <c r="AJ250" i="1" l="1"/>
  <c r="AL250" i="1" s="1"/>
  <c r="W250" i="1" s="1"/>
  <c r="U250" i="1"/>
  <c r="AV260" i="1"/>
  <c r="AH252" i="1"/>
  <c r="AK252" i="1"/>
  <c r="AG252" i="1"/>
  <c r="AX260" i="1"/>
  <c r="AU260" i="1"/>
  <c r="AW260" i="1"/>
  <c r="AO250" i="1"/>
  <c r="AQ250" i="1" s="1"/>
  <c r="X250" i="1" s="1"/>
  <c r="AN251" i="1"/>
  <c r="V251" i="1" s="1"/>
  <c r="AI251" i="1"/>
  <c r="N261" i="1"/>
  <c r="M261" i="1"/>
  <c r="T261" i="1" s="1"/>
  <c r="R260" i="1"/>
  <c r="P260" i="1"/>
  <c r="AS253" i="1"/>
  <c r="AT253" i="1"/>
  <c r="AP253" i="1" s="1"/>
  <c r="O261" i="1"/>
  <c r="S261" i="1"/>
  <c r="Q261" i="1"/>
  <c r="AJ251" i="1" l="1"/>
  <c r="AL251" i="1" s="1"/>
  <c r="W251" i="1" s="1"/>
  <c r="U251" i="1"/>
  <c r="AV261" i="1"/>
  <c r="AH253" i="1"/>
  <c r="AK253" i="1"/>
  <c r="AG253" i="1"/>
  <c r="AX261" i="1"/>
  <c r="AU261" i="1"/>
  <c r="AW261" i="1"/>
  <c r="AO251" i="1"/>
  <c r="AQ251" i="1" s="1"/>
  <c r="X251" i="1" s="1"/>
  <c r="AN252" i="1"/>
  <c r="V252" i="1" s="1"/>
  <c r="AI252" i="1"/>
  <c r="N262" i="1"/>
  <c r="M262" i="1"/>
  <c r="T262" i="1" s="1"/>
  <c r="P261" i="1"/>
  <c r="R261" i="1"/>
  <c r="AT254" i="1"/>
  <c r="AP254" i="1" s="1"/>
  <c r="AS254" i="1"/>
  <c r="S262" i="1"/>
  <c r="Q262" i="1"/>
  <c r="O262" i="1"/>
  <c r="AJ252" i="1" l="1"/>
  <c r="AL252" i="1" s="1"/>
  <c r="W252" i="1" s="1"/>
  <c r="U252" i="1"/>
  <c r="AV262" i="1"/>
  <c r="AH254" i="1"/>
  <c r="AK254" i="1"/>
  <c r="AG254" i="1"/>
  <c r="AX262" i="1"/>
  <c r="AW262" i="1"/>
  <c r="AU262" i="1"/>
  <c r="AO252" i="1"/>
  <c r="AQ252" i="1" s="1"/>
  <c r="X252" i="1" s="1"/>
  <c r="AN253" i="1"/>
  <c r="V253" i="1" s="1"/>
  <c r="AI253" i="1"/>
  <c r="N263" i="1"/>
  <c r="M263" i="1"/>
  <c r="T263" i="1" s="1"/>
  <c r="P262" i="1"/>
  <c r="R262" i="1"/>
  <c r="AS255" i="1"/>
  <c r="AT255" i="1"/>
  <c r="AP255" i="1" s="1"/>
  <c r="O263" i="1"/>
  <c r="Q263" i="1"/>
  <c r="S263" i="1"/>
  <c r="AJ253" i="1" l="1"/>
  <c r="AL253" i="1" s="1"/>
  <c r="W253" i="1" s="1"/>
  <c r="U253" i="1"/>
  <c r="AV263" i="1"/>
  <c r="AH255" i="1"/>
  <c r="AK255" i="1"/>
  <c r="AG255" i="1"/>
  <c r="AX263" i="1"/>
  <c r="AW263" i="1"/>
  <c r="AU263" i="1"/>
  <c r="AO253" i="1"/>
  <c r="AQ253" i="1" s="1"/>
  <c r="X253" i="1" s="1"/>
  <c r="AN254" i="1"/>
  <c r="V254" i="1" s="1"/>
  <c r="AI254" i="1"/>
  <c r="N264" i="1"/>
  <c r="M264" i="1"/>
  <c r="T264" i="1" s="1"/>
  <c r="P263" i="1"/>
  <c r="R263" i="1"/>
  <c r="AS256" i="1"/>
  <c r="AT256" i="1"/>
  <c r="AP256" i="1" s="1"/>
  <c r="S264" i="1"/>
  <c r="O264" i="1"/>
  <c r="Q264" i="1"/>
  <c r="AJ254" i="1" l="1"/>
  <c r="AL254" i="1" s="1"/>
  <c r="W254" i="1" s="1"/>
  <c r="U254" i="1"/>
  <c r="AV264" i="1"/>
  <c r="AH256" i="1"/>
  <c r="AK256" i="1"/>
  <c r="AG256" i="1"/>
  <c r="AX264" i="1"/>
  <c r="AW264" i="1"/>
  <c r="AU264" i="1"/>
  <c r="AO254" i="1"/>
  <c r="AQ254" i="1" s="1"/>
  <c r="X254" i="1" s="1"/>
  <c r="AN255" i="1"/>
  <c r="V255" i="1" s="1"/>
  <c r="AI255" i="1"/>
  <c r="N265" i="1"/>
  <c r="M265" i="1"/>
  <c r="T265" i="1" s="1"/>
  <c r="R264" i="1"/>
  <c r="P264" i="1"/>
  <c r="AS257" i="1"/>
  <c r="AT257" i="1"/>
  <c r="AP257" i="1" s="1"/>
  <c r="O265" i="1"/>
  <c r="Q265" i="1"/>
  <c r="S265" i="1"/>
  <c r="AJ255" i="1" l="1"/>
  <c r="AL255" i="1" s="1"/>
  <c r="W255" i="1" s="1"/>
  <c r="U255" i="1"/>
  <c r="AV265" i="1"/>
  <c r="AH257" i="1"/>
  <c r="AK257" i="1"/>
  <c r="AG257" i="1"/>
  <c r="AX265" i="1"/>
  <c r="AU265" i="1"/>
  <c r="AW265" i="1"/>
  <c r="AO255" i="1"/>
  <c r="AQ255" i="1" s="1"/>
  <c r="X255" i="1" s="1"/>
  <c r="AN256" i="1"/>
  <c r="V256" i="1" s="1"/>
  <c r="AI256" i="1"/>
  <c r="N266" i="1"/>
  <c r="M266" i="1"/>
  <c r="T266" i="1" s="1"/>
  <c r="P265" i="1"/>
  <c r="R265" i="1"/>
  <c r="AS258" i="1"/>
  <c r="AT258" i="1"/>
  <c r="AP258" i="1" s="1"/>
  <c r="Q266" i="1"/>
  <c r="O266" i="1"/>
  <c r="S266" i="1"/>
  <c r="AJ256" i="1" l="1"/>
  <c r="AL256" i="1" s="1"/>
  <c r="W256" i="1" s="1"/>
  <c r="U256" i="1"/>
  <c r="AV266" i="1"/>
  <c r="AH258" i="1"/>
  <c r="AK258" i="1"/>
  <c r="AG258" i="1"/>
  <c r="AX266" i="1"/>
  <c r="AW266" i="1"/>
  <c r="AU266" i="1"/>
  <c r="AO256" i="1"/>
  <c r="AQ256" i="1" s="1"/>
  <c r="X256" i="1" s="1"/>
  <c r="AN257" i="1"/>
  <c r="V257" i="1" s="1"/>
  <c r="AI257" i="1"/>
  <c r="N267" i="1"/>
  <c r="M267" i="1"/>
  <c r="T267" i="1" s="1"/>
  <c r="R266" i="1"/>
  <c r="P266" i="1"/>
  <c r="AS259" i="1"/>
  <c r="AT259" i="1"/>
  <c r="AP259" i="1" s="1"/>
  <c r="O267" i="1"/>
  <c r="S267" i="1"/>
  <c r="Q267" i="1"/>
  <c r="AJ257" i="1" l="1"/>
  <c r="AL257" i="1" s="1"/>
  <c r="W257" i="1" s="1"/>
  <c r="U257" i="1"/>
  <c r="AV267" i="1"/>
  <c r="AH259" i="1"/>
  <c r="AK259" i="1"/>
  <c r="AG259" i="1"/>
  <c r="AX267" i="1"/>
  <c r="AW267" i="1"/>
  <c r="AU267" i="1"/>
  <c r="AO257" i="1"/>
  <c r="AQ257" i="1" s="1"/>
  <c r="X257" i="1" s="1"/>
  <c r="AN258" i="1"/>
  <c r="V258" i="1" s="1"/>
  <c r="AI258" i="1"/>
  <c r="N268" i="1"/>
  <c r="M268" i="1"/>
  <c r="T268" i="1" s="1"/>
  <c r="P267" i="1"/>
  <c r="R267" i="1"/>
  <c r="AT260" i="1"/>
  <c r="AP260" i="1" s="1"/>
  <c r="AS260" i="1"/>
  <c r="O268" i="1"/>
  <c r="S268" i="1"/>
  <c r="Q268" i="1"/>
  <c r="AJ258" i="1" l="1"/>
  <c r="AL258" i="1" s="1"/>
  <c r="W258" i="1" s="1"/>
  <c r="U258" i="1"/>
  <c r="AV268" i="1"/>
  <c r="AH260" i="1"/>
  <c r="AK260" i="1"/>
  <c r="AG260" i="1"/>
  <c r="AX268" i="1"/>
  <c r="AU268" i="1"/>
  <c r="AW268" i="1"/>
  <c r="AO258" i="1"/>
  <c r="AQ258" i="1" s="1"/>
  <c r="X258" i="1" s="1"/>
  <c r="AN259" i="1"/>
  <c r="V259" i="1" s="1"/>
  <c r="AI259" i="1"/>
  <c r="N269" i="1"/>
  <c r="M269" i="1"/>
  <c r="T269" i="1" s="1"/>
  <c r="R268" i="1"/>
  <c r="P268" i="1"/>
  <c r="AS261" i="1"/>
  <c r="AT261" i="1"/>
  <c r="AP261" i="1" s="1"/>
  <c r="O269" i="1"/>
  <c r="S269" i="1"/>
  <c r="Q269" i="1"/>
  <c r="AJ259" i="1" l="1"/>
  <c r="AL259" i="1" s="1"/>
  <c r="W259" i="1" s="1"/>
  <c r="U259" i="1"/>
  <c r="AV269" i="1"/>
  <c r="AH261" i="1"/>
  <c r="AK261" i="1"/>
  <c r="AG261" i="1"/>
  <c r="AX269" i="1"/>
  <c r="AU269" i="1"/>
  <c r="AW269" i="1"/>
  <c r="AO259" i="1"/>
  <c r="AQ259" i="1" s="1"/>
  <c r="X259" i="1" s="1"/>
  <c r="AN260" i="1"/>
  <c r="V260" i="1" s="1"/>
  <c r="AI260" i="1"/>
  <c r="N270" i="1"/>
  <c r="M270" i="1"/>
  <c r="T270" i="1" s="1"/>
  <c r="P269" i="1"/>
  <c r="R269" i="1"/>
  <c r="AT262" i="1"/>
  <c r="AP262" i="1" s="1"/>
  <c r="AS262" i="1"/>
  <c r="Q270" i="1"/>
  <c r="O270" i="1"/>
  <c r="S270" i="1"/>
  <c r="AJ260" i="1" l="1"/>
  <c r="AL260" i="1" s="1"/>
  <c r="W260" i="1" s="1"/>
  <c r="U260" i="1"/>
  <c r="AV270" i="1"/>
  <c r="AH262" i="1"/>
  <c r="AK262" i="1"/>
  <c r="AG262" i="1"/>
  <c r="AX270" i="1"/>
  <c r="AW270" i="1"/>
  <c r="AU270" i="1"/>
  <c r="AO260" i="1"/>
  <c r="AQ260" i="1" s="1"/>
  <c r="X260" i="1" s="1"/>
  <c r="AN261" i="1"/>
  <c r="V261" i="1" s="1"/>
  <c r="AI261" i="1"/>
  <c r="N271" i="1"/>
  <c r="M271" i="1"/>
  <c r="T271" i="1" s="1"/>
  <c r="P270" i="1"/>
  <c r="R270" i="1"/>
  <c r="AS263" i="1"/>
  <c r="AT263" i="1"/>
  <c r="AP263" i="1" s="1"/>
  <c r="S271" i="1"/>
  <c r="O271" i="1"/>
  <c r="Q271" i="1"/>
  <c r="AJ261" i="1" l="1"/>
  <c r="AL261" i="1" s="1"/>
  <c r="W261" i="1" s="1"/>
  <c r="U261" i="1"/>
  <c r="AV271" i="1"/>
  <c r="AH263" i="1"/>
  <c r="AK263" i="1"/>
  <c r="AG263" i="1"/>
  <c r="AX271" i="1"/>
  <c r="AU271" i="1"/>
  <c r="AW271" i="1"/>
  <c r="AO261" i="1"/>
  <c r="AQ261" i="1" s="1"/>
  <c r="X261" i="1" s="1"/>
  <c r="AN262" i="1"/>
  <c r="V262" i="1" s="1"/>
  <c r="AI262" i="1"/>
  <c r="N272" i="1"/>
  <c r="M272" i="1"/>
  <c r="T272" i="1" s="1"/>
  <c r="R271" i="1"/>
  <c r="P271" i="1"/>
  <c r="AS264" i="1"/>
  <c r="AT264" i="1"/>
  <c r="AP264" i="1" s="1"/>
  <c r="O272" i="1"/>
  <c r="Q272" i="1"/>
  <c r="S272" i="1"/>
  <c r="AJ262" i="1" l="1"/>
  <c r="AL262" i="1" s="1"/>
  <c r="W262" i="1" s="1"/>
  <c r="U262" i="1"/>
  <c r="AV272" i="1"/>
  <c r="AH264" i="1"/>
  <c r="AK264" i="1"/>
  <c r="AG264" i="1"/>
  <c r="AX272" i="1"/>
  <c r="AW272" i="1"/>
  <c r="AU272" i="1"/>
  <c r="AO262" i="1"/>
  <c r="AQ262" i="1" s="1"/>
  <c r="X262" i="1" s="1"/>
  <c r="AN263" i="1"/>
  <c r="V263" i="1" s="1"/>
  <c r="AI263" i="1"/>
  <c r="N273" i="1"/>
  <c r="M273" i="1"/>
  <c r="T273" i="1" s="1"/>
  <c r="R272" i="1"/>
  <c r="P272" i="1"/>
  <c r="AS265" i="1"/>
  <c r="AT265" i="1"/>
  <c r="AP265" i="1" s="1"/>
  <c r="O273" i="1"/>
  <c r="S273" i="1"/>
  <c r="Q273" i="1"/>
  <c r="AJ263" i="1" l="1"/>
  <c r="AL263" i="1" s="1"/>
  <c r="W263" i="1" s="1"/>
  <c r="U263" i="1"/>
  <c r="AV273" i="1"/>
  <c r="AH265" i="1"/>
  <c r="AK265" i="1"/>
  <c r="AG265" i="1"/>
  <c r="AX273" i="1"/>
  <c r="AW273" i="1"/>
  <c r="AU273" i="1"/>
  <c r="AO263" i="1"/>
  <c r="AQ263" i="1" s="1"/>
  <c r="X263" i="1" s="1"/>
  <c r="AN264" i="1"/>
  <c r="V264" i="1" s="1"/>
  <c r="AI264" i="1"/>
  <c r="N274" i="1"/>
  <c r="M274" i="1"/>
  <c r="T274" i="1" s="1"/>
  <c r="P273" i="1"/>
  <c r="R273" i="1"/>
  <c r="AT266" i="1"/>
  <c r="AP266" i="1" s="1"/>
  <c r="AS266" i="1"/>
  <c r="S274" i="1"/>
  <c r="O274" i="1"/>
  <c r="Q274" i="1"/>
  <c r="AJ264" i="1" l="1"/>
  <c r="AL264" i="1" s="1"/>
  <c r="W264" i="1" s="1"/>
  <c r="U264" i="1"/>
  <c r="AV274" i="1"/>
  <c r="AH266" i="1"/>
  <c r="AK266" i="1"/>
  <c r="AG266" i="1"/>
  <c r="AX274" i="1"/>
  <c r="AU274" i="1"/>
  <c r="AW274" i="1"/>
  <c r="AO264" i="1"/>
  <c r="AQ264" i="1" s="1"/>
  <c r="X264" i="1" s="1"/>
  <c r="AN265" i="1"/>
  <c r="V265" i="1" s="1"/>
  <c r="AI265" i="1"/>
  <c r="N275" i="1"/>
  <c r="M275" i="1"/>
  <c r="T275" i="1" s="1"/>
  <c r="P274" i="1"/>
  <c r="R274" i="1"/>
  <c r="AT267" i="1"/>
  <c r="AP267" i="1" s="1"/>
  <c r="AS267" i="1"/>
  <c r="S275" i="1"/>
  <c r="Q275" i="1"/>
  <c r="O275" i="1"/>
  <c r="AJ265" i="1" l="1"/>
  <c r="AL265" i="1" s="1"/>
  <c r="W265" i="1" s="1"/>
  <c r="U265" i="1"/>
  <c r="AV275" i="1"/>
  <c r="AH267" i="1"/>
  <c r="AK267" i="1"/>
  <c r="AG267" i="1"/>
  <c r="AX275" i="1"/>
  <c r="AW275" i="1"/>
  <c r="AU275" i="1"/>
  <c r="AO265" i="1"/>
  <c r="AQ265" i="1" s="1"/>
  <c r="X265" i="1" s="1"/>
  <c r="AI266" i="1"/>
  <c r="AN266" i="1"/>
  <c r="V266" i="1" s="1"/>
  <c r="N276" i="1"/>
  <c r="M276" i="1"/>
  <c r="T276" i="1" s="1"/>
  <c r="R275" i="1"/>
  <c r="P275" i="1"/>
  <c r="AS268" i="1"/>
  <c r="AT268" i="1"/>
  <c r="AP268" i="1" s="1"/>
  <c r="Q276" i="1"/>
  <c r="S276" i="1"/>
  <c r="O276" i="1"/>
  <c r="AJ266" i="1" l="1"/>
  <c r="AL266" i="1" s="1"/>
  <c r="W266" i="1" s="1"/>
  <c r="U266" i="1"/>
  <c r="AV276" i="1"/>
  <c r="AH268" i="1"/>
  <c r="AK268" i="1"/>
  <c r="AG268" i="1"/>
  <c r="AX276" i="1"/>
  <c r="AU276" i="1"/>
  <c r="AW276" i="1"/>
  <c r="AO266" i="1"/>
  <c r="AQ266" i="1" s="1"/>
  <c r="X266" i="1" s="1"/>
  <c r="AN267" i="1"/>
  <c r="V267" i="1" s="1"/>
  <c r="AI267" i="1"/>
  <c r="N277" i="1"/>
  <c r="M277" i="1"/>
  <c r="T277" i="1" s="1"/>
  <c r="R276" i="1"/>
  <c r="P276" i="1"/>
  <c r="AT269" i="1"/>
  <c r="AP269" i="1" s="1"/>
  <c r="AS269" i="1"/>
  <c r="Q277" i="1"/>
  <c r="S277" i="1"/>
  <c r="O277" i="1"/>
  <c r="AJ267" i="1" l="1"/>
  <c r="AL267" i="1" s="1"/>
  <c r="W267" i="1" s="1"/>
  <c r="U267" i="1"/>
  <c r="AV277" i="1"/>
  <c r="AH269" i="1"/>
  <c r="AK269" i="1"/>
  <c r="AG269" i="1"/>
  <c r="AX277" i="1"/>
  <c r="AU277" i="1"/>
  <c r="AW277" i="1"/>
  <c r="AO267" i="1"/>
  <c r="AQ267" i="1" s="1"/>
  <c r="X267" i="1" s="1"/>
  <c r="AN268" i="1"/>
  <c r="V268" i="1" s="1"/>
  <c r="AI268" i="1"/>
  <c r="N278" i="1"/>
  <c r="M278" i="1"/>
  <c r="T278" i="1" s="1"/>
  <c r="P277" i="1"/>
  <c r="R277" i="1"/>
  <c r="AS270" i="1"/>
  <c r="AT270" i="1"/>
  <c r="AP270" i="1" s="1"/>
  <c r="Q278" i="1"/>
  <c r="S278" i="1"/>
  <c r="O278" i="1"/>
  <c r="AJ268" i="1" l="1"/>
  <c r="AL268" i="1" s="1"/>
  <c r="W268" i="1" s="1"/>
  <c r="U268" i="1"/>
  <c r="AV278" i="1"/>
  <c r="AH270" i="1"/>
  <c r="AK270" i="1"/>
  <c r="AG270" i="1"/>
  <c r="AX278" i="1"/>
  <c r="AW278" i="1"/>
  <c r="AU278" i="1"/>
  <c r="AO268" i="1"/>
  <c r="AQ268" i="1" s="1"/>
  <c r="X268" i="1" s="1"/>
  <c r="AN269" i="1"/>
  <c r="V269" i="1" s="1"/>
  <c r="AI269" i="1"/>
  <c r="N279" i="1"/>
  <c r="M279" i="1"/>
  <c r="T279" i="1" s="1"/>
  <c r="P278" i="1"/>
  <c r="R278" i="1"/>
  <c r="AT271" i="1"/>
  <c r="AP271" i="1" s="1"/>
  <c r="AS271" i="1"/>
  <c r="S279" i="1"/>
  <c r="Q279" i="1"/>
  <c r="O279" i="1"/>
  <c r="AJ269" i="1" l="1"/>
  <c r="AL269" i="1" s="1"/>
  <c r="W269" i="1" s="1"/>
  <c r="U269" i="1"/>
  <c r="AV279" i="1"/>
  <c r="AH271" i="1"/>
  <c r="AK271" i="1"/>
  <c r="AG271" i="1"/>
  <c r="AX279" i="1"/>
  <c r="AU279" i="1"/>
  <c r="AW279" i="1"/>
  <c r="AO269" i="1"/>
  <c r="AQ269" i="1" s="1"/>
  <c r="X269" i="1" s="1"/>
  <c r="AN270" i="1"/>
  <c r="V270" i="1" s="1"/>
  <c r="AI270" i="1"/>
  <c r="N280" i="1"/>
  <c r="M280" i="1"/>
  <c r="T280" i="1" s="1"/>
  <c r="P279" i="1"/>
  <c r="R279" i="1"/>
  <c r="AS272" i="1"/>
  <c r="AT272" i="1"/>
  <c r="AP272" i="1" s="1"/>
  <c r="Q280" i="1"/>
  <c r="O280" i="1"/>
  <c r="S280" i="1"/>
  <c r="AJ270" i="1" l="1"/>
  <c r="AL270" i="1" s="1"/>
  <c r="W270" i="1" s="1"/>
  <c r="U270" i="1"/>
  <c r="AV280" i="1"/>
  <c r="AH272" i="1"/>
  <c r="AK272" i="1"/>
  <c r="AG272" i="1"/>
  <c r="AX280" i="1"/>
  <c r="AW280" i="1"/>
  <c r="AU280" i="1"/>
  <c r="AO270" i="1"/>
  <c r="AQ270" i="1" s="1"/>
  <c r="X270" i="1" s="1"/>
  <c r="AN271" i="1"/>
  <c r="V271" i="1" s="1"/>
  <c r="AI271" i="1"/>
  <c r="N281" i="1"/>
  <c r="M281" i="1"/>
  <c r="T281" i="1" s="1"/>
  <c r="R280" i="1"/>
  <c r="P280" i="1"/>
  <c r="AS273" i="1"/>
  <c r="AT273" i="1"/>
  <c r="AP273" i="1" s="1"/>
  <c r="O281" i="1"/>
  <c r="S281" i="1"/>
  <c r="Q281" i="1"/>
  <c r="AJ271" i="1" l="1"/>
  <c r="AL271" i="1" s="1"/>
  <c r="W271" i="1" s="1"/>
  <c r="U271" i="1"/>
  <c r="AV281" i="1"/>
  <c r="AH273" i="1"/>
  <c r="AK273" i="1"/>
  <c r="AG273" i="1"/>
  <c r="AX281" i="1"/>
  <c r="AW281" i="1"/>
  <c r="AU281" i="1"/>
  <c r="AO271" i="1"/>
  <c r="AQ271" i="1" s="1"/>
  <c r="X271" i="1" s="1"/>
  <c r="AN272" i="1"/>
  <c r="V272" i="1" s="1"/>
  <c r="AI272" i="1"/>
  <c r="N282" i="1"/>
  <c r="M282" i="1"/>
  <c r="T282" i="1" s="1"/>
  <c r="P281" i="1"/>
  <c r="R281" i="1"/>
  <c r="AT275" i="1"/>
  <c r="AP275" i="1" s="1"/>
  <c r="AT274" i="1"/>
  <c r="AP274" i="1" s="1"/>
  <c r="AS274" i="1"/>
  <c r="AS275" i="1"/>
  <c r="Q282" i="1"/>
  <c r="S282" i="1"/>
  <c r="O282" i="1"/>
  <c r="AJ272" i="1" l="1"/>
  <c r="AL272" i="1" s="1"/>
  <c r="W272" i="1" s="1"/>
  <c r="U272" i="1"/>
  <c r="AV282" i="1"/>
  <c r="AH274" i="1"/>
  <c r="AK274" i="1"/>
  <c r="AH275" i="1"/>
  <c r="AK275" i="1"/>
  <c r="AG274" i="1"/>
  <c r="AG275" i="1"/>
  <c r="AX282" i="1"/>
  <c r="AW282" i="1"/>
  <c r="AU282" i="1"/>
  <c r="AO272" i="1"/>
  <c r="AQ272" i="1" s="1"/>
  <c r="X272" i="1" s="1"/>
  <c r="AN273" i="1"/>
  <c r="V273" i="1" s="1"/>
  <c r="AI273" i="1"/>
  <c r="N283" i="1"/>
  <c r="M283" i="1"/>
  <c r="T283" i="1" s="1"/>
  <c r="R282" i="1"/>
  <c r="P282" i="1"/>
  <c r="S283" i="1"/>
  <c r="Q283" i="1"/>
  <c r="O283" i="1"/>
  <c r="AJ273" i="1" l="1"/>
  <c r="AL273" i="1" s="1"/>
  <c r="W273" i="1" s="1"/>
  <c r="U273" i="1"/>
  <c r="AV283" i="1"/>
  <c r="AX283" i="1"/>
  <c r="AW283" i="1"/>
  <c r="AU283" i="1"/>
  <c r="AO273" i="1"/>
  <c r="AQ273" i="1" s="1"/>
  <c r="X273" i="1" s="1"/>
  <c r="AN275" i="1"/>
  <c r="V275" i="1" s="1"/>
  <c r="AI275" i="1"/>
  <c r="AI274" i="1"/>
  <c r="AN274" i="1"/>
  <c r="V274" i="1" s="1"/>
  <c r="N284" i="1"/>
  <c r="M284" i="1"/>
  <c r="T284" i="1" s="1"/>
  <c r="R283" i="1"/>
  <c r="P283" i="1"/>
  <c r="AS276" i="1"/>
  <c r="AT276" i="1"/>
  <c r="AP276" i="1" s="1"/>
  <c r="AS277" i="1"/>
  <c r="S284" i="1"/>
  <c r="Q284" i="1"/>
  <c r="O284" i="1"/>
  <c r="AJ274" i="1" l="1"/>
  <c r="AL274" i="1" s="1"/>
  <c r="W274" i="1" s="1"/>
  <c r="U274" i="1"/>
  <c r="AJ275" i="1"/>
  <c r="AL275" i="1" s="1"/>
  <c r="W275" i="1" s="1"/>
  <c r="U275" i="1"/>
  <c r="AV284" i="1"/>
  <c r="AH276" i="1"/>
  <c r="AK276" i="1"/>
  <c r="AG276" i="1"/>
  <c r="AX284" i="1"/>
  <c r="AW284" i="1"/>
  <c r="AU284" i="1"/>
  <c r="AO275" i="1"/>
  <c r="AQ275" i="1" s="1"/>
  <c r="X275" i="1" s="1"/>
  <c r="AO274" i="1"/>
  <c r="AQ274" i="1" s="1"/>
  <c r="X274" i="1" s="1"/>
  <c r="N285" i="1"/>
  <c r="M285" i="1"/>
  <c r="T285" i="1" s="1"/>
  <c r="R284" i="1"/>
  <c r="P284" i="1"/>
  <c r="AT277" i="1"/>
  <c r="AP277" i="1" s="1"/>
  <c r="AT278" i="1"/>
  <c r="AP278" i="1" s="1"/>
  <c r="AS278" i="1"/>
  <c r="S285" i="1"/>
  <c r="O285" i="1"/>
  <c r="Q285" i="1"/>
  <c r="AV285" i="1" l="1"/>
  <c r="AH278" i="1"/>
  <c r="AK278" i="1"/>
  <c r="AH277" i="1"/>
  <c r="AK277" i="1"/>
  <c r="AG277" i="1"/>
  <c r="AG278" i="1"/>
  <c r="AX285" i="1"/>
  <c r="AU285" i="1"/>
  <c r="AW285" i="1"/>
  <c r="AN276" i="1"/>
  <c r="V276" i="1" s="1"/>
  <c r="AI276" i="1"/>
  <c r="N286" i="1"/>
  <c r="M286" i="1"/>
  <c r="T286" i="1" s="1"/>
  <c r="P285" i="1"/>
  <c r="R285" i="1"/>
  <c r="AT279" i="1"/>
  <c r="AP279" i="1" s="1"/>
  <c r="AS279" i="1"/>
  <c r="O286" i="1"/>
  <c r="S286" i="1"/>
  <c r="Q286" i="1"/>
  <c r="AJ276" i="1" l="1"/>
  <c r="AL276" i="1" s="1"/>
  <c r="W276" i="1" s="1"/>
  <c r="U276" i="1"/>
  <c r="AV286" i="1"/>
  <c r="AH279" i="1"/>
  <c r="AK279" i="1"/>
  <c r="AG279" i="1"/>
  <c r="AX286" i="1"/>
  <c r="AW286" i="1"/>
  <c r="AU286" i="1"/>
  <c r="AO276" i="1"/>
  <c r="AQ276" i="1" s="1"/>
  <c r="X276" i="1" s="1"/>
  <c r="AN277" i="1"/>
  <c r="V277" i="1" s="1"/>
  <c r="AI277" i="1"/>
  <c r="AI278" i="1"/>
  <c r="AN278" i="1"/>
  <c r="V278" i="1" s="1"/>
  <c r="N287" i="1"/>
  <c r="M287" i="1"/>
  <c r="T287" i="1" s="1"/>
  <c r="R286" i="1"/>
  <c r="P286" i="1"/>
  <c r="AT280" i="1"/>
  <c r="AP280" i="1" s="1"/>
  <c r="AS280" i="1"/>
  <c r="O287" i="1"/>
  <c r="Q287" i="1"/>
  <c r="S287" i="1"/>
  <c r="AJ278" i="1" l="1"/>
  <c r="AL278" i="1" s="1"/>
  <c r="W278" i="1" s="1"/>
  <c r="U278" i="1"/>
  <c r="AJ277" i="1"/>
  <c r="AL277" i="1" s="1"/>
  <c r="W277" i="1" s="1"/>
  <c r="U277" i="1"/>
  <c r="AV287" i="1"/>
  <c r="AH280" i="1"/>
  <c r="AK280" i="1"/>
  <c r="AG280" i="1"/>
  <c r="AX287" i="1"/>
  <c r="AW287" i="1"/>
  <c r="AU287" i="1"/>
  <c r="AO277" i="1"/>
  <c r="AQ277" i="1" s="1"/>
  <c r="X277" i="1" s="1"/>
  <c r="AO278" i="1"/>
  <c r="AQ278" i="1" s="1"/>
  <c r="X278" i="1" s="1"/>
  <c r="AN279" i="1"/>
  <c r="V279" i="1" s="1"/>
  <c r="AI279" i="1"/>
  <c r="N288" i="1"/>
  <c r="M288" i="1"/>
  <c r="T288" i="1" s="1"/>
  <c r="R287" i="1"/>
  <c r="P287" i="1"/>
  <c r="AT281" i="1"/>
  <c r="AP281" i="1" s="1"/>
  <c r="AS281" i="1"/>
  <c r="S288" i="1"/>
  <c r="O288" i="1"/>
  <c r="Q288" i="1"/>
  <c r="AJ279" i="1" l="1"/>
  <c r="AL279" i="1" s="1"/>
  <c r="W279" i="1" s="1"/>
  <c r="U279" i="1"/>
  <c r="AV288" i="1"/>
  <c r="AH281" i="1"/>
  <c r="AK281" i="1"/>
  <c r="AG281" i="1"/>
  <c r="AX288" i="1"/>
  <c r="AW288" i="1"/>
  <c r="AU288" i="1"/>
  <c r="AO279" i="1"/>
  <c r="AQ279" i="1" s="1"/>
  <c r="X279" i="1" s="1"/>
  <c r="AN280" i="1"/>
  <c r="V280" i="1" s="1"/>
  <c r="AI280" i="1"/>
  <c r="N289" i="1"/>
  <c r="M289" i="1"/>
  <c r="T289" i="1" s="1"/>
  <c r="R288" i="1"/>
  <c r="P288" i="1"/>
  <c r="AT282" i="1"/>
  <c r="AP282" i="1" s="1"/>
  <c r="AS282" i="1"/>
  <c r="Q289" i="1"/>
  <c r="O289" i="1"/>
  <c r="S289" i="1"/>
  <c r="AJ280" i="1" l="1"/>
  <c r="AL280" i="1" s="1"/>
  <c r="W280" i="1" s="1"/>
  <c r="U280" i="1"/>
  <c r="AV289" i="1"/>
  <c r="AH282" i="1"/>
  <c r="AK282" i="1"/>
  <c r="AG282" i="1"/>
  <c r="AX289" i="1"/>
  <c r="AW289" i="1"/>
  <c r="AU289" i="1"/>
  <c r="AO280" i="1"/>
  <c r="AQ280" i="1" s="1"/>
  <c r="X280" i="1" s="1"/>
  <c r="AN281" i="1"/>
  <c r="V281" i="1" s="1"/>
  <c r="AI281" i="1"/>
  <c r="N290" i="1"/>
  <c r="M290" i="1"/>
  <c r="T290" i="1" s="1"/>
  <c r="P289" i="1"/>
  <c r="R289" i="1"/>
  <c r="AT283" i="1"/>
  <c r="AP283" i="1" s="1"/>
  <c r="AS283" i="1"/>
  <c r="S290" i="1"/>
  <c r="Q290" i="1"/>
  <c r="O290" i="1"/>
  <c r="AJ281" i="1" l="1"/>
  <c r="AL281" i="1" s="1"/>
  <c r="W281" i="1" s="1"/>
  <c r="U281" i="1"/>
  <c r="AV290" i="1"/>
  <c r="AH283" i="1"/>
  <c r="AK283" i="1"/>
  <c r="AG283" i="1"/>
  <c r="AX290" i="1"/>
  <c r="AW290" i="1"/>
  <c r="AU290" i="1"/>
  <c r="AO281" i="1"/>
  <c r="AQ281" i="1" s="1"/>
  <c r="X281" i="1" s="1"/>
  <c r="AN282" i="1"/>
  <c r="V282" i="1" s="1"/>
  <c r="AI282" i="1"/>
  <c r="N291" i="1"/>
  <c r="M291" i="1"/>
  <c r="T291" i="1" s="1"/>
  <c r="R290" i="1"/>
  <c r="P290" i="1"/>
  <c r="AT284" i="1"/>
  <c r="AP284" i="1" s="1"/>
  <c r="AS284" i="1"/>
  <c r="S291" i="1"/>
  <c r="O291" i="1"/>
  <c r="Q291" i="1"/>
  <c r="AJ282" i="1" l="1"/>
  <c r="AL282" i="1" s="1"/>
  <c r="W282" i="1" s="1"/>
  <c r="U282" i="1"/>
  <c r="AV291" i="1"/>
  <c r="AH284" i="1"/>
  <c r="AK284" i="1"/>
  <c r="AG284" i="1"/>
  <c r="AX291" i="1"/>
  <c r="AW291" i="1"/>
  <c r="AU291" i="1"/>
  <c r="AO282" i="1"/>
  <c r="AQ282" i="1" s="1"/>
  <c r="X282" i="1" s="1"/>
  <c r="AN283" i="1"/>
  <c r="V283" i="1" s="1"/>
  <c r="AI283" i="1"/>
  <c r="N292" i="1"/>
  <c r="M292" i="1"/>
  <c r="T292" i="1" s="1"/>
  <c r="R291" i="1"/>
  <c r="P291" i="1"/>
  <c r="AT285" i="1"/>
  <c r="AP285" i="1" s="1"/>
  <c r="AS285" i="1"/>
  <c r="Q292" i="1"/>
  <c r="O292" i="1"/>
  <c r="S292" i="1"/>
  <c r="AJ283" i="1" l="1"/>
  <c r="AL283" i="1" s="1"/>
  <c r="W283" i="1" s="1"/>
  <c r="U283" i="1"/>
  <c r="AV292" i="1"/>
  <c r="AH285" i="1"/>
  <c r="AK285" i="1"/>
  <c r="AG285" i="1"/>
  <c r="AX292" i="1"/>
  <c r="AW292" i="1"/>
  <c r="AU292" i="1"/>
  <c r="AO283" i="1"/>
  <c r="AQ283" i="1" s="1"/>
  <c r="X283" i="1" s="1"/>
  <c r="AN284" i="1"/>
  <c r="V284" i="1" s="1"/>
  <c r="AI284" i="1"/>
  <c r="N293" i="1"/>
  <c r="M293" i="1"/>
  <c r="T293" i="1" s="1"/>
  <c r="R292" i="1"/>
  <c r="P292" i="1"/>
  <c r="AT286" i="1"/>
  <c r="AP286" i="1" s="1"/>
  <c r="AS286" i="1"/>
  <c r="S293" i="1"/>
  <c r="Q293" i="1"/>
  <c r="O293" i="1"/>
  <c r="AJ284" i="1" l="1"/>
  <c r="AL284" i="1" s="1"/>
  <c r="W284" i="1" s="1"/>
  <c r="U284" i="1"/>
  <c r="AV293" i="1"/>
  <c r="AH286" i="1"/>
  <c r="AK286" i="1"/>
  <c r="AG286" i="1"/>
  <c r="AX293" i="1"/>
  <c r="AW293" i="1"/>
  <c r="AU293" i="1"/>
  <c r="AO284" i="1"/>
  <c r="AQ284" i="1" s="1"/>
  <c r="X284" i="1" s="1"/>
  <c r="AN285" i="1"/>
  <c r="V285" i="1" s="1"/>
  <c r="AI285" i="1"/>
  <c r="N294" i="1"/>
  <c r="M294" i="1"/>
  <c r="T294" i="1" s="1"/>
  <c r="P293" i="1"/>
  <c r="R293" i="1"/>
  <c r="AT287" i="1"/>
  <c r="AP287" i="1" s="1"/>
  <c r="AS287" i="1"/>
  <c r="S294" i="1"/>
  <c r="Q294" i="1"/>
  <c r="O294" i="1"/>
  <c r="AJ285" i="1" l="1"/>
  <c r="AL285" i="1" s="1"/>
  <c r="W285" i="1" s="1"/>
  <c r="U285" i="1"/>
  <c r="AV294" i="1"/>
  <c r="AH287" i="1"/>
  <c r="AK287" i="1"/>
  <c r="AG287" i="1"/>
  <c r="AX294" i="1"/>
  <c r="AW294" i="1"/>
  <c r="AU294" i="1"/>
  <c r="AO285" i="1"/>
  <c r="AQ285" i="1" s="1"/>
  <c r="X285" i="1" s="1"/>
  <c r="AN286" i="1"/>
  <c r="V286" i="1" s="1"/>
  <c r="AI286" i="1"/>
  <c r="N295" i="1"/>
  <c r="M295" i="1"/>
  <c r="T295" i="1" s="1"/>
  <c r="P294" i="1"/>
  <c r="R294" i="1"/>
  <c r="AT288" i="1"/>
  <c r="AP288" i="1" s="1"/>
  <c r="AS288" i="1"/>
  <c r="Q295" i="1"/>
  <c r="O295" i="1"/>
  <c r="S295" i="1"/>
  <c r="AJ286" i="1" l="1"/>
  <c r="AL286" i="1" s="1"/>
  <c r="W286" i="1" s="1"/>
  <c r="U286" i="1"/>
  <c r="AV295" i="1"/>
  <c r="AH288" i="1"/>
  <c r="AK288" i="1"/>
  <c r="AG288" i="1"/>
  <c r="AX295" i="1"/>
  <c r="AW295" i="1"/>
  <c r="AU295" i="1"/>
  <c r="AO286" i="1"/>
  <c r="AQ286" i="1" s="1"/>
  <c r="X286" i="1" s="1"/>
  <c r="AN287" i="1"/>
  <c r="V287" i="1" s="1"/>
  <c r="AI287" i="1"/>
  <c r="N296" i="1"/>
  <c r="M296" i="1"/>
  <c r="T296" i="1" s="1"/>
  <c r="R295" i="1"/>
  <c r="P295" i="1"/>
  <c r="AT289" i="1"/>
  <c r="AP289" i="1" s="1"/>
  <c r="AS289" i="1"/>
  <c r="Q296" i="1"/>
  <c r="S296" i="1"/>
  <c r="O296" i="1"/>
  <c r="AJ287" i="1" l="1"/>
  <c r="AL287" i="1" s="1"/>
  <c r="W287" i="1" s="1"/>
  <c r="U287" i="1"/>
  <c r="AV296" i="1"/>
  <c r="AH289" i="1"/>
  <c r="AK289" i="1"/>
  <c r="AG289" i="1"/>
  <c r="AX296" i="1"/>
  <c r="AW296" i="1"/>
  <c r="AU296" i="1"/>
  <c r="AO287" i="1"/>
  <c r="AQ287" i="1" s="1"/>
  <c r="X287" i="1" s="1"/>
  <c r="AN288" i="1"/>
  <c r="V288" i="1" s="1"/>
  <c r="AI288" i="1"/>
  <c r="N297" i="1"/>
  <c r="M297" i="1"/>
  <c r="T297" i="1" s="1"/>
  <c r="R296" i="1"/>
  <c r="P296" i="1"/>
  <c r="AT290" i="1"/>
  <c r="AP290" i="1" s="1"/>
  <c r="AS290" i="1"/>
  <c r="S297" i="1"/>
  <c r="O297" i="1"/>
  <c r="Q297" i="1"/>
  <c r="AJ288" i="1" l="1"/>
  <c r="AL288" i="1" s="1"/>
  <c r="W288" i="1" s="1"/>
  <c r="U288" i="1"/>
  <c r="AV297" i="1"/>
  <c r="AH290" i="1"/>
  <c r="AK290" i="1"/>
  <c r="AG290" i="1"/>
  <c r="AX297" i="1"/>
  <c r="AW297" i="1"/>
  <c r="AU297" i="1"/>
  <c r="AO288" i="1"/>
  <c r="AQ288" i="1" s="1"/>
  <c r="X288" i="1" s="1"/>
  <c r="AN289" i="1"/>
  <c r="V289" i="1" s="1"/>
  <c r="AI289" i="1"/>
  <c r="N298" i="1"/>
  <c r="M298" i="1"/>
  <c r="T298" i="1" s="1"/>
  <c r="P297" i="1"/>
  <c r="R297" i="1"/>
  <c r="AT291" i="1"/>
  <c r="AP291" i="1" s="1"/>
  <c r="AS291" i="1"/>
  <c r="S298" i="1"/>
  <c r="Q298" i="1"/>
  <c r="O298" i="1"/>
  <c r="AJ289" i="1" l="1"/>
  <c r="AL289" i="1" s="1"/>
  <c r="W289" i="1" s="1"/>
  <c r="U289" i="1"/>
  <c r="AV298" i="1"/>
  <c r="AH291" i="1"/>
  <c r="AK291" i="1"/>
  <c r="AG291" i="1"/>
  <c r="AX298" i="1"/>
  <c r="AW298" i="1"/>
  <c r="AU298" i="1"/>
  <c r="AO289" i="1"/>
  <c r="AQ289" i="1" s="1"/>
  <c r="X289" i="1" s="1"/>
  <c r="AN290" i="1"/>
  <c r="V290" i="1" s="1"/>
  <c r="AI290" i="1"/>
  <c r="N299" i="1"/>
  <c r="M299" i="1"/>
  <c r="T299" i="1" s="1"/>
  <c r="R298" i="1"/>
  <c r="P298" i="1"/>
  <c r="AT292" i="1"/>
  <c r="AP292" i="1" s="1"/>
  <c r="AS292" i="1"/>
  <c r="Q299" i="1"/>
  <c r="S299" i="1"/>
  <c r="O299" i="1"/>
  <c r="AJ290" i="1" l="1"/>
  <c r="AL290" i="1" s="1"/>
  <c r="W290" i="1" s="1"/>
  <c r="U290" i="1"/>
  <c r="AV299" i="1"/>
  <c r="AH292" i="1"/>
  <c r="AK292" i="1"/>
  <c r="AG292" i="1"/>
  <c r="AX299" i="1"/>
  <c r="AW299" i="1"/>
  <c r="AU299" i="1"/>
  <c r="AO290" i="1"/>
  <c r="AQ290" i="1" s="1"/>
  <c r="X290" i="1" s="1"/>
  <c r="AN291" i="1"/>
  <c r="V291" i="1" s="1"/>
  <c r="AI291" i="1"/>
  <c r="N300" i="1"/>
  <c r="M300" i="1"/>
  <c r="T300" i="1" s="1"/>
  <c r="R299" i="1"/>
  <c r="P299" i="1"/>
  <c r="AT293" i="1"/>
  <c r="AP293" i="1" s="1"/>
  <c r="AS293" i="1"/>
  <c r="S300" i="1"/>
  <c r="O300" i="1"/>
  <c r="Q300" i="1"/>
  <c r="AJ291" i="1" l="1"/>
  <c r="AL291" i="1" s="1"/>
  <c r="W291" i="1" s="1"/>
  <c r="U291" i="1"/>
  <c r="AV300" i="1"/>
  <c r="AH293" i="1"/>
  <c r="AK293" i="1"/>
  <c r="AG293" i="1"/>
  <c r="AX300" i="1"/>
  <c r="AW300" i="1"/>
  <c r="AU300" i="1"/>
  <c r="AO291" i="1"/>
  <c r="AQ291" i="1" s="1"/>
  <c r="X291" i="1" s="1"/>
  <c r="AN292" i="1"/>
  <c r="V292" i="1" s="1"/>
  <c r="AI292" i="1"/>
  <c r="N301" i="1"/>
  <c r="M301" i="1"/>
  <c r="T301" i="1" s="1"/>
  <c r="R300" i="1"/>
  <c r="P300" i="1"/>
  <c r="AT294" i="1"/>
  <c r="AP294" i="1" s="1"/>
  <c r="AS294" i="1"/>
  <c r="S301" i="1"/>
  <c r="Q301" i="1"/>
  <c r="O301" i="1"/>
  <c r="AJ292" i="1" l="1"/>
  <c r="AL292" i="1" s="1"/>
  <c r="W292" i="1" s="1"/>
  <c r="U292" i="1"/>
  <c r="AV301" i="1"/>
  <c r="AH294" i="1"/>
  <c r="AK294" i="1"/>
  <c r="AG294" i="1"/>
  <c r="AX301" i="1"/>
  <c r="AW301" i="1"/>
  <c r="AU301" i="1"/>
  <c r="AO292" i="1"/>
  <c r="AQ292" i="1" s="1"/>
  <c r="X292" i="1" s="1"/>
  <c r="AN293" i="1"/>
  <c r="V293" i="1" s="1"/>
  <c r="AI293" i="1"/>
  <c r="N302" i="1"/>
  <c r="M302" i="1"/>
  <c r="T302" i="1" s="1"/>
  <c r="P301" i="1"/>
  <c r="R301" i="1"/>
  <c r="AT295" i="1"/>
  <c r="AP295" i="1" s="1"/>
  <c r="AS295" i="1"/>
  <c r="O302" i="1"/>
  <c r="S302" i="1"/>
  <c r="Q302" i="1"/>
  <c r="AJ293" i="1" l="1"/>
  <c r="AL293" i="1" s="1"/>
  <c r="W293" i="1" s="1"/>
  <c r="U293" i="1"/>
  <c r="AV302" i="1"/>
  <c r="AH295" i="1"/>
  <c r="AK295" i="1"/>
  <c r="AG295" i="1"/>
  <c r="AX302" i="1"/>
  <c r="AW302" i="1"/>
  <c r="AU302" i="1"/>
  <c r="AO293" i="1"/>
  <c r="AQ293" i="1" s="1"/>
  <c r="X293" i="1" s="1"/>
  <c r="AN294" i="1"/>
  <c r="V294" i="1" s="1"/>
  <c r="AI294" i="1"/>
  <c r="N303" i="1"/>
  <c r="M303" i="1"/>
  <c r="T303" i="1" s="1"/>
  <c r="R302" i="1"/>
  <c r="P302" i="1"/>
  <c r="AT296" i="1"/>
  <c r="AP296" i="1" s="1"/>
  <c r="AS296" i="1"/>
  <c r="S303" i="1"/>
  <c r="Q303" i="1"/>
  <c r="O303" i="1"/>
  <c r="AJ294" i="1" l="1"/>
  <c r="AL294" i="1" s="1"/>
  <c r="W294" i="1" s="1"/>
  <c r="U294" i="1"/>
  <c r="AV303" i="1"/>
  <c r="AH296" i="1"/>
  <c r="AK296" i="1"/>
  <c r="AG296" i="1"/>
  <c r="AX303" i="1"/>
  <c r="AU303" i="1"/>
  <c r="AW303" i="1"/>
  <c r="AO294" i="1"/>
  <c r="AQ294" i="1" s="1"/>
  <c r="X294" i="1" s="1"/>
  <c r="AN295" i="1"/>
  <c r="V295" i="1" s="1"/>
  <c r="AI295" i="1"/>
  <c r="N304" i="1"/>
  <c r="M304" i="1"/>
  <c r="T304" i="1" s="1"/>
  <c r="R303" i="1"/>
  <c r="P303" i="1"/>
  <c r="AT297" i="1"/>
  <c r="AP297" i="1" s="1"/>
  <c r="AS297" i="1"/>
  <c r="Q304" i="1"/>
  <c r="S304" i="1"/>
  <c r="O304" i="1"/>
  <c r="AJ295" i="1" l="1"/>
  <c r="AL295" i="1" s="1"/>
  <c r="W295" i="1" s="1"/>
  <c r="U295" i="1"/>
  <c r="AV304" i="1"/>
  <c r="AH297" i="1"/>
  <c r="AK297" i="1"/>
  <c r="AG297" i="1"/>
  <c r="AX304" i="1"/>
  <c r="AW304" i="1"/>
  <c r="AU304" i="1"/>
  <c r="AO295" i="1"/>
  <c r="AQ295" i="1" s="1"/>
  <c r="X295" i="1" s="1"/>
  <c r="AN296" i="1"/>
  <c r="V296" i="1" s="1"/>
  <c r="AI296" i="1"/>
  <c r="N305" i="1"/>
  <c r="M305" i="1"/>
  <c r="T305" i="1" s="1"/>
  <c r="R304" i="1"/>
  <c r="P304" i="1"/>
  <c r="AS298" i="1"/>
  <c r="AT298" i="1"/>
  <c r="AP298" i="1" s="1"/>
  <c r="O305" i="1"/>
  <c r="S305" i="1"/>
  <c r="Q305" i="1"/>
  <c r="AJ296" i="1" l="1"/>
  <c r="AL296" i="1" s="1"/>
  <c r="W296" i="1" s="1"/>
  <c r="U296" i="1"/>
  <c r="AV305" i="1"/>
  <c r="AH298" i="1"/>
  <c r="AK298" i="1"/>
  <c r="AG298" i="1"/>
  <c r="AX305" i="1"/>
  <c r="AW305" i="1"/>
  <c r="AU305" i="1"/>
  <c r="AO296" i="1"/>
  <c r="AQ296" i="1" s="1"/>
  <c r="X296" i="1" s="1"/>
  <c r="AN297" i="1"/>
  <c r="V297" i="1" s="1"/>
  <c r="AI297" i="1"/>
  <c r="N306" i="1"/>
  <c r="M306" i="1"/>
  <c r="T306" i="1" s="1"/>
  <c r="P305" i="1"/>
  <c r="R305" i="1"/>
  <c r="AS299" i="1"/>
  <c r="AT299" i="1"/>
  <c r="AP299" i="1" s="1"/>
  <c r="S306" i="1"/>
  <c r="Q306" i="1"/>
  <c r="O306" i="1"/>
  <c r="AJ297" i="1" l="1"/>
  <c r="AL297" i="1" s="1"/>
  <c r="W297" i="1" s="1"/>
  <c r="U297" i="1"/>
  <c r="AV306" i="1"/>
  <c r="AH299" i="1"/>
  <c r="AK299" i="1"/>
  <c r="AG299" i="1"/>
  <c r="AX306" i="1"/>
  <c r="AW306" i="1"/>
  <c r="AU306" i="1"/>
  <c r="AO297" i="1"/>
  <c r="AQ297" i="1" s="1"/>
  <c r="X297" i="1" s="1"/>
  <c r="AN298" i="1"/>
  <c r="V298" i="1" s="1"/>
  <c r="AI298" i="1"/>
  <c r="N307" i="1"/>
  <c r="M307" i="1"/>
  <c r="T307" i="1" s="1"/>
  <c r="R306" i="1"/>
  <c r="P306" i="1"/>
  <c r="AS300" i="1"/>
  <c r="AT300" i="1"/>
  <c r="AP300" i="1" s="1"/>
  <c r="S307" i="1"/>
  <c r="Q307" i="1"/>
  <c r="O307" i="1"/>
  <c r="AJ298" i="1" l="1"/>
  <c r="AL298" i="1" s="1"/>
  <c r="W298" i="1" s="1"/>
  <c r="U298" i="1"/>
  <c r="AV307" i="1"/>
  <c r="AH300" i="1"/>
  <c r="AK300" i="1"/>
  <c r="AG300" i="1"/>
  <c r="AX307" i="1"/>
  <c r="AU307" i="1"/>
  <c r="AW307" i="1"/>
  <c r="AO298" i="1"/>
  <c r="AQ298" i="1" s="1"/>
  <c r="X298" i="1" s="1"/>
  <c r="AN299" i="1"/>
  <c r="V299" i="1" s="1"/>
  <c r="AI299" i="1"/>
  <c r="N308" i="1"/>
  <c r="M308" i="1"/>
  <c r="T308" i="1" s="1"/>
  <c r="R307" i="1"/>
  <c r="P307" i="1"/>
  <c r="AS301" i="1"/>
  <c r="AT301" i="1"/>
  <c r="AP301" i="1" s="1"/>
  <c r="S308" i="1"/>
  <c r="Q308" i="1"/>
  <c r="O308" i="1"/>
  <c r="AJ299" i="1" l="1"/>
  <c r="AL299" i="1" s="1"/>
  <c r="W299" i="1" s="1"/>
  <c r="U299" i="1"/>
  <c r="AV308" i="1"/>
  <c r="AH301" i="1"/>
  <c r="AK301" i="1"/>
  <c r="AG301" i="1"/>
  <c r="AX308" i="1"/>
  <c r="AW308" i="1"/>
  <c r="AU308" i="1"/>
  <c r="AO299" i="1"/>
  <c r="AQ299" i="1" s="1"/>
  <c r="X299" i="1" s="1"/>
  <c r="AN300" i="1"/>
  <c r="V300" i="1" s="1"/>
  <c r="AI300" i="1"/>
  <c r="N309" i="1"/>
  <c r="M309" i="1"/>
  <c r="T309" i="1" s="1"/>
  <c r="R308" i="1"/>
  <c r="P308" i="1"/>
  <c r="AS302" i="1"/>
  <c r="AT302" i="1"/>
  <c r="AP302" i="1" s="1"/>
  <c r="O309" i="1"/>
  <c r="Q309" i="1"/>
  <c r="S309" i="1"/>
  <c r="AJ300" i="1" l="1"/>
  <c r="AL300" i="1" s="1"/>
  <c r="W300" i="1" s="1"/>
  <c r="U300" i="1"/>
  <c r="AV309" i="1"/>
  <c r="AH302" i="1"/>
  <c r="AK302" i="1"/>
  <c r="AG302" i="1"/>
  <c r="AX309" i="1"/>
  <c r="AW309" i="1"/>
  <c r="AU309" i="1"/>
  <c r="AO300" i="1"/>
  <c r="AQ300" i="1" s="1"/>
  <c r="X300" i="1" s="1"/>
  <c r="AN301" i="1"/>
  <c r="V301" i="1" s="1"/>
  <c r="AI301" i="1"/>
  <c r="N310" i="1"/>
  <c r="M310" i="1"/>
  <c r="T310" i="1" s="1"/>
  <c r="P309" i="1"/>
  <c r="R309" i="1"/>
  <c r="AS303" i="1"/>
  <c r="AT303" i="1"/>
  <c r="AP303" i="1" s="1"/>
  <c r="S310" i="1"/>
  <c r="O310" i="1"/>
  <c r="Q310" i="1"/>
  <c r="AJ301" i="1" l="1"/>
  <c r="AL301" i="1" s="1"/>
  <c r="W301" i="1" s="1"/>
  <c r="U301" i="1"/>
  <c r="AV310" i="1"/>
  <c r="AH303" i="1"/>
  <c r="AK303" i="1"/>
  <c r="AG303" i="1"/>
  <c r="AX310" i="1"/>
  <c r="AW310" i="1"/>
  <c r="AU310" i="1"/>
  <c r="AO301" i="1"/>
  <c r="AQ301" i="1" s="1"/>
  <c r="X301" i="1" s="1"/>
  <c r="AI302" i="1"/>
  <c r="AN302" i="1"/>
  <c r="V302" i="1" s="1"/>
  <c r="N311" i="1"/>
  <c r="M311" i="1"/>
  <c r="T311" i="1" s="1"/>
  <c r="P310" i="1"/>
  <c r="R310" i="1"/>
  <c r="AS304" i="1"/>
  <c r="AT304" i="1"/>
  <c r="AP304" i="1" s="1"/>
  <c r="O311" i="1"/>
  <c r="Q311" i="1"/>
  <c r="S311" i="1"/>
  <c r="AJ302" i="1" l="1"/>
  <c r="AL302" i="1" s="1"/>
  <c r="W302" i="1" s="1"/>
  <c r="U302" i="1"/>
  <c r="AV311" i="1"/>
  <c r="AH304" i="1"/>
  <c r="AK304" i="1"/>
  <c r="AG304" i="1"/>
  <c r="AX311" i="1"/>
  <c r="AU311" i="1"/>
  <c r="AW311" i="1"/>
  <c r="AO302" i="1"/>
  <c r="AQ302" i="1" s="1"/>
  <c r="X302" i="1" s="1"/>
  <c r="AN303" i="1"/>
  <c r="V303" i="1" s="1"/>
  <c r="AI303" i="1"/>
  <c r="N312" i="1"/>
  <c r="M312" i="1"/>
  <c r="T312" i="1" s="1"/>
  <c r="R311" i="1"/>
  <c r="P311" i="1"/>
  <c r="AS305" i="1"/>
  <c r="AT305" i="1"/>
  <c r="AP305" i="1" s="1"/>
  <c r="O312" i="1"/>
  <c r="Q312" i="1"/>
  <c r="S312" i="1"/>
  <c r="AJ303" i="1" l="1"/>
  <c r="AL303" i="1" s="1"/>
  <c r="W303" i="1" s="1"/>
  <c r="U303" i="1"/>
  <c r="AV312" i="1"/>
  <c r="AH305" i="1"/>
  <c r="AK305" i="1"/>
  <c r="AG305" i="1"/>
  <c r="AX312" i="1"/>
  <c r="AW312" i="1"/>
  <c r="AU312" i="1"/>
  <c r="AO303" i="1"/>
  <c r="AQ303" i="1" s="1"/>
  <c r="X303" i="1" s="1"/>
  <c r="AN304" i="1"/>
  <c r="V304" i="1" s="1"/>
  <c r="AI304" i="1"/>
  <c r="N313" i="1"/>
  <c r="M313" i="1"/>
  <c r="T313" i="1" s="1"/>
  <c r="R312" i="1"/>
  <c r="P312" i="1"/>
  <c r="AS306" i="1"/>
  <c r="AT306" i="1"/>
  <c r="AP306" i="1" s="1"/>
  <c r="O313" i="1"/>
  <c r="Q313" i="1"/>
  <c r="S313" i="1"/>
  <c r="AJ304" i="1" l="1"/>
  <c r="AL304" i="1" s="1"/>
  <c r="W304" i="1" s="1"/>
  <c r="U304" i="1"/>
  <c r="AV313" i="1"/>
  <c r="AH306" i="1"/>
  <c r="AK306" i="1"/>
  <c r="AG306" i="1"/>
  <c r="AX313" i="1"/>
  <c r="AW313" i="1"/>
  <c r="AU313" i="1"/>
  <c r="AO304" i="1"/>
  <c r="AQ304" i="1" s="1"/>
  <c r="X304" i="1" s="1"/>
  <c r="AN305" i="1"/>
  <c r="V305" i="1" s="1"/>
  <c r="AI305" i="1"/>
  <c r="N314" i="1"/>
  <c r="M314" i="1"/>
  <c r="T314" i="1" s="1"/>
  <c r="P313" i="1"/>
  <c r="R313" i="1"/>
  <c r="AS307" i="1"/>
  <c r="AT307" i="1"/>
  <c r="AP307" i="1" s="1"/>
  <c r="Q314" i="1"/>
  <c r="S314" i="1"/>
  <c r="O314" i="1"/>
  <c r="AJ305" i="1" l="1"/>
  <c r="AL305" i="1" s="1"/>
  <c r="W305" i="1" s="1"/>
  <c r="U305" i="1"/>
  <c r="AV314" i="1"/>
  <c r="AH307" i="1"/>
  <c r="AK307" i="1"/>
  <c r="AG307" i="1"/>
  <c r="AX314" i="1"/>
  <c r="AW314" i="1"/>
  <c r="AU314" i="1"/>
  <c r="AO305" i="1"/>
  <c r="AQ305" i="1" s="1"/>
  <c r="X305" i="1" s="1"/>
  <c r="AI306" i="1"/>
  <c r="AN306" i="1"/>
  <c r="V306" i="1" s="1"/>
  <c r="N315" i="1"/>
  <c r="M315" i="1"/>
  <c r="T315" i="1" s="1"/>
  <c r="R314" i="1"/>
  <c r="P314" i="1"/>
  <c r="AS308" i="1"/>
  <c r="AT308" i="1"/>
  <c r="AP308" i="1" s="1"/>
  <c r="O315" i="1"/>
  <c r="S315" i="1"/>
  <c r="Q315" i="1"/>
  <c r="AJ306" i="1" l="1"/>
  <c r="AL306" i="1" s="1"/>
  <c r="W306" i="1" s="1"/>
  <c r="U306" i="1"/>
  <c r="AV315" i="1"/>
  <c r="AH308" i="1"/>
  <c r="AK308" i="1"/>
  <c r="AG308" i="1"/>
  <c r="AX315" i="1"/>
  <c r="AW315" i="1"/>
  <c r="AU315" i="1"/>
  <c r="AO306" i="1"/>
  <c r="AQ306" i="1" s="1"/>
  <c r="X306" i="1" s="1"/>
  <c r="AN307" i="1"/>
  <c r="V307" i="1" s="1"/>
  <c r="AI307" i="1"/>
  <c r="N316" i="1"/>
  <c r="M316" i="1"/>
  <c r="T316" i="1" s="1"/>
  <c r="R315" i="1"/>
  <c r="P315" i="1"/>
  <c r="AS309" i="1"/>
  <c r="AT309" i="1"/>
  <c r="AP309" i="1" s="1"/>
  <c r="Q316" i="1"/>
  <c r="O316" i="1"/>
  <c r="S316" i="1"/>
  <c r="AJ307" i="1" l="1"/>
  <c r="AL307" i="1" s="1"/>
  <c r="W307" i="1" s="1"/>
  <c r="U307" i="1"/>
  <c r="AV316" i="1"/>
  <c r="AH309" i="1"/>
  <c r="AK309" i="1"/>
  <c r="AG309" i="1"/>
  <c r="AX316" i="1"/>
  <c r="AW316" i="1"/>
  <c r="AU316" i="1"/>
  <c r="AO307" i="1"/>
  <c r="AQ307" i="1" s="1"/>
  <c r="X307" i="1" s="1"/>
  <c r="AN308" i="1"/>
  <c r="V308" i="1" s="1"/>
  <c r="AI308" i="1"/>
  <c r="N317" i="1"/>
  <c r="M317" i="1"/>
  <c r="T317" i="1" s="1"/>
  <c r="R316" i="1"/>
  <c r="P316" i="1"/>
  <c r="AS310" i="1"/>
  <c r="AT310" i="1"/>
  <c r="AP310" i="1" s="1"/>
  <c r="S317" i="1"/>
  <c r="Q317" i="1"/>
  <c r="O317" i="1"/>
  <c r="AJ308" i="1" l="1"/>
  <c r="AL308" i="1" s="1"/>
  <c r="W308" i="1" s="1"/>
  <c r="U308" i="1"/>
  <c r="AV317" i="1"/>
  <c r="AH310" i="1"/>
  <c r="AK310" i="1"/>
  <c r="AG310" i="1"/>
  <c r="AX317" i="1"/>
  <c r="AW317" i="1"/>
  <c r="AU317" i="1"/>
  <c r="AO308" i="1"/>
  <c r="AQ308" i="1" s="1"/>
  <c r="X308" i="1" s="1"/>
  <c r="AN309" i="1"/>
  <c r="V309" i="1" s="1"/>
  <c r="AI309" i="1"/>
  <c r="N318" i="1"/>
  <c r="M318" i="1"/>
  <c r="T318" i="1" s="1"/>
  <c r="P317" i="1"/>
  <c r="R317" i="1"/>
  <c r="AS311" i="1"/>
  <c r="AT311" i="1"/>
  <c r="AP311" i="1" s="1"/>
  <c r="S318" i="1"/>
  <c r="O318" i="1"/>
  <c r="Q318" i="1"/>
  <c r="AJ309" i="1" l="1"/>
  <c r="AL309" i="1" s="1"/>
  <c r="W309" i="1" s="1"/>
  <c r="U309" i="1"/>
  <c r="AV318" i="1"/>
  <c r="AH311" i="1"/>
  <c r="AK311" i="1"/>
  <c r="AG311" i="1"/>
  <c r="AX318" i="1"/>
  <c r="AW318" i="1"/>
  <c r="AU318" i="1"/>
  <c r="AO309" i="1"/>
  <c r="AQ309" i="1" s="1"/>
  <c r="X309" i="1" s="1"/>
  <c r="AN310" i="1"/>
  <c r="V310" i="1" s="1"/>
  <c r="AI310" i="1"/>
  <c r="N319" i="1"/>
  <c r="M319" i="1"/>
  <c r="T319" i="1" s="1"/>
  <c r="R318" i="1"/>
  <c r="P318" i="1"/>
  <c r="AS312" i="1"/>
  <c r="AT312" i="1"/>
  <c r="AP312" i="1" s="1"/>
  <c r="Q319" i="1"/>
  <c r="S319" i="1"/>
  <c r="O319" i="1"/>
  <c r="AJ310" i="1" l="1"/>
  <c r="AL310" i="1" s="1"/>
  <c r="W310" i="1" s="1"/>
  <c r="U310" i="1"/>
  <c r="AV319" i="1"/>
  <c r="AH312" i="1"/>
  <c r="AK312" i="1"/>
  <c r="AG312" i="1"/>
  <c r="AX319" i="1"/>
  <c r="AU319" i="1"/>
  <c r="AW319" i="1"/>
  <c r="AO310" i="1"/>
  <c r="AQ310" i="1" s="1"/>
  <c r="X310" i="1" s="1"/>
  <c r="AN311" i="1"/>
  <c r="V311" i="1" s="1"/>
  <c r="AI311" i="1"/>
  <c r="N320" i="1"/>
  <c r="M320" i="1"/>
  <c r="T320" i="1" s="1"/>
  <c r="R319" i="1"/>
  <c r="P319" i="1"/>
  <c r="AS313" i="1"/>
  <c r="AT313" i="1"/>
  <c r="AP313" i="1" s="1"/>
  <c r="O320" i="1"/>
  <c r="S320" i="1"/>
  <c r="Q320" i="1"/>
  <c r="AJ311" i="1" l="1"/>
  <c r="AL311" i="1" s="1"/>
  <c r="W311" i="1" s="1"/>
  <c r="U311" i="1"/>
  <c r="AV320" i="1"/>
  <c r="AH313" i="1"/>
  <c r="AK313" i="1"/>
  <c r="AG313" i="1"/>
  <c r="AX320" i="1"/>
  <c r="AW320" i="1"/>
  <c r="AU320" i="1"/>
  <c r="AO311" i="1"/>
  <c r="AQ311" i="1" s="1"/>
  <c r="X311" i="1" s="1"/>
  <c r="AN312" i="1"/>
  <c r="V312" i="1" s="1"/>
  <c r="AI312" i="1"/>
  <c r="N321" i="1"/>
  <c r="M321" i="1"/>
  <c r="T321" i="1" s="1"/>
  <c r="R320" i="1"/>
  <c r="P320" i="1"/>
  <c r="AS314" i="1"/>
  <c r="AT314" i="1"/>
  <c r="AP314" i="1" s="1"/>
  <c r="S321" i="1"/>
  <c r="Q321" i="1"/>
  <c r="O321" i="1"/>
  <c r="AJ312" i="1" l="1"/>
  <c r="AL312" i="1" s="1"/>
  <c r="W312" i="1" s="1"/>
  <c r="U312" i="1"/>
  <c r="AV321" i="1"/>
  <c r="AH314" i="1"/>
  <c r="AK314" i="1"/>
  <c r="AG314" i="1"/>
  <c r="AX321" i="1"/>
  <c r="AW321" i="1"/>
  <c r="AU321" i="1"/>
  <c r="AO312" i="1"/>
  <c r="AQ312" i="1" s="1"/>
  <c r="X312" i="1" s="1"/>
  <c r="AN313" i="1"/>
  <c r="V313" i="1" s="1"/>
  <c r="AI313" i="1"/>
  <c r="N322" i="1"/>
  <c r="M322" i="1"/>
  <c r="T322" i="1" s="1"/>
  <c r="P321" i="1"/>
  <c r="R321" i="1"/>
  <c r="AS315" i="1"/>
  <c r="AT315" i="1"/>
  <c r="AP315" i="1" s="1"/>
  <c r="O322" i="1"/>
  <c r="Q322" i="1"/>
  <c r="S322" i="1"/>
  <c r="AJ313" i="1" l="1"/>
  <c r="AL313" i="1" s="1"/>
  <c r="W313" i="1" s="1"/>
  <c r="U313" i="1"/>
  <c r="AV322" i="1"/>
  <c r="AH315" i="1"/>
  <c r="AK315" i="1"/>
  <c r="AG315" i="1"/>
  <c r="AX322" i="1"/>
  <c r="AW322" i="1"/>
  <c r="AU322" i="1"/>
  <c r="AO313" i="1"/>
  <c r="AQ313" i="1" s="1"/>
  <c r="X313" i="1" s="1"/>
  <c r="AI314" i="1"/>
  <c r="AN314" i="1"/>
  <c r="V314" i="1" s="1"/>
  <c r="N323" i="1"/>
  <c r="M323" i="1"/>
  <c r="T323" i="1" s="1"/>
  <c r="R322" i="1"/>
  <c r="P322" i="1"/>
  <c r="AS316" i="1"/>
  <c r="AT316" i="1"/>
  <c r="AP316" i="1" s="1"/>
  <c r="O323" i="1"/>
  <c r="S323" i="1"/>
  <c r="Q323" i="1"/>
  <c r="AJ314" i="1" l="1"/>
  <c r="AL314" i="1" s="1"/>
  <c r="W314" i="1" s="1"/>
  <c r="U314" i="1"/>
  <c r="AV323" i="1"/>
  <c r="AH316" i="1"/>
  <c r="AK316" i="1"/>
  <c r="AG316" i="1"/>
  <c r="AX323" i="1"/>
  <c r="AU323" i="1"/>
  <c r="AW323" i="1"/>
  <c r="AO314" i="1"/>
  <c r="AQ314" i="1" s="1"/>
  <c r="X314" i="1" s="1"/>
  <c r="AN315" i="1"/>
  <c r="V315" i="1" s="1"/>
  <c r="AI315" i="1"/>
  <c r="N324" i="1"/>
  <c r="M324" i="1"/>
  <c r="T324" i="1" s="1"/>
  <c r="R323" i="1"/>
  <c r="P323" i="1"/>
  <c r="AS317" i="1"/>
  <c r="AT317" i="1"/>
  <c r="AP317" i="1" s="1"/>
  <c r="Q324" i="1"/>
  <c r="S324" i="1"/>
  <c r="O324" i="1"/>
  <c r="AJ315" i="1" l="1"/>
  <c r="AL315" i="1" s="1"/>
  <c r="W315" i="1" s="1"/>
  <c r="U315" i="1"/>
  <c r="AV324" i="1"/>
  <c r="AH317" i="1"/>
  <c r="AK317" i="1"/>
  <c r="AG317" i="1"/>
  <c r="AX324" i="1"/>
  <c r="AW324" i="1"/>
  <c r="AU324" i="1"/>
  <c r="AO315" i="1"/>
  <c r="AQ315" i="1" s="1"/>
  <c r="X315" i="1" s="1"/>
  <c r="AN316" i="1"/>
  <c r="V316" i="1" s="1"/>
  <c r="AI316" i="1"/>
  <c r="N325" i="1"/>
  <c r="M325" i="1"/>
  <c r="T325" i="1" s="1"/>
  <c r="R324" i="1"/>
  <c r="P324" i="1"/>
  <c r="AS318" i="1"/>
  <c r="AT318" i="1"/>
  <c r="AP318" i="1" s="1"/>
  <c r="Q325" i="1"/>
  <c r="S325" i="1"/>
  <c r="O325" i="1"/>
  <c r="AJ316" i="1" l="1"/>
  <c r="AL316" i="1" s="1"/>
  <c r="W316" i="1" s="1"/>
  <c r="U316" i="1"/>
  <c r="AV325" i="1"/>
  <c r="AH318" i="1"/>
  <c r="AK318" i="1"/>
  <c r="AG318" i="1"/>
  <c r="AX325" i="1"/>
  <c r="AW325" i="1"/>
  <c r="AU325" i="1"/>
  <c r="AO316" i="1"/>
  <c r="AQ316" i="1" s="1"/>
  <c r="X316" i="1" s="1"/>
  <c r="AN317" i="1"/>
  <c r="V317" i="1" s="1"/>
  <c r="AI317" i="1"/>
  <c r="N326" i="1"/>
  <c r="M326" i="1"/>
  <c r="T326" i="1" s="1"/>
  <c r="P325" i="1"/>
  <c r="R325" i="1"/>
  <c r="AS319" i="1"/>
  <c r="AT319" i="1"/>
  <c r="AP319" i="1" s="1"/>
  <c r="Q326" i="1"/>
  <c r="S326" i="1"/>
  <c r="O326" i="1"/>
  <c r="AJ317" i="1" l="1"/>
  <c r="AL317" i="1" s="1"/>
  <c r="W317" i="1" s="1"/>
  <c r="U317" i="1"/>
  <c r="AV326" i="1"/>
  <c r="AH319" i="1"/>
  <c r="AK319" i="1"/>
  <c r="AG319" i="1"/>
  <c r="AX326" i="1"/>
  <c r="AW326" i="1"/>
  <c r="AU326" i="1"/>
  <c r="AO317" i="1"/>
  <c r="AQ317" i="1" s="1"/>
  <c r="X317" i="1" s="1"/>
  <c r="AN318" i="1"/>
  <c r="V318" i="1" s="1"/>
  <c r="AI318" i="1"/>
  <c r="N327" i="1"/>
  <c r="M327" i="1"/>
  <c r="T327" i="1" s="1"/>
  <c r="P326" i="1"/>
  <c r="R326" i="1"/>
  <c r="AS320" i="1"/>
  <c r="AT320" i="1"/>
  <c r="AP320" i="1" s="1"/>
  <c r="Q327" i="1"/>
  <c r="S327" i="1"/>
  <c r="O327" i="1"/>
  <c r="AJ318" i="1" l="1"/>
  <c r="AL318" i="1" s="1"/>
  <c r="W318" i="1" s="1"/>
  <c r="U318" i="1"/>
  <c r="AV327" i="1"/>
  <c r="AH320" i="1"/>
  <c r="AK320" i="1"/>
  <c r="AG320" i="1"/>
  <c r="AX327" i="1"/>
  <c r="AU327" i="1"/>
  <c r="AW327" i="1"/>
  <c r="AO318" i="1"/>
  <c r="AQ318" i="1" s="1"/>
  <c r="X318" i="1" s="1"/>
  <c r="AN319" i="1"/>
  <c r="V319" i="1" s="1"/>
  <c r="AI319" i="1"/>
  <c r="N328" i="1"/>
  <c r="M328" i="1"/>
  <c r="T328" i="1" s="1"/>
  <c r="R327" i="1"/>
  <c r="P327" i="1"/>
  <c r="AS321" i="1"/>
  <c r="AT321" i="1"/>
  <c r="AP321" i="1" s="1"/>
  <c r="O328" i="1"/>
  <c r="S328" i="1"/>
  <c r="Q328" i="1"/>
  <c r="AJ319" i="1" l="1"/>
  <c r="AL319" i="1" s="1"/>
  <c r="W319" i="1" s="1"/>
  <c r="U319" i="1"/>
  <c r="AV328" i="1"/>
  <c r="AH321" i="1"/>
  <c r="AK321" i="1"/>
  <c r="AG321" i="1"/>
  <c r="AX328" i="1"/>
  <c r="AW328" i="1"/>
  <c r="AU328" i="1"/>
  <c r="AO319" i="1"/>
  <c r="AQ319" i="1" s="1"/>
  <c r="X319" i="1" s="1"/>
  <c r="AI320" i="1"/>
  <c r="AN320" i="1"/>
  <c r="V320" i="1" s="1"/>
  <c r="N329" i="1"/>
  <c r="M329" i="1"/>
  <c r="T329" i="1" s="1"/>
  <c r="R328" i="1"/>
  <c r="P328" i="1"/>
  <c r="AS322" i="1"/>
  <c r="AT322" i="1"/>
  <c r="AP322" i="1" s="1"/>
  <c r="Q329" i="1"/>
  <c r="S329" i="1"/>
  <c r="O329" i="1"/>
  <c r="AJ320" i="1" l="1"/>
  <c r="AL320" i="1" s="1"/>
  <c r="W320" i="1" s="1"/>
  <c r="U320" i="1"/>
  <c r="AV329" i="1"/>
  <c r="AH322" i="1"/>
  <c r="AK322" i="1"/>
  <c r="AG322" i="1"/>
  <c r="AX329" i="1"/>
  <c r="AW329" i="1"/>
  <c r="AU329" i="1"/>
  <c r="AO320" i="1"/>
  <c r="AQ320" i="1" s="1"/>
  <c r="X320" i="1" s="1"/>
  <c r="AN321" i="1"/>
  <c r="V321" i="1" s="1"/>
  <c r="AI321" i="1"/>
  <c r="N330" i="1"/>
  <c r="M330" i="1"/>
  <c r="T330" i="1" s="1"/>
  <c r="R329" i="1"/>
  <c r="P329" i="1"/>
  <c r="AS323" i="1"/>
  <c r="AT323" i="1"/>
  <c r="AP323" i="1" s="1"/>
  <c r="Q330" i="1"/>
  <c r="S330" i="1"/>
  <c r="O330" i="1"/>
  <c r="AJ321" i="1" l="1"/>
  <c r="AL321" i="1" s="1"/>
  <c r="W321" i="1" s="1"/>
  <c r="U321" i="1"/>
  <c r="AV330" i="1"/>
  <c r="AH323" i="1"/>
  <c r="AK323" i="1"/>
  <c r="AG323" i="1"/>
  <c r="AX330" i="1"/>
  <c r="AW330" i="1"/>
  <c r="AU330" i="1"/>
  <c r="AO321" i="1"/>
  <c r="AQ321" i="1" s="1"/>
  <c r="X321" i="1" s="1"/>
  <c r="AN322" i="1"/>
  <c r="V322" i="1" s="1"/>
  <c r="AI322" i="1"/>
  <c r="N331" i="1"/>
  <c r="M331" i="1"/>
  <c r="T331" i="1" s="1"/>
  <c r="R330" i="1"/>
  <c r="P330" i="1"/>
  <c r="AS324" i="1"/>
  <c r="AT324" i="1"/>
  <c r="AP324" i="1" s="1"/>
  <c r="S331" i="1"/>
  <c r="Q331" i="1"/>
  <c r="O331" i="1"/>
  <c r="AJ322" i="1" l="1"/>
  <c r="AL322" i="1" s="1"/>
  <c r="W322" i="1" s="1"/>
  <c r="U322" i="1"/>
  <c r="AV331" i="1"/>
  <c r="AH324" i="1"/>
  <c r="AK324" i="1"/>
  <c r="AG324" i="1"/>
  <c r="AX331" i="1"/>
  <c r="AW331" i="1"/>
  <c r="AU331" i="1"/>
  <c r="AO322" i="1"/>
  <c r="AQ322" i="1" s="1"/>
  <c r="X322" i="1" s="1"/>
  <c r="AN323" i="1"/>
  <c r="V323" i="1" s="1"/>
  <c r="AI323" i="1"/>
  <c r="N332" i="1"/>
  <c r="M332" i="1"/>
  <c r="T332" i="1" s="1"/>
  <c r="R331" i="1"/>
  <c r="P331" i="1"/>
  <c r="AS325" i="1"/>
  <c r="AT325" i="1"/>
  <c r="AP325" i="1" s="1"/>
  <c r="Q332" i="1"/>
  <c r="S332" i="1"/>
  <c r="O332" i="1"/>
  <c r="AJ323" i="1" l="1"/>
  <c r="AL323" i="1" s="1"/>
  <c r="W323" i="1" s="1"/>
  <c r="U323" i="1"/>
  <c r="AV332" i="1"/>
  <c r="AH325" i="1"/>
  <c r="AK325" i="1"/>
  <c r="AG325" i="1"/>
  <c r="AX332" i="1"/>
  <c r="AW332" i="1"/>
  <c r="AU332" i="1"/>
  <c r="AO323" i="1"/>
  <c r="AQ323" i="1" s="1"/>
  <c r="X323" i="1" s="1"/>
  <c r="AN324" i="1"/>
  <c r="V324" i="1" s="1"/>
  <c r="AI324" i="1"/>
  <c r="N333" i="1"/>
  <c r="M333" i="1"/>
  <c r="T333" i="1" s="1"/>
  <c r="R332" i="1"/>
  <c r="P332" i="1"/>
  <c r="AS326" i="1"/>
  <c r="AT326" i="1"/>
  <c r="AP326" i="1" s="1"/>
  <c r="S333" i="1"/>
  <c r="Q333" i="1"/>
  <c r="O333" i="1"/>
  <c r="AJ324" i="1" l="1"/>
  <c r="AL324" i="1" s="1"/>
  <c r="W324" i="1" s="1"/>
  <c r="U324" i="1"/>
  <c r="AV333" i="1"/>
  <c r="AH326" i="1"/>
  <c r="AK326" i="1"/>
  <c r="AG326" i="1"/>
  <c r="AX333" i="1"/>
  <c r="AW333" i="1"/>
  <c r="AU333" i="1"/>
  <c r="AO324" i="1"/>
  <c r="AQ324" i="1" s="1"/>
  <c r="X324" i="1" s="1"/>
  <c r="AN325" i="1"/>
  <c r="V325" i="1" s="1"/>
  <c r="AI325" i="1"/>
  <c r="N334" i="1"/>
  <c r="M334" i="1"/>
  <c r="T334" i="1" s="1"/>
  <c r="R333" i="1"/>
  <c r="P333" i="1"/>
  <c r="AS327" i="1"/>
  <c r="AT327" i="1"/>
  <c r="AP327" i="1" s="1"/>
  <c r="Q334" i="1"/>
  <c r="S334" i="1"/>
  <c r="O334" i="1"/>
  <c r="AJ325" i="1" l="1"/>
  <c r="AL325" i="1" s="1"/>
  <c r="W325" i="1" s="1"/>
  <c r="U325" i="1"/>
  <c r="AV334" i="1"/>
  <c r="AH327" i="1"/>
  <c r="AK327" i="1"/>
  <c r="AG327" i="1"/>
  <c r="AX334" i="1"/>
  <c r="AW334" i="1"/>
  <c r="AU334" i="1"/>
  <c r="AO325" i="1"/>
  <c r="AQ325" i="1" s="1"/>
  <c r="X325" i="1" s="1"/>
  <c r="AN326" i="1"/>
  <c r="V326" i="1" s="1"/>
  <c r="AI326" i="1"/>
  <c r="N335" i="1"/>
  <c r="M335" i="1"/>
  <c r="T335" i="1" s="1"/>
  <c r="R334" i="1"/>
  <c r="P334" i="1"/>
  <c r="AS328" i="1"/>
  <c r="AT328" i="1"/>
  <c r="AP328" i="1" s="1"/>
  <c r="O335" i="1"/>
  <c r="S335" i="1"/>
  <c r="Q335" i="1"/>
  <c r="AJ326" i="1" l="1"/>
  <c r="AL326" i="1" s="1"/>
  <c r="W326" i="1" s="1"/>
  <c r="U326" i="1"/>
  <c r="AV335" i="1"/>
  <c r="AH328" i="1"/>
  <c r="AK328" i="1"/>
  <c r="AG328" i="1"/>
  <c r="AX335" i="1"/>
  <c r="AU335" i="1"/>
  <c r="AW335" i="1"/>
  <c r="AO326" i="1"/>
  <c r="AQ326" i="1" s="1"/>
  <c r="X326" i="1" s="1"/>
  <c r="AN327" i="1"/>
  <c r="V327" i="1" s="1"/>
  <c r="AI327" i="1"/>
  <c r="N336" i="1"/>
  <c r="M336" i="1"/>
  <c r="T336" i="1" s="1"/>
  <c r="R335" i="1"/>
  <c r="P335" i="1"/>
  <c r="AS329" i="1"/>
  <c r="AT329" i="1"/>
  <c r="AP329" i="1" s="1"/>
  <c r="Q336" i="1"/>
  <c r="S336" i="1"/>
  <c r="O336" i="1"/>
  <c r="AJ327" i="1" l="1"/>
  <c r="AL327" i="1" s="1"/>
  <c r="W327" i="1" s="1"/>
  <c r="U327" i="1"/>
  <c r="AV336" i="1"/>
  <c r="AH329" i="1"/>
  <c r="AK329" i="1"/>
  <c r="AG329" i="1"/>
  <c r="AX336" i="1"/>
  <c r="AW336" i="1"/>
  <c r="AU336" i="1"/>
  <c r="AO327" i="1"/>
  <c r="AQ327" i="1" s="1"/>
  <c r="X327" i="1" s="1"/>
  <c r="AN328" i="1"/>
  <c r="V328" i="1" s="1"/>
  <c r="AI328" i="1"/>
  <c r="N337" i="1"/>
  <c r="M337" i="1"/>
  <c r="T337" i="1" s="1"/>
  <c r="R336" i="1"/>
  <c r="P336" i="1"/>
  <c r="AS330" i="1"/>
  <c r="AT330" i="1"/>
  <c r="AP330" i="1" s="1"/>
  <c r="S337" i="1"/>
  <c r="Q337" i="1"/>
  <c r="O337" i="1"/>
  <c r="AJ328" i="1" l="1"/>
  <c r="AL328" i="1" s="1"/>
  <c r="W328" i="1" s="1"/>
  <c r="U328" i="1"/>
  <c r="AV337" i="1"/>
  <c r="AH330" i="1"/>
  <c r="AK330" i="1"/>
  <c r="AG330" i="1"/>
  <c r="AX337" i="1"/>
  <c r="AW337" i="1"/>
  <c r="AU337" i="1"/>
  <c r="AO328" i="1"/>
  <c r="AQ328" i="1" s="1"/>
  <c r="X328" i="1" s="1"/>
  <c r="AN329" i="1"/>
  <c r="V329" i="1" s="1"/>
  <c r="AI329" i="1"/>
  <c r="N338" i="1"/>
  <c r="M338" i="1"/>
  <c r="T338" i="1" s="1"/>
  <c r="P337" i="1"/>
  <c r="R337" i="1"/>
  <c r="AS331" i="1"/>
  <c r="AT331" i="1"/>
  <c r="AP331" i="1" s="1"/>
  <c r="Q338" i="1"/>
  <c r="O338" i="1"/>
  <c r="S338" i="1"/>
  <c r="AJ329" i="1" l="1"/>
  <c r="AL329" i="1" s="1"/>
  <c r="W329" i="1" s="1"/>
  <c r="U329" i="1"/>
  <c r="AV338" i="1"/>
  <c r="AH331" i="1"/>
  <c r="AK331" i="1"/>
  <c r="AG331" i="1"/>
  <c r="AX338" i="1"/>
  <c r="AW338" i="1"/>
  <c r="AU338" i="1"/>
  <c r="AO329" i="1"/>
  <c r="AQ329" i="1" s="1"/>
  <c r="X329" i="1" s="1"/>
  <c r="AN330" i="1"/>
  <c r="V330" i="1" s="1"/>
  <c r="AI330" i="1"/>
  <c r="N339" i="1"/>
  <c r="M339" i="1"/>
  <c r="T339" i="1" s="1"/>
  <c r="R338" i="1"/>
  <c r="P338" i="1"/>
  <c r="AT332" i="1"/>
  <c r="AP332" i="1" s="1"/>
  <c r="AS332" i="1"/>
  <c r="Q339" i="1"/>
  <c r="S339" i="1"/>
  <c r="O339" i="1"/>
  <c r="AJ330" i="1" l="1"/>
  <c r="AL330" i="1" s="1"/>
  <c r="W330" i="1" s="1"/>
  <c r="U330" i="1"/>
  <c r="AV339" i="1"/>
  <c r="AH332" i="1"/>
  <c r="AK332" i="1"/>
  <c r="AG332" i="1"/>
  <c r="AX339" i="1"/>
  <c r="AU339" i="1"/>
  <c r="AW339" i="1"/>
  <c r="AO330" i="1"/>
  <c r="AQ330" i="1" s="1"/>
  <c r="X330" i="1" s="1"/>
  <c r="AN331" i="1"/>
  <c r="V331" i="1" s="1"/>
  <c r="AI331" i="1"/>
  <c r="N340" i="1"/>
  <c r="M340" i="1"/>
  <c r="T340" i="1" s="1"/>
  <c r="R339" i="1"/>
  <c r="P339" i="1"/>
  <c r="AS333" i="1"/>
  <c r="AT333" i="1"/>
  <c r="AP333" i="1" s="1"/>
  <c r="S340" i="1"/>
  <c r="Q340" i="1"/>
  <c r="O340" i="1"/>
  <c r="AJ331" i="1" l="1"/>
  <c r="AL331" i="1" s="1"/>
  <c r="W331" i="1" s="1"/>
  <c r="U331" i="1"/>
  <c r="AV340" i="1"/>
  <c r="AH333" i="1"/>
  <c r="AK333" i="1"/>
  <c r="AG333" i="1"/>
  <c r="AX340" i="1"/>
  <c r="AW340" i="1"/>
  <c r="AU340" i="1"/>
  <c r="AO331" i="1"/>
  <c r="AQ331" i="1" s="1"/>
  <c r="X331" i="1" s="1"/>
  <c r="AN332" i="1"/>
  <c r="V332" i="1" s="1"/>
  <c r="AI332" i="1"/>
  <c r="N341" i="1"/>
  <c r="M341" i="1"/>
  <c r="T341" i="1" s="1"/>
  <c r="R340" i="1"/>
  <c r="P340" i="1"/>
  <c r="AT334" i="1"/>
  <c r="AP334" i="1" s="1"/>
  <c r="AS334" i="1"/>
  <c r="Q341" i="1"/>
  <c r="O341" i="1"/>
  <c r="S341" i="1"/>
  <c r="AJ332" i="1" l="1"/>
  <c r="AL332" i="1" s="1"/>
  <c r="W332" i="1" s="1"/>
  <c r="U332" i="1"/>
  <c r="AV341" i="1"/>
  <c r="AH334" i="1"/>
  <c r="AK334" i="1"/>
  <c r="AG334" i="1"/>
  <c r="AX341" i="1"/>
  <c r="AW341" i="1"/>
  <c r="AU341" i="1"/>
  <c r="AO332" i="1"/>
  <c r="AQ332" i="1" s="1"/>
  <c r="X332" i="1" s="1"/>
  <c r="AN333" i="1"/>
  <c r="V333" i="1" s="1"/>
  <c r="AI333" i="1"/>
  <c r="N342" i="1"/>
  <c r="M342" i="1"/>
  <c r="T342" i="1" s="1"/>
  <c r="P341" i="1"/>
  <c r="R341" i="1"/>
  <c r="AT335" i="1"/>
  <c r="AP335" i="1" s="1"/>
  <c r="AS335" i="1"/>
  <c r="Q342" i="1"/>
  <c r="O342" i="1"/>
  <c r="S342" i="1"/>
  <c r="AJ333" i="1" l="1"/>
  <c r="AL333" i="1" s="1"/>
  <c r="W333" i="1" s="1"/>
  <c r="U333" i="1"/>
  <c r="AV342" i="1"/>
  <c r="AH335" i="1"/>
  <c r="AK335" i="1"/>
  <c r="AG335" i="1"/>
  <c r="AX342" i="1"/>
  <c r="AW342" i="1"/>
  <c r="AU342" i="1"/>
  <c r="AO333" i="1"/>
  <c r="AQ333" i="1" s="1"/>
  <c r="X333" i="1" s="1"/>
  <c r="AI334" i="1"/>
  <c r="AN334" i="1"/>
  <c r="V334" i="1" s="1"/>
  <c r="N343" i="1"/>
  <c r="M343" i="1"/>
  <c r="T343" i="1" s="1"/>
  <c r="R342" i="1"/>
  <c r="P342" i="1"/>
  <c r="AS336" i="1"/>
  <c r="AT336" i="1"/>
  <c r="AP336" i="1" s="1"/>
  <c r="O343" i="1"/>
  <c r="Q343" i="1"/>
  <c r="S343" i="1"/>
  <c r="AJ334" i="1" l="1"/>
  <c r="AL334" i="1" s="1"/>
  <c r="W334" i="1" s="1"/>
  <c r="U334" i="1"/>
  <c r="AV343" i="1"/>
  <c r="AH336" i="1"/>
  <c r="AK336" i="1"/>
  <c r="AG336" i="1"/>
  <c r="AX343" i="1"/>
  <c r="AU343" i="1"/>
  <c r="AW343" i="1"/>
  <c r="AO334" i="1"/>
  <c r="AQ334" i="1" s="1"/>
  <c r="X334" i="1" s="1"/>
  <c r="AN335" i="1"/>
  <c r="V335" i="1" s="1"/>
  <c r="AI335" i="1"/>
  <c r="N344" i="1"/>
  <c r="M344" i="1"/>
  <c r="T344" i="1" s="1"/>
  <c r="R343" i="1"/>
  <c r="P343" i="1"/>
  <c r="AS337" i="1"/>
  <c r="AT337" i="1"/>
  <c r="AP337" i="1" s="1"/>
  <c r="O344" i="1"/>
  <c r="Q344" i="1"/>
  <c r="S344" i="1"/>
  <c r="AJ335" i="1" l="1"/>
  <c r="AL335" i="1" s="1"/>
  <c r="W335" i="1" s="1"/>
  <c r="U335" i="1"/>
  <c r="AV344" i="1"/>
  <c r="AH337" i="1"/>
  <c r="AK337" i="1"/>
  <c r="AG337" i="1"/>
  <c r="AX344" i="1"/>
  <c r="AW344" i="1"/>
  <c r="AU344" i="1"/>
  <c r="AO335" i="1"/>
  <c r="AQ335" i="1" s="1"/>
  <c r="X335" i="1" s="1"/>
  <c r="AN336" i="1"/>
  <c r="V336" i="1" s="1"/>
  <c r="AI336" i="1"/>
  <c r="N345" i="1"/>
  <c r="M345" i="1"/>
  <c r="T345" i="1" s="1"/>
  <c r="R344" i="1"/>
  <c r="P344" i="1"/>
  <c r="AS338" i="1"/>
  <c r="AT338" i="1"/>
  <c r="AP338" i="1" s="1"/>
  <c r="S345" i="1"/>
  <c r="O345" i="1"/>
  <c r="Q345" i="1"/>
  <c r="AJ336" i="1" l="1"/>
  <c r="AL336" i="1" s="1"/>
  <c r="W336" i="1" s="1"/>
  <c r="U336" i="1"/>
  <c r="AV345" i="1"/>
  <c r="AH338" i="1"/>
  <c r="AK338" i="1"/>
  <c r="AG338" i="1"/>
  <c r="AX345" i="1"/>
  <c r="AW345" i="1"/>
  <c r="AU345" i="1"/>
  <c r="AO336" i="1"/>
  <c r="AQ336" i="1" s="1"/>
  <c r="X336" i="1" s="1"/>
  <c r="AN337" i="1"/>
  <c r="V337" i="1" s="1"/>
  <c r="AI337" i="1"/>
  <c r="N346" i="1"/>
  <c r="M346" i="1"/>
  <c r="T346" i="1" s="1"/>
  <c r="R345" i="1"/>
  <c r="P345" i="1"/>
  <c r="AS339" i="1"/>
  <c r="AT339" i="1"/>
  <c r="AP339" i="1" s="1"/>
  <c r="S346" i="1"/>
  <c r="O346" i="1"/>
  <c r="Q346" i="1"/>
  <c r="AJ337" i="1" l="1"/>
  <c r="AL337" i="1" s="1"/>
  <c r="W337" i="1" s="1"/>
  <c r="U337" i="1"/>
  <c r="AV346" i="1"/>
  <c r="AH339" i="1"/>
  <c r="AK339" i="1"/>
  <c r="AG339" i="1"/>
  <c r="AX346" i="1"/>
  <c r="AW346" i="1"/>
  <c r="AU346" i="1"/>
  <c r="AO337" i="1"/>
  <c r="AQ337" i="1" s="1"/>
  <c r="X337" i="1" s="1"/>
  <c r="AI338" i="1"/>
  <c r="AN338" i="1"/>
  <c r="V338" i="1" s="1"/>
  <c r="N347" i="1"/>
  <c r="M347" i="1"/>
  <c r="T347" i="1" s="1"/>
  <c r="R346" i="1"/>
  <c r="P346" i="1"/>
  <c r="AS340" i="1"/>
  <c r="AT340" i="1"/>
  <c r="AP340" i="1" s="1"/>
  <c r="S347" i="1"/>
  <c r="Q347" i="1"/>
  <c r="O347" i="1"/>
  <c r="AJ338" i="1" l="1"/>
  <c r="AL338" i="1" s="1"/>
  <c r="W338" i="1" s="1"/>
  <c r="U338" i="1"/>
  <c r="AV347" i="1"/>
  <c r="AH340" i="1"/>
  <c r="AK340" i="1"/>
  <c r="AG340" i="1"/>
  <c r="AX347" i="1"/>
  <c r="AW347" i="1"/>
  <c r="AU347" i="1"/>
  <c r="AO338" i="1"/>
  <c r="AQ338" i="1" s="1"/>
  <c r="X338" i="1" s="1"/>
  <c r="AN339" i="1"/>
  <c r="V339" i="1" s="1"/>
  <c r="AI339" i="1"/>
  <c r="N348" i="1"/>
  <c r="M348" i="1"/>
  <c r="T348" i="1" s="1"/>
  <c r="P347" i="1"/>
  <c r="R347" i="1"/>
  <c r="AS341" i="1"/>
  <c r="AT341" i="1"/>
  <c r="AP341" i="1" s="1"/>
  <c r="O348" i="1"/>
  <c r="S348" i="1"/>
  <c r="Q348" i="1"/>
  <c r="AJ339" i="1" l="1"/>
  <c r="AL339" i="1" s="1"/>
  <c r="W339" i="1" s="1"/>
  <c r="U339" i="1"/>
  <c r="AV348" i="1"/>
  <c r="AH341" i="1"/>
  <c r="AK341" i="1"/>
  <c r="AG341" i="1"/>
  <c r="AX348" i="1"/>
  <c r="AW348" i="1"/>
  <c r="AU348" i="1"/>
  <c r="AO339" i="1"/>
  <c r="AQ339" i="1" s="1"/>
  <c r="X339" i="1" s="1"/>
  <c r="AN340" i="1"/>
  <c r="V340" i="1" s="1"/>
  <c r="AI340" i="1"/>
  <c r="N349" i="1"/>
  <c r="M349" i="1"/>
  <c r="T349" i="1" s="1"/>
  <c r="R348" i="1"/>
  <c r="P348" i="1"/>
  <c r="AS342" i="1"/>
  <c r="AT342" i="1"/>
  <c r="AP342" i="1" s="1"/>
  <c r="O349" i="1"/>
  <c r="S349" i="1"/>
  <c r="Q349" i="1"/>
  <c r="AJ340" i="1" l="1"/>
  <c r="AL340" i="1" s="1"/>
  <c r="W340" i="1" s="1"/>
  <c r="U340" i="1"/>
  <c r="AV349" i="1"/>
  <c r="AH342" i="1"/>
  <c r="AK342" i="1"/>
  <c r="AG342" i="1"/>
  <c r="AX349" i="1"/>
  <c r="AW349" i="1"/>
  <c r="AU349" i="1"/>
  <c r="AO340" i="1"/>
  <c r="AQ340" i="1" s="1"/>
  <c r="X340" i="1" s="1"/>
  <c r="AN341" i="1"/>
  <c r="V341" i="1" s="1"/>
  <c r="AI341" i="1"/>
  <c r="N350" i="1"/>
  <c r="M350" i="1"/>
  <c r="T350" i="1" s="1"/>
  <c r="R349" i="1"/>
  <c r="P349" i="1"/>
  <c r="AS343" i="1"/>
  <c r="AT343" i="1"/>
  <c r="AP343" i="1" s="1"/>
  <c r="S350" i="1"/>
  <c r="O350" i="1"/>
  <c r="Q350" i="1"/>
  <c r="AJ341" i="1" l="1"/>
  <c r="AL341" i="1" s="1"/>
  <c r="W341" i="1" s="1"/>
  <c r="U341" i="1"/>
  <c r="AV350" i="1"/>
  <c r="AH343" i="1"/>
  <c r="AK343" i="1"/>
  <c r="AG343" i="1"/>
  <c r="AX350" i="1"/>
  <c r="AW350" i="1"/>
  <c r="AU350" i="1"/>
  <c r="AO341" i="1"/>
  <c r="AQ341" i="1" s="1"/>
  <c r="X341" i="1" s="1"/>
  <c r="AI342" i="1"/>
  <c r="AN342" i="1"/>
  <c r="V342" i="1" s="1"/>
  <c r="N351" i="1"/>
  <c r="M351" i="1"/>
  <c r="T351" i="1" s="1"/>
  <c r="R350" i="1"/>
  <c r="P350" i="1"/>
  <c r="AS344" i="1"/>
  <c r="AT344" i="1"/>
  <c r="AP344" i="1" s="1"/>
  <c r="Q351" i="1"/>
  <c r="S351" i="1"/>
  <c r="O351" i="1"/>
  <c r="AJ342" i="1" l="1"/>
  <c r="AL342" i="1" s="1"/>
  <c r="W342" i="1" s="1"/>
  <c r="U342" i="1"/>
  <c r="AV351" i="1"/>
  <c r="AH344" i="1"/>
  <c r="AK344" i="1"/>
  <c r="AG344" i="1"/>
  <c r="AX351" i="1"/>
  <c r="AU351" i="1"/>
  <c r="AW351" i="1"/>
  <c r="AO342" i="1"/>
  <c r="AQ342" i="1" s="1"/>
  <c r="X342" i="1" s="1"/>
  <c r="AN343" i="1"/>
  <c r="V343" i="1" s="1"/>
  <c r="AI343" i="1"/>
  <c r="N352" i="1"/>
  <c r="M352" i="1"/>
  <c r="T352" i="1" s="1"/>
  <c r="R351" i="1"/>
  <c r="P351" i="1"/>
  <c r="AT345" i="1"/>
  <c r="AP345" i="1" s="1"/>
  <c r="AS345" i="1"/>
  <c r="O352" i="1"/>
  <c r="S352" i="1"/>
  <c r="Q352" i="1"/>
  <c r="AJ343" i="1" l="1"/>
  <c r="AL343" i="1" s="1"/>
  <c r="W343" i="1" s="1"/>
  <c r="U343" i="1"/>
  <c r="AV352" i="1"/>
  <c r="AH345" i="1"/>
  <c r="AK345" i="1"/>
  <c r="AG345" i="1"/>
  <c r="AX352" i="1"/>
  <c r="AU352" i="1"/>
  <c r="AW352" i="1"/>
  <c r="AO343" i="1"/>
  <c r="AQ343" i="1" s="1"/>
  <c r="X343" i="1" s="1"/>
  <c r="AN344" i="1"/>
  <c r="V344" i="1" s="1"/>
  <c r="AI344" i="1"/>
  <c r="N353" i="1"/>
  <c r="M353" i="1"/>
  <c r="T353" i="1" s="1"/>
  <c r="R352" i="1"/>
  <c r="P352" i="1"/>
  <c r="AS346" i="1"/>
  <c r="AT346" i="1"/>
  <c r="AP346" i="1" s="1"/>
  <c r="S353" i="1"/>
  <c r="O353" i="1"/>
  <c r="Q353" i="1"/>
  <c r="AJ344" i="1" l="1"/>
  <c r="AL344" i="1" s="1"/>
  <c r="W344" i="1" s="1"/>
  <c r="U344" i="1"/>
  <c r="AV353" i="1"/>
  <c r="AH346" i="1"/>
  <c r="AK346" i="1"/>
  <c r="AG346" i="1"/>
  <c r="AX353" i="1"/>
  <c r="AU353" i="1"/>
  <c r="AW353" i="1"/>
  <c r="AO344" i="1"/>
  <c r="AQ344" i="1" s="1"/>
  <c r="X344" i="1" s="1"/>
  <c r="AN345" i="1"/>
  <c r="V345" i="1" s="1"/>
  <c r="AI345" i="1"/>
  <c r="N354" i="1"/>
  <c r="M354" i="1"/>
  <c r="T354" i="1" s="1"/>
  <c r="P353" i="1"/>
  <c r="R353" i="1"/>
  <c r="AS347" i="1"/>
  <c r="AT347" i="1"/>
  <c r="AP347" i="1" s="1"/>
  <c r="Q354" i="1"/>
  <c r="O354" i="1"/>
  <c r="S354" i="1"/>
  <c r="AJ345" i="1" l="1"/>
  <c r="AL345" i="1" s="1"/>
  <c r="W345" i="1" s="1"/>
  <c r="U345" i="1"/>
  <c r="AV354" i="1"/>
  <c r="AH347" i="1"/>
  <c r="AK347" i="1"/>
  <c r="AG347" i="1"/>
  <c r="AX354" i="1"/>
  <c r="AW354" i="1"/>
  <c r="AU354" i="1"/>
  <c r="AO345" i="1"/>
  <c r="AQ345" i="1" s="1"/>
  <c r="X345" i="1" s="1"/>
  <c r="AN346" i="1"/>
  <c r="V346" i="1" s="1"/>
  <c r="AI346" i="1"/>
  <c r="N355" i="1"/>
  <c r="M355" i="1"/>
  <c r="T355" i="1" s="1"/>
  <c r="R354" i="1"/>
  <c r="P354" i="1"/>
  <c r="AS348" i="1"/>
  <c r="AT348" i="1"/>
  <c r="AP348" i="1" s="1"/>
  <c r="O355" i="1"/>
  <c r="S355" i="1"/>
  <c r="Q355" i="1"/>
  <c r="AJ346" i="1" l="1"/>
  <c r="AL346" i="1" s="1"/>
  <c r="W346" i="1" s="1"/>
  <c r="U346" i="1"/>
  <c r="AV355" i="1"/>
  <c r="AH348" i="1"/>
  <c r="AK348" i="1"/>
  <c r="AG348" i="1"/>
  <c r="AX355" i="1"/>
  <c r="AU355" i="1"/>
  <c r="AW355" i="1"/>
  <c r="AO346" i="1"/>
  <c r="AQ346" i="1" s="1"/>
  <c r="X346" i="1" s="1"/>
  <c r="AN347" i="1"/>
  <c r="V347" i="1" s="1"/>
  <c r="AI347" i="1"/>
  <c r="N356" i="1"/>
  <c r="M356" i="1"/>
  <c r="T356" i="1" s="1"/>
  <c r="R355" i="1"/>
  <c r="P355" i="1"/>
  <c r="AT349" i="1"/>
  <c r="AP349" i="1" s="1"/>
  <c r="AS349" i="1"/>
  <c r="O356" i="1"/>
  <c r="S356" i="1"/>
  <c r="Q356" i="1"/>
  <c r="AJ347" i="1" l="1"/>
  <c r="AL347" i="1" s="1"/>
  <c r="W347" i="1" s="1"/>
  <c r="U347" i="1"/>
  <c r="AV356" i="1"/>
  <c r="AH349" i="1"/>
  <c r="AK349" i="1"/>
  <c r="AG349" i="1"/>
  <c r="AX356" i="1"/>
  <c r="AU356" i="1"/>
  <c r="AW356" i="1"/>
  <c r="AO347" i="1"/>
  <c r="AQ347" i="1" s="1"/>
  <c r="X347" i="1" s="1"/>
  <c r="AN348" i="1"/>
  <c r="V348" i="1" s="1"/>
  <c r="AI348" i="1"/>
  <c r="N357" i="1"/>
  <c r="M357" i="1"/>
  <c r="T357" i="1" s="1"/>
  <c r="R356" i="1"/>
  <c r="P356" i="1"/>
  <c r="AT350" i="1"/>
  <c r="AP350" i="1" s="1"/>
  <c r="AS350" i="1"/>
  <c r="Q357" i="1"/>
  <c r="O357" i="1"/>
  <c r="S357" i="1"/>
  <c r="AJ348" i="1" l="1"/>
  <c r="AL348" i="1" s="1"/>
  <c r="W348" i="1" s="1"/>
  <c r="U348" i="1"/>
  <c r="AV357" i="1"/>
  <c r="AH350" i="1"/>
  <c r="AK350" i="1"/>
  <c r="AG350" i="1"/>
  <c r="AX357" i="1"/>
  <c r="AU357" i="1"/>
  <c r="AW357" i="1"/>
  <c r="AO348" i="1"/>
  <c r="AQ348" i="1" s="1"/>
  <c r="X348" i="1" s="1"/>
  <c r="AN349" i="1"/>
  <c r="V349" i="1" s="1"/>
  <c r="AI349" i="1"/>
  <c r="N358" i="1"/>
  <c r="M358" i="1"/>
  <c r="T358" i="1" s="1"/>
  <c r="P357" i="1"/>
  <c r="R357" i="1"/>
  <c r="AS351" i="1"/>
  <c r="AT351" i="1"/>
  <c r="AP351" i="1" s="1"/>
  <c r="Q358" i="1"/>
  <c r="S358" i="1"/>
  <c r="O358" i="1"/>
  <c r="AJ349" i="1" l="1"/>
  <c r="AL349" i="1" s="1"/>
  <c r="W349" i="1" s="1"/>
  <c r="U349" i="1"/>
  <c r="AV358" i="1"/>
  <c r="AH351" i="1"/>
  <c r="AK351" i="1"/>
  <c r="AG351" i="1"/>
  <c r="AX358" i="1"/>
  <c r="AU358" i="1"/>
  <c r="AW358" i="1"/>
  <c r="AO349" i="1"/>
  <c r="AQ349" i="1" s="1"/>
  <c r="X349" i="1" s="1"/>
  <c r="AN350" i="1"/>
  <c r="V350" i="1" s="1"/>
  <c r="AI350" i="1"/>
  <c r="N359" i="1"/>
  <c r="M359" i="1"/>
  <c r="T359" i="1" s="1"/>
  <c r="P358" i="1"/>
  <c r="R358" i="1"/>
  <c r="AT352" i="1"/>
  <c r="AP352" i="1" s="1"/>
  <c r="AS352" i="1"/>
  <c r="Q359" i="1"/>
  <c r="O359" i="1"/>
  <c r="S359" i="1"/>
  <c r="AJ350" i="1" l="1"/>
  <c r="AL350" i="1" s="1"/>
  <c r="W350" i="1" s="1"/>
  <c r="U350" i="1"/>
  <c r="AV359" i="1"/>
  <c r="AH352" i="1"/>
  <c r="AK352" i="1"/>
  <c r="AG352" i="1"/>
  <c r="AX359" i="1"/>
  <c r="AW359" i="1"/>
  <c r="AU359" i="1"/>
  <c r="AO350" i="1"/>
  <c r="AQ350" i="1" s="1"/>
  <c r="X350" i="1" s="1"/>
  <c r="AN351" i="1"/>
  <c r="V351" i="1" s="1"/>
  <c r="AI351" i="1"/>
  <c r="N360" i="1"/>
  <c r="M360" i="1"/>
  <c r="T360" i="1" s="1"/>
  <c r="R359" i="1"/>
  <c r="P359" i="1"/>
  <c r="AS353" i="1"/>
  <c r="AT353" i="1"/>
  <c r="AP353" i="1" s="1"/>
  <c r="S360" i="1"/>
  <c r="Q360" i="1"/>
  <c r="O360" i="1"/>
  <c r="AJ351" i="1" l="1"/>
  <c r="AL351" i="1" s="1"/>
  <c r="W351" i="1" s="1"/>
  <c r="U351" i="1"/>
  <c r="AV360" i="1"/>
  <c r="AH353" i="1"/>
  <c r="AK353" i="1"/>
  <c r="AG353" i="1"/>
  <c r="AX360" i="1"/>
  <c r="AW360" i="1"/>
  <c r="AU360" i="1"/>
  <c r="AO351" i="1"/>
  <c r="AQ351" i="1" s="1"/>
  <c r="X351" i="1" s="1"/>
  <c r="AN352" i="1"/>
  <c r="V352" i="1" s="1"/>
  <c r="AI352" i="1"/>
  <c r="N361" i="1"/>
  <c r="M361" i="1"/>
  <c r="T361" i="1" s="1"/>
  <c r="R360" i="1"/>
  <c r="P360" i="1"/>
  <c r="AS354" i="1"/>
  <c r="AT354" i="1"/>
  <c r="AP354" i="1" s="1"/>
  <c r="Q361" i="1"/>
  <c r="S361" i="1"/>
  <c r="O361" i="1"/>
  <c r="AJ352" i="1" l="1"/>
  <c r="AL352" i="1" s="1"/>
  <c r="W352" i="1" s="1"/>
  <c r="U352" i="1"/>
  <c r="AV361" i="1"/>
  <c r="AH354" i="1"/>
  <c r="AK354" i="1"/>
  <c r="AG354" i="1"/>
  <c r="AX361" i="1"/>
  <c r="AU361" i="1"/>
  <c r="AW361" i="1"/>
  <c r="AO352" i="1"/>
  <c r="AQ352" i="1" s="1"/>
  <c r="X352" i="1" s="1"/>
  <c r="AN353" i="1"/>
  <c r="V353" i="1" s="1"/>
  <c r="AI353" i="1"/>
  <c r="N362" i="1"/>
  <c r="M362" i="1"/>
  <c r="T362" i="1" s="1"/>
  <c r="R361" i="1"/>
  <c r="P361" i="1"/>
  <c r="AS355" i="1"/>
  <c r="AT355" i="1"/>
  <c r="AP355" i="1" s="1"/>
  <c r="O362" i="1"/>
  <c r="S362" i="1"/>
  <c r="Q362" i="1"/>
  <c r="AJ353" i="1" l="1"/>
  <c r="AL353" i="1" s="1"/>
  <c r="W353" i="1" s="1"/>
  <c r="U353" i="1"/>
  <c r="AV362" i="1"/>
  <c r="AH355" i="1"/>
  <c r="AK355" i="1"/>
  <c r="AG355" i="1"/>
  <c r="AX362" i="1"/>
  <c r="AU362" i="1"/>
  <c r="AW362" i="1"/>
  <c r="AO353" i="1"/>
  <c r="AQ353" i="1" s="1"/>
  <c r="X353" i="1" s="1"/>
  <c r="AN354" i="1"/>
  <c r="V354" i="1" s="1"/>
  <c r="AI354" i="1"/>
  <c r="N363" i="1"/>
  <c r="M363" i="1"/>
  <c r="T363" i="1" s="1"/>
  <c r="P362" i="1"/>
  <c r="R362" i="1"/>
  <c r="AS356" i="1"/>
  <c r="AT356" i="1"/>
  <c r="AP356" i="1" s="1"/>
  <c r="Q363" i="1"/>
  <c r="S363" i="1"/>
  <c r="O363" i="1"/>
  <c r="AJ354" i="1" l="1"/>
  <c r="AL354" i="1" s="1"/>
  <c r="W354" i="1" s="1"/>
  <c r="U354" i="1"/>
  <c r="AV363" i="1"/>
  <c r="AH356" i="1"/>
  <c r="AK356" i="1"/>
  <c r="AG356" i="1"/>
  <c r="AX363" i="1"/>
  <c r="AW363" i="1"/>
  <c r="AU363" i="1"/>
  <c r="AO354" i="1"/>
  <c r="AQ354" i="1" s="1"/>
  <c r="X354" i="1" s="1"/>
  <c r="AN355" i="1"/>
  <c r="V355" i="1" s="1"/>
  <c r="AI355" i="1"/>
  <c r="N364" i="1"/>
  <c r="M364" i="1"/>
  <c r="T364" i="1" s="1"/>
  <c r="R363" i="1"/>
  <c r="P363" i="1"/>
  <c r="AS357" i="1"/>
  <c r="AT357" i="1"/>
  <c r="AP357" i="1" s="1"/>
  <c r="O364" i="1"/>
  <c r="S364" i="1"/>
  <c r="Q364" i="1"/>
  <c r="AJ355" i="1" l="1"/>
  <c r="AL355" i="1" s="1"/>
  <c r="W355" i="1" s="1"/>
  <c r="U355" i="1"/>
  <c r="AV364" i="1"/>
  <c r="AH357" i="1"/>
  <c r="AK357" i="1"/>
  <c r="AG357" i="1"/>
  <c r="AX364" i="1"/>
  <c r="AU364" i="1"/>
  <c r="AW364" i="1"/>
  <c r="AO355" i="1"/>
  <c r="AQ355" i="1" s="1"/>
  <c r="X355" i="1" s="1"/>
  <c r="AN356" i="1"/>
  <c r="V356" i="1" s="1"/>
  <c r="AI356" i="1"/>
  <c r="N365" i="1"/>
  <c r="M365" i="1"/>
  <c r="T365" i="1" s="1"/>
  <c r="R364" i="1"/>
  <c r="P364" i="1"/>
  <c r="AT358" i="1"/>
  <c r="AP358" i="1" s="1"/>
  <c r="AS358" i="1"/>
  <c r="O365" i="1"/>
  <c r="S365" i="1"/>
  <c r="Q365" i="1"/>
  <c r="AJ356" i="1" l="1"/>
  <c r="AL356" i="1" s="1"/>
  <c r="W356" i="1" s="1"/>
  <c r="U356" i="1"/>
  <c r="AV365" i="1"/>
  <c r="AH358" i="1"/>
  <c r="AK358" i="1"/>
  <c r="AG358" i="1"/>
  <c r="AX365" i="1"/>
  <c r="AW365" i="1"/>
  <c r="AU365" i="1"/>
  <c r="AO356" i="1"/>
  <c r="AQ356" i="1" s="1"/>
  <c r="X356" i="1" s="1"/>
  <c r="AN357" i="1"/>
  <c r="V357" i="1" s="1"/>
  <c r="AI357" i="1"/>
  <c r="N366" i="1"/>
  <c r="M366" i="1"/>
  <c r="T366" i="1" s="1"/>
  <c r="R365" i="1"/>
  <c r="P365" i="1"/>
  <c r="AS359" i="1"/>
  <c r="AT359" i="1"/>
  <c r="AP359" i="1" s="1"/>
  <c r="Q366" i="1"/>
  <c r="S366" i="1"/>
  <c r="O366" i="1"/>
  <c r="AJ357" i="1" l="1"/>
  <c r="AL357" i="1" s="1"/>
  <c r="W357" i="1" s="1"/>
  <c r="U357" i="1"/>
  <c r="AV366" i="1"/>
  <c r="AH359" i="1"/>
  <c r="AK359" i="1"/>
  <c r="AG359" i="1"/>
  <c r="AX366" i="1"/>
  <c r="AW366" i="1"/>
  <c r="AU366" i="1"/>
  <c r="AO357" i="1"/>
  <c r="AQ357" i="1" s="1"/>
  <c r="X357" i="1" s="1"/>
  <c r="AN358" i="1"/>
  <c r="V358" i="1" s="1"/>
  <c r="AI358" i="1"/>
  <c r="N367" i="1"/>
  <c r="M367" i="1"/>
  <c r="T367" i="1" s="1"/>
  <c r="R366" i="1"/>
  <c r="P366" i="1"/>
  <c r="AT360" i="1"/>
  <c r="AP360" i="1" s="1"/>
  <c r="AS360" i="1"/>
  <c r="O367" i="1"/>
  <c r="S367" i="1"/>
  <c r="Q367" i="1"/>
  <c r="AJ358" i="1" l="1"/>
  <c r="AL358" i="1" s="1"/>
  <c r="W358" i="1" s="1"/>
  <c r="U358" i="1"/>
  <c r="AV367" i="1"/>
  <c r="AH360" i="1"/>
  <c r="AK360" i="1"/>
  <c r="AG360" i="1"/>
  <c r="AX367" i="1"/>
  <c r="AW367" i="1"/>
  <c r="AU367" i="1"/>
  <c r="AO358" i="1"/>
  <c r="AQ358" i="1" s="1"/>
  <c r="X358" i="1" s="1"/>
  <c r="AN359" i="1"/>
  <c r="V359" i="1" s="1"/>
  <c r="AI359" i="1"/>
  <c r="N368" i="1"/>
  <c r="M368" i="1"/>
  <c r="T368" i="1" s="1"/>
  <c r="R367" i="1"/>
  <c r="P367" i="1"/>
  <c r="AS361" i="1"/>
  <c r="AT361" i="1"/>
  <c r="AP361" i="1" s="1"/>
  <c r="Q368" i="1"/>
  <c r="O368" i="1"/>
  <c r="S368" i="1"/>
  <c r="AJ359" i="1" l="1"/>
  <c r="AL359" i="1" s="1"/>
  <c r="W359" i="1" s="1"/>
  <c r="U359" i="1"/>
  <c r="AV368" i="1"/>
  <c r="AH361" i="1"/>
  <c r="AK361" i="1"/>
  <c r="AG361" i="1"/>
  <c r="AX368" i="1"/>
  <c r="AU368" i="1"/>
  <c r="AW368" i="1"/>
  <c r="AO359" i="1"/>
  <c r="AQ359" i="1" s="1"/>
  <c r="X359" i="1" s="1"/>
  <c r="AN360" i="1"/>
  <c r="V360" i="1" s="1"/>
  <c r="AI360" i="1"/>
  <c r="N369" i="1"/>
  <c r="M369" i="1"/>
  <c r="T369" i="1" s="1"/>
  <c r="R368" i="1"/>
  <c r="P368" i="1"/>
  <c r="AS362" i="1"/>
  <c r="AT362" i="1"/>
  <c r="AP362" i="1" s="1"/>
  <c r="O369" i="1"/>
  <c r="Q369" i="1"/>
  <c r="S369" i="1"/>
  <c r="AJ360" i="1" l="1"/>
  <c r="AL360" i="1" s="1"/>
  <c r="W360" i="1" s="1"/>
  <c r="U360" i="1"/>
  <c r="AV369" i="1"/>
  <c r="AH362" i="1"/>
  <c r="AK362" i="1"/>
  <c r="AG362" i="1"/>
  <c r="AX369" i="1"/>
  <c r="AW369" i="1"/>
  <c r="AU369" i="1"/>
  <c r="AO360" i="1"/>
  <c r="AQ360" i="1" s="1"/>
  <c r="X360" i="1" s="1"/>
  <c r="AN361" i="1"/>
  <c r="V361" i="1" s="1"/>
  <c r="AI361" i="1"/>
  <c r="N370" i="1"/>
  <c r="M370" i="1"/>
  <c r="T370" i="1" s="1"/>
  <c r="P369" i="1"/>
  <c r="R369" i="1"/>
  <c r="AS363" i="1"/>
  <c r="AT363" i="1"/>
  <c r="AP363" i="1" s="1"/>
  <c r="O370" i="1"/>
  <c r="S370" i="1"/>
  <c r="Q370" i="1"/>
  <c r="AJ361" i="1" l="1"/>
  <c r="AL361" i="1" s="1"/>
  <c r="W361" i="1" s="1"/>
  <c r="U361" i="1"/>
  <c r="AV370" i="1"/>
  <c r="AH363" i="1"/>
  <c r="AK363" i="1"/>
  <c r="AG363" i="1"/>
  <c r="AX370" i="1"/>
  <c r="AW370" i="1"/>
  <c r="AU370" i="1"/>
  <c r="AO361" i="1"/>
  <c r="AQ361" i="1" s="1"/>
  <c r="X361" i="1" s="1"/>
  <c r="AN362" i="1"/>
  <c r="V362" i="1" s="1"/>
  <c r="AI362" i="1"/>
  <c r="N371" i="1"/>
  <c r="M371" i="1"/>
  <c r="T371" i="1" s="1"/>
  <c r="R370" i="1"/>
  <c r="P370" i="1"/>
  <c r="AS364" i="1"/>
  <c r="AT364" i="1"/>
  <c r="AP364" i="1" s="1"/>
  <c r="O371" i="1"/>
  <c r="S371" i="1"/>
  <c r="Q371" i="1"/>
  <c r="AJ362" i="1" l="1"/>
  <c r="AL362" i="1" s="1"/>
  <c r="W362" i="1" s="1"/>
  <c r="U362" i="1"/>
  <c r="AV371" i="1"/>
  <c r="AH364" i="1"/>
  <c r="AK364" i="1"/>
  <c r="AG364" i="1"/>
  <c r="AX371" i="1"/>
  <c r="AU371" i="1"/>
  <c r="AW371" i="1"/>
  <c r="AO362" i="1"/>
  <c r="AQ362" i="1" s="1"/>
  <c r="X362" i="1" s="1"/>
  <c r="AN363" i="1"/>
  <c r="V363" i="1" s="1"/>
  <c r="AI363" i="1"/>
  <c r="N372" i="1"/>
  <c r="M372" i="1"/>
  <c r="T372" i="1" s="1"/>
  <c r="R371" i="1"/>
  <c r="P371" i="1"/>
  <c r="AT365" i="1"/>
  <c r="AP365" i="1" s="1"/>
  <c r="AS365" i="1"/>
  <c r="Q372" i="1"/>
  <c r="O372" i="1"/>
  <c r="S372" i="1"/>
  <c r="AJ363" i="1" l="1"/>
  <c r="AL363" i="1" s="1"/>
  <c r="W363" i="1" s="1"/>
  <c r="U363" i="1"/>
  <c r="AV372" i="1"/>
  <c r="AH365" i="1"/>
  <c r="AK365" i="1"/>
  <c r="AG365" i="1"/>
  <c r="AX372" i="1"/>
  <c r="AW372" i="1"/>
  <c r="AU372" i="1"/>
  <c r="AO363" i="1"/>
  <c r="AQ363" i="1" s="1"/>
  <c r="X363" i="1" s="1"/>
  <c r="AN364" i="1"/>
  <c r="V364" i="1" s="1"/>
  <c r="AI364" i="1"/>
  <c r="N373" i="1"/>
  <c r="M373" i="1"/>
  <c r="T373" i="1" s="1"/>
  <c r="R372" i="1"/>
  <c r="P372" i="1"/>
  <c r="AS366" i="1"/>
  <c r="AT366" i="1"/>
  <c r="AP366" i="1" s="1"/>
  <c r="S373" i="1"/>
  <c r="Q373" i="1"/>
  <c r="O373" i="1"/>
  <c r="AJ364" i="1" l="1"/>
  <c r="AL364" i="1" s="1"/>
  <c r="W364" i="1" s="1"/>
  <c r="U364" i="1"/>
  <c r="AV373" i="1"/>
  <c r="AH366" i="1"/>
  <c r="AK366" i="1"/>
  <c r="AG366" i="1"/>
  <c r="AX373" i="1"/>
  <c r="AU373" i="1"/>
  <c r="AW373" i="1"/>
  <c r="AO364" i="1"/>
  <c r="AQ364" i="1" s="1"/>
  <c r="X364" i="1" s="1"/>
  <c r="AN365" i="1"/>
  <c r="V365" i="1" s="1"/>
  <c r="AI365" i="1"/>
  <c r="N374" i="1"/>
  <c r="M374" i="1"/>
  <c r="T374" i="1" s="1"/>
  <c r="P373" i="1"/>
  <c r="R373" i="1"/>
  <c r="AT367" i="1"/>
  <c r="AP367" i="1" s="1"/>
  <c r="AS367" i="1"/>
  <c r="S374" i="1"/>
  <c r="Q374" i="1"/>
  <c r="O374" i="1"/>
  <c r="AJ365" i="1" l="1"/>
  <c r="AL365" i="1" s="1"/>
  <c r="W365" i="1" s="1"/>
  <c r="U365" i="1"/>
  <c r="AV374" i="1"/>
  <c r="AH367" i="1"/>
  <c r="AK367" i="1"/>
  <c r="AG367" i="1"/>
  <c r="AX374" i="1"/>
  <c r="AU374" i="1"/>
  <c r="AW374" i="1"/>
  <c r="AO365" i="1"/>
  <c r="AQ365" i="1" s="1"/>
  <c r="X365" i="1" s="1"/>
  <c r="AI366" i="1"/>
  <c r="AN366" i="1"/>
  <c r="V366" i="1" s="1"/>
  <c r="N375" i="1"/>
  <c r="M375" i="1"/>
  <c r="T375" i="1" s="1"/>
  <c r="R374" i="1"/>
  <c r="P374" i="1"/>
  <c r="AT368" i="1"/>
  <c r="AP368" i="1" s="1"/>
  <c r="AS368" i="1"/>
  <c r="Q375" i="1"/>
  <c r="S375" i="1"/>
  <c r="O375" i="1"/>
  <c r="AJ366" i="1" l="1"/>
  <c r="AL366" i="1" s="1"/>
  <c r="W366" i="1" s="1"/>
  <c r="U366" i="1"/>
  <c r="AV375" i="1"/>
  <c r="AH368" i="1"/>
  <c r="AK368" i="1"/>
  <c r="AG368" i="1"/>
  <c r="AX375" i="1"/>
  <c r="AW375" i="1"/>
  <c r="AU375" i="1"/>
  <c r="AO366" i="1"/>
  <c r="AQ366" i="1" s="1"/>
  <c r="X366" i="1" s="1"/>
  <c r="AN367" i="1"/>
  <c r="V367" i="1" s="1"/>
  <c r="AI367" i="1"/>
  <c r="N376" i="1"/>
  <c r="M376" i="1"/>
  <c r="T376" i="1" s="1"/>
  <c r="R375" i="1"/>
  <c r="P375" i="1"/>
  <c r="AT369" i="1"/>
  <c r="AP369" i="1" s="1"/>
  <c r="AS369" i="1"/>
  <c r="Q376" i="1"/>
  <c r="S376" i="1"/>
  <c r="O376" i="1"/>
  <c r="AJ367" i="1" l="1"/>
  <c r="AL367" i="1" s="1"/>
  <c r="W367" i="1" s="1"/>
  <c r="U367" i="1"/>
  <c r="AV376" i="1"/>
  <c r="AH369" i="1"/>
  <c r="AK369" i="1"/>
  <c r="AG369" i="1"/>
  <c r="AX376" i="1"/>
  <c r="AW376" i="1"/>
  <c r="AU376" i="1"/>
  <c r="AO367" i="1"/>
  <c r="AQ367" i="1" s="1"/>
  <c r="X367" i="1" s="1"/>
  <c r="AN368" i="1"/>
  <c r="V368" i="1" s="1"/>
  <c r="AI368" i="1"/>
  <c r="N377" i="1"/>
  <c r="M377" i="1"/>
  <c r="T377" i="1" s="1"/>
  <c r="R376" i="1"/>
  <c r="P376" i="1"/>
  <c r="AS370" i="1"/>
  <c r="AT370" i="1"/>
  <c r="AP370" i="1" s="1"/>
  <c r="Q377" i="1"/>
  <c r="O377" i="1"/>
  <c r="S377" i="1"/>
  <c r="AJ368" i="1" l="1"/>
  <c r="AL368" i="1" s="1"/>
  <c r="W368" i="1" s="1"/>
  <c r="U368" i="1"/>
  <c r="AV377" i="1"/>
  <c r="AH370" i="1"/>
  <c r="AK370" i="1"/>
  <c r="AG370" i="1"/>
  <c r="AX377" i="1"/>
  <c r="AU377" i="1"/>
  <c r="AW377" i="1"/>
  <c r="AO368" i="1"/>
  <c r="AQ368" i="1" s="1"/>
  <c r="X368" i="1" s="1"/>
  <c r="AN369" i="1"/>
  <c r="V369" i="1" s="1"/>
  <c r="AI369" i="1"/>
  <c r="N378" i="1"/>
  <c r="M378" i="1"/>
  <c r="T378" i="1" s="1"/>
  <c r="R377" i="1"/>
  <c r="P377" i="1"/>
  <c r="AT371" i="1"/>
  <c r="AP371" i="1" s="1"/>
  <c r="AS371" i="1"/>
  <c r="S378" i="1"/>
  <c r="Q378" i="1"/>
  <c r="O378" i="1"/>
  <c r="AJ369" i="1" l="1"/>
  <c r="AL369" i="1" s="1"/>
  <c r="W369" i="1" s="1"/>
  <c r="U369" i="1"/>
  <c r="AV378" i="1"/>
  <c r="AH371" i="1"/>
  <c r="AK371" i="1"/>
  <c r="AG371" i="1"/>
  <c r="AX378" i="1"/>
  <c r="AW378" i="1"/>
  <c r="AU378" i="1"/>
  <c r="AO369" i="1"/>
  <c r="AQ369" i="1" s="1"/>
  <c r="X369" i="1" s="1"/>
  <c r="AI370" i="1"/>
  <c r="AN370" i="1"/>
  <c r="V370" i="1" s="1"/>
  <c r="N379" i="1"/>
  <c r="M379" i="1"/>
  <c r="T379" i="1" s="1"/>
  <c r="R378" i="1"/>
  <c r="P378" i="1"/>
  <c r="AS372" i="1"/>
  <c r="AT372" i="1"/>
  <c r="AP372" i="1" s="1"/>
  <c r="S379" i="1"/>
  <c r="O379" i="1"/>
  <c r="Q379" i="1"/>
  <c r="AJ370" i="1" l="1"/>
  <c r="AL370" i="1" s="1"/>
  <c r="W370" i="1" s="1"/>
  <c r="U370" i="1"/>
  <c r="AV379" i="1"/>
  <c r="AH372" i="1"/>
  <c r="AK372" i="1"/>
  <c r="AG372" i="1"/>
  <c r="AX379" i="1"/>
  <c r="AW379" i="1"/>
  <c r="AU379" i="1"/>
  <c r="AO370" i="1"/>
  <c r="AQ370" i="1" s="1"/>
  <c r="X370" i="1" s="1"/>
  <c r="AN371" i="1"/>
  <c r="V371" i="1" s="1"/>
  <c r="AI371" i="1"/>
  <c r="N380" i="1"/>
  <c r="M380" i="1"/>
  <c r="T380" i="1" s="1"/>
  <c r="P379" i="1"/>
  <c r="R379" i="1"/>
  <c r="AT373" i="1"/>
  <c r="AP373" i="1" s="1"/>
  <c r="AS373" i="1"/>
  <c r="S380" i="1"/>
  <c r="O380" i="1"/>
  <c r="Q380" i="1"/>
  <c r="AJ371" i="1" l="1"/>
  <c r="AL371" i="1" s="1"/>
  <c r="W371" i="1" s="1"/>
  <c r="U371" i="1"/>
  <c r="AV380" i="1"/>
  <c r="AH373" i="1"/>
  <c r="AK373" i="1"/>
  <c r="AG373" i="1"/>
  <c r="AX380" i="1"/>
  <c r="AW380" i="1"/>
  <c r="AU380" i="1"/>
  <c r="AO371" i="1"/>
  <c r="AQ371" i="1" s="1"/>
  <c r="X371" i="1" s="1"/>
  <c r="AN372" i="1"/>
  <c r="V372" i="1" s="1"/>
  <c r="AI372" i="1"/>
  <c r="N381" i="1"/>
  <c r="M381" i="1"/>
  <c r="T381" i="1" s="1"/>
  <c r="R380" i="1"/>
  <c r="P380" i="1"/>
  <c r="AS374" i="1"/>
  <c r="AT374" i="1"/>
  <c r="AP374" i="1" s="1"/>
  <c r="Q381" i="1"/>
  <c r="O381" i="1"/>
  <c r="S381" i="1"/>
  <c r="AJ372" i="1" l="1"/>
  <c r="AL372" i="1" s="1"/>
  <c r="W372" i="1" s="1"/>
  <c r="U372" i="1"/>
  <c r="AV381" i="1"/>
  <c r="AH374" i="1"/>
  <c r="AK374" i="1"/>
  <c r="AG374" i="1"/>
  <c r="AX381" i="1"/>
  <c r="AU381" i="1"/>
  <c r="AW381" i="1"/>
  <c r="AO372" i="1"/>
  <c r="AQ372" i="1" s="1"/>
  <c r="X372" i="1" s="1"/>
  <c r="AN373" i="1"/>
  <c r="V373" i="1" s="1"/>
  <c r="AI373" i="1"/>
  <c r="N382" i="1"/>
  <c r="M382" i="1"/>
  <c r="T382" i="1" s="1"/>
  <c r="R381" i="1"/>
  <c r="P381" i="1"/>
  <c r="AT375" i="1"/>
  <c r="AP375" i="1" s="1"/>
  <c r="AS375" i="1"/>
  <c r="O382" i="1"/>
  <c r="Q382" i="1"/>
  <c r="S382" i="1"/>
  <c r="AJ373" i="1" l="1"/>
  <c r="AL373" i="1" s="1"/>
  <c r="W373" i="1" s="1"/>
  <c r="U373" i="1"/>
  <c r="AV382" i="1"/>
  <c r="AH375" i="1"/>
  <c r="AK375" i="1"/>
  <c r="AG375" i="1"/>
  <c r="AX382" i="1"/>
  <c r="AU382" i="1"/>
  <c r="AW382" i="1"/>
  <c r="AO373" i="1"/>
  <c r="AQ373" i="1" s="1"/>
  <c r="X373" i="1" s="1"/>
  <c r="AN374" i="1"/>
  <c r="V374" i="1" s="1"/>
  <c r="AI374" i="1"/>
  <c r="N383" i="1"/>
  <c r="M383" i="1"/>
  <c r="T383" i="1" s="1"/>
  <c r="R382" i="1"/>
  <c r="P382" i="1"/>
  <c r="AS376" i="1"/>
  <c r="AT376" i="1"/>
  <c r="AP376" i="1" s="1"/>
  <c r="S383" i="1"/>
  <c r="O383" i="1"/>
  <c r="Q383" i="1"/>
  <c r="AJ374" i="1" l="1"/>
  <c r="AL374" i="1" s="1"/>
  <c r="W374" i="1" s="1"/>
  <c r="U374" i="1"/>
  <c r="AV383" i="1"/>
  <c r="AH376" i="1"/>
  <c r="AK376" i="1"/>
  <c r="AG376" i="1"/>
  <c r="AX383" i="1"/>
  <c r="AW383" i="1"/>
  <c r="AU383" i="1"/>
  <c r="AO374" i="1"/>
  <c r="AQ374" i="1" s="1"/>
  <c r="X374" i="1" s="1"/>
  <c r="AN375" i="1"/>
  <c r="V375" i="1" s="1"/>
  <c r="AI375" i="1"/>
  <c r="N384" i="1"/>
  <c r="M384" i="1"/>
  <c r="T384" i="1" s="1"/>
  <c r="P383" i="1"/>
  <c r="R383" i="1"/>
  <c r="AS377" i="1"/>
  <c r="AT377" i="1"/>
  <c r="AP377" i="1" s="1"/>
  <c r="O384" i="1"/>
  <c r="Q384" i="1"/>
  <c r="S384" i="1"/>
  <c r="AJ375" i="1" l="1"/>
  <c r="AL375" i="1" s="1"/>
  <c r="W375" i="1" s="1"/>
  <c r="U375" i="1"/>
  <c r="AV384" i="1"/>
  <c r="AH377" i="1"/>
  <c r="AK377" i="1"/>
  <c r="AG377" i="1"/>
  <c r="AX384" i="1"/>
  <c r="AW384" i="1"/>
  <c r="AU384" i="1"/>
  <c r="AO375" i="1"/>
  <c r="AQ375" i="1" s="1"/>
  <c r="X375" i="1" s="1"/>
  <c r="AN376" i="1"/>
  <c r="V376" i="1" s="1"/>
  <c r="AI376" i="1"/>
  <c r="N385" i="1"/>
  <c r="M385" i="1"/>
  <c r="T385" i="1" s="1"/>
  <c r="R384" i="1"/>
  <c r="P384" i="1"/>
  <c r="AS378" i="1"/>
  <c r="AT378" i="1"/>
  <c r="AP378" i="1" s="1"/>
  <c r="Q385" i="1"/>
  <c r="O385" i="1"/>
  <c r="S385" i="1"/>
  <c r="AJ376" i="1" l="1"/>
  <c r="AL376" i="1" s="1"/>
  <c r="W376" i="1" s="1"/>
  <c r="U376" i="1"/>
  <c r="AV385" i="1"/>
  <c r="AH378" i="1"/>
  <c r="AK378" i="1"/>
  <c r="AG378" i="1"/>
  <c r="AX385" i="1"/>
  <c r="AW385" i="1"/>
  <c r="AU385" i="1"/>
  <c r="AO376" i="1"/>
  <c r="AQ376" i="1" s="1"/>
  <c r="X376" i="1" s="1"/>
  <c r="AN377" i="1"/>
  <c r="V377" i="1" s="1"/>
  <c r="AI377" i="1"/>
  <c r="N386" i="1"/>
  <c r="M386" i="1"/>
  <c r="T386" i="1" s="1"/>
  <c r="P385" i="1"/>
  <c r="R385" i="1"/>
  <c r="AS379" i="1"/>
  <c r="AT379" i="1"/>
  <c r="AP379" i="1" s="1"/>
  <c r="S386" i="1"/>
  <c r="Q386" i="1"/>
  <c r="O386" i="1"/>
  <c r="AJ377" i="1" l="1"/>
  <c r="AL377" i="1" s="1"/>
  <c r="W377" i="1" s="1"/>
  <c r="U377" i="1"/>
  <c r="AV386" i="1"/>
  <c r="AH379" i="1"/>
  <c r="AK379" i="1"/>
  <c r="AG379" i="1"/>
  <c r="AX386" i="1"/>
  <c r="AW386" i="1"/>
  <c r="AU386" i="1"/>
  <c r="AO377" i="1"/>
  <c r="AQ377" i="1" s="1"/>
  <c r="X377" i="1" s="1"/>
  <c r="AI378" i="1"/>
  <c r="AN378" i="1"/>
  <c r="V378" i="1" s="1"/>
  <c r="N387" i="1"/>
  <c r="M387" i="1"/>
  <c r="T387" i="1" s="1"/>
  <c r="R386" i="1"/>
  <c r="P386" i="1"/>
  <c r="AS380" i="1"/>
  <c r="AT380" i="1"/>
  <c r="AP380" i="1" s="1"/>
  <c r="Q387" i="1"/>
  <c r="O387" i="1"/>
  <c r="S387" i="1"/>
  <c r="AJ378" i="1" l="1"/>
  <c r="AL378" i="1" s="1"/>
  <c r="W378" i="1" s="1"/>
  <c r="U378" i="1"/>
  <c r="AV387" i="1"/>
  <c r="AH380" i="1"/>
  <c r="AK380" i="1"/>
  <c r="AG380" i="1"/>
  <c r="AX387" i="1"/>
  <c r="AW387" i="1"/>
  <c r="AU387" i="1"/>
  <c r="AO378" i="1"/>
  <c r="AQ378" i="1" s="1"/>
  <c r="X378" i="1" s="1"/>
  <c r="AN379" i="1"/>
  <c r="V379" i="1" s="1"/>
  <c r="AI379" i="1"/>
  <c r="N388" i="1"/>
  <c r="M388" i="1"/>
  <c r="T388" i="1" s="1"/>
  <c r="R387" i="1"/>
  <c r="P387" i="1"/>
  <c r="AS381" i="1"/>
  <c r="AT381" i="1"/>
  <c r="AP381" i="1" s="1"/>
  <c r="Q388" i="1"/>
  <c r="O388" i="1"/>
  <c r="S388" i="1"/>
  <c r="AJ379" i="1" l="1"/>
  <c r="AL379" i="1" s="1"/>
  <c r="W379" i="1" s="1"/>
  <c r="U379" i="1"/>
  <c r="AV388" i="1"/>
  <c r="AH381" i="1"/>
  <c r="AK381" i="1"/>
  <c r="AG381" i="1"/>
  <c r="AX388" i="1"/>
  <c r="AU388" i="1"/>
  <c r="AW388" i="1"/>
  <c r="AO379" i="1"/>
  <c r="AQ379" i="1" s="1"/>
  <c r="X379" i="1" s="1"/>
  <c r="AN380" i="1"/>
  <c r="V380" i="1" s="1"/>
  <c r="AI380" i="1"/>
  <c r="N389" i="1"/>
  <c r="M389" i="1"/>
  <c r="T389" i="1" s="1"/>
  <c r="R388" i="1"/>
  <c r="P388" i="1"/>
  <c r="AS382" i="1"/>
  <c r="AT382" i="1"/>
  <c r="AP382" i="1" s="1"/>
  <c r="Q389" i="1"/>
  <c r="S389" i="1"/>
  <c r="O389" i="1"/>
  <c r="AJ380" i="1" l="1"/>
  <c r="AL380" i="1" s="1"/>
  <c r="W380" i="1" s="1"/>
  <c r="U380" i="1"/>
  <c r="AV389" i="1"/>
  <c r="AH382" i="1"/>
  <c r="AK382" i="1"/>
  <c r="AG382" i="1"/>
  <c r="AX389" i="1"/>
  <c r="AU389" i="1"/>
  <c r="AW389" i="1"/>
  <c r="AO380" i="1"/>
  <c r="AQ380" i="1" s="1"/>
  <c r="X380" i="1" s="1"/>
  <c r="AN381" i="1"/>
  <c r="V381" i="1" s="1"/>
  <c r="AI381" i="1"/>
  <c r="N390" i="1"/>
  <c r="M390" i="1"/>
  <c r="T390" i="1" s="1"/>
  <c r="P389" i="1"/>
  <c r="R389" i="1"/>
  <c r="AT383" i="1"/>
  <c r="AP383" i="1" s="1"/>
  <c r="AS383" i="1"/>
  <c r="S390" i="1"/>
  <c r="O390" i="1"/>
  <c r="Q390" i="1"/>
  <c r="AJ381" i="1" l="1"/>
  <c r="AL381" i="1" s="1"/>
  <c r="W381" i="1" s="1"/>
  <c r="U381" i="1"/>
  <c r="AV390" i="1"/>
  <c r="AH383" i="1"/>
  <c r="AK383" i="1"/>
  <c r="AG383" i="1"/>
  <c r="AX390" i="1"/>
  <c r="AU390" i="1"/>
  <c r="AW390" i="1"/>
  <c r="AO381" i="1"/>
  <c r="AQ381" i="1" s="1"/>
  <c r="X381" i="1" s="1"/>
  <c r="AN382" i="1"/>
  <c r="V382" i="1" s="1"/>
  <c r="AI382" i="1"/>
  <c r="N391" i="1"/>
  <c r="M391" i="1"/>
  <c r="T391" i="1" s="1"/>
  <c r="P390" i="1"/>
  <c r="R390" i="1"/>
  <c r="AS384" i="1"/>
  <c r="AT384" i="1"/>
  <c r="AP384" i="1" s="1"/>
  <c r="O391" i="1"/>
  <c r="S391" i="1"/>
  <c r="Q391" i="1"/>
  <c r="AJ382" i="1" l="1"/>
  <c r="AL382" i="1" s="1"/>
  <c r="W382" i="1" s="1"/>
  <c r="U382" i="1"/>
  <c r="AV391" i="1"/>
  <c r="AH384" i="1"/>
  <c r="AK384" i="1"/>
  <c r="AG384" i="1"/>
  <c r="AX391" i="1"/>
  <c r="AW391" i="1"/>
  <c r="AU391" i="1"/>
  <c r="AO382" i="1"/>
  <c r="AQ382" i="1" s="1"/>
  <c r="X382" i="1" s="1"/>
  <c r="AN383" i="1"/>
  <c r="V383" i="1" s="1"/>
  <c r="AI383" i="1"/>
  <c r="N392" i="1"/>
  <c r="M392" i="1"/>
  <c r="T392" i="1" s="1"/>
  <c r="R391" i="1"/>
  <c r="P391" i="1"/>
  <c r="AS385" i="1"/>
  <c r="AT385" i="1"/>
  <c r="AP385" i="1" s="1"/>
  <c r="O392" i="1"/>
  <c r="Q392" i="1"/>
  <c r="S392" i="1"/>
  <c r="AJ383" i="1" l="1"/>
  <c r="AL383" i="1" s="1"/>
  <c r="W383" i="1" s="1"/>
  <c r="U383" i="1"/>
  <c r="AV392" i="1"/>
  <c r="AH385" i="1"/>
  <c r="AK385" i="1"/>
  <c r="AG385" i="1"/>
  <c r="AX392" i="1"/>
  <c r="AU392" i="1"/>
  <c r="AW392" i="1"/>
  <c r="AO383" i="1"/>
  <c r="AQ383" i="1" s="1"/>
  <c r="X383" i="1" s="1"/>
  <c r="AI384" i="1"/>
  <c r="AN384" i="1"/>
  <c r="V384" i="1" s="1"/>
  <c r="N393" i="1"/>
  <c r="M393" i="1"/>
  <c r="T393" i="1" s="1"/>
  <c r="R392" i="1"/>
  <c r="P392" i="1"/>
  <c r="AS386" i="1"/>
  <c r="AT386" i="1"/>
  <c r="AP386" i="1" s="1"/>
  <c r="S393" i="1"/>
  <c r="O393" i="1"/>
  <c r="Q393" i="1"/>
  <c r="AJ384" i="1" l="1"/>
  <c r="AL384" i="1" s="1"/>
  <c r="W384" i="1" s="1"/>
  <c r="U384" i="1"/>
  <c r="AV393" i="1"/>
  <c r="AH386" i="1"/>
  <c r="AK386" i="1"/>
  <c r="AG386" i="1"/>
  <c r="AX393" i="1"/>
  <c r="AW393" i="1"/>
  <c r="AU393" i="1"/>
  <c r="AO384" i="1"/>
  <c r="AQ384" i="1" s="1"/>
  <c r="X384" i="1" s="1"/>
  <c r="AN385" i="1"/>
  <c r="V385" i="1" s="1"/>
  <c r="AI385" i="1"/>
  <c r="N394" i="1"/>
  <c r="M394" i="1"/>
  <c r="T394" i="1" s="1"/>
  <c r="R393" i="1"/>
  <c r="P393" i="1"/>
  <c r="AS387" i="1"/>
  <c r="AT387" i="1"/>
  <c r="AP387" i="1" s="1"/>
  <c r="Q394" i="1"/>
  <c r="S394" i="1"/>
  <c r="O394" i="1"/>
  <c r="AJ385" i="1" l="1"/>
  <c r="AL385" i="1" s="1"/>
  <c r="W385" i="1" s="1"/>
  <c r="U385" i="1"/>
  <c r="AV394" i="1"/>
  <c r="AH387" i="1"/>
  <c r="AK387" i="1"/>
  <c r="AG387" i="1"/>
  <c r="AX394" i="1"/>
  <c r="AU394" i="1"/>
  <c r="AW394" i="1"/>
  <c r="AO385" i="1"/>
  <c r="AQ385" i="1" s="1"/>
  <c r="X385" i="1" s="1"/>
  <c r="AN386" i="1"/>
  <c r="V386" i="1" s="1"/>
  <c r="AI386" i="1"/>
  <c r="N395" i="1"/>
  <c r="M395" i="1"/>
  <c r="T395" i="1" s="1"/>
  <c r="R394" i="1"/>
  <c r="P394" i="1"/>
  <c r="AS388" i="1"/>
  <c r="AT388" i="1"/>
  <c r="AP388" i="1" s="1"/>
  <c r="S395" i="1"/>
  <c r="O395" i="1"/>
  <c r="Q395" i="1"/>
  <c r="AJ386" i="1" l="1"/>
  <c r="AL386" i="1" s="1"/>
  <c r="W386" i="1" s="1"/>
  <c r="U386" i="1"/>
  <c r="AV395" i="1"/>
  <c r="AH388" i="1"/>
  <c r="AK388" i="1"/>
  <c r="AG388" i="1"/>
  <c r="AX395" i="1"/>
  <c r="AU395" i="1"/>
  <c r="AW395" i="1"/>
  <c r="AO386" i="1"/>
  <c r="AQ386" i="1" s="1"/>
  <c r="X386" i="1" s="1"/>
  <c r="AN387" i="1"/>
  <c r="V387" i="1" s="1"/>
  <c r="AI387" i="1"/>
  <c r="N396" i="1"/>
  <c r="M396" i="1"/>
  <c r="T396" i="1" s="1"/>
  <c r="R395" i="1"/>
  <c r="P395" i="1"/>
  <c r="AS389" i="1"/>
  <c r="AT389" i="1"/>
  <c r="AP389" i="1" s="1"/>
  <c r="Q396" i="1"/>
  <c r="S396" i="1"/>
  <c r="O396" i="1"/>
  <c r="AJ387" i="1" l="1"/>
  <c r="AL387" i="1" s="1"/>
  <c r="W387" i="1" s="1"/>
  <c r="U387" i="1"/>
  <c r="AV396" i="1"/>
  <c r="AH389" i="1"/>
  <c r="AK389" i="1"/>
  <c r="AG389" i="1"/>
  <c r="AX396" i="1"/>
  <c r="AU396" i="1"/>
  <c r="AW396" i="1"/>
  <c r="AO387" i="1"/>
  <c r="AQ387" i="1" s="1"/>
  <c r="X387" i="1" s="1"/>
  <c r="AN388" i="1"/>
  <c r="V388" i="1" s="1"/>
  <c r="AI388" i="1"/>
  <c r="N397" i="1"/>
  <c r="M397" i="1"/>
  <c r="T397" i="1" s="1"/>
  <c r="R396" i="1"/>
  <c r="P396" i="1"/>
  <c r="AS390" i="1"/>
  <c r="AT390" i="1"/>
  <c r="AP390" i="1" s="1"/>
  <c r="S397" i="1"/>
  <c r="Q397" i="1"/>
  <c r="O397" i="1"/>
  <c r="AJ388" i="1" l="1"/>
  <c r="AL388" i="1" s="1"/>
  <c r="W388" i="1" s="1"/>
  <c r="U388" i="1"/>
  <c r="AV397" i="1"/>
  <c r="AH390" i="1"/>
  <c r="AK390" i="1"/>
  <c r="AG390" i="1"/>
  <c r="AX397" i="1"/>
  <c r="AW397" i="1"/>
  <c r="AU397" i="1"/>
  <c r="AO388" i="1"/>
  <c r="AQ388" i="1" s="1"/>
  <c r="X388" i="1" s="1"/>
  <c r="AN389" i="1"/>
  <c r="V389" i="1" s="1"/>
  <c r="AI389" i="1"/>
  <c r="N398" i="1"/>
  <c r="M398" i="1"/>
  <c r="T398" i="1" s="1"/>
  <c r="R397" i="1"/>
  <c r="P397" i="1"/>
  <c r="AT391" i="1"/>
  <c r="AP391" i="1" s="1"/>
  <c r="AS391" i="1"/>
  <c r="Q398" i="1"/>
  <c r="O398" i="1"/>
  <c r="S398" i="1"/>
  <c r="AJ389" i="1" l="1"/>
  <c r="AL389" i="1" s="1"/>
  <c r="W389" i="1" s="1"/>
  <c r="U389" i="1"/>
  <c r="AV398" i="1"/>
  <c r="AH391" i="1"/>
  <c r="AK391" i="1"/>
  <c r="AG391" i="1"/>
  <c r="AX398" i="1"/>
  <c r="AU398" i="1"/>
  <c r="AW398" i="1"/>
  <c r="AO389" i="1"/>
  <c r="AQ389" i="1" s="1"/>
  <c r="X389" i="1" s="1"/>
  <c r="AN390" i="1"/>
  <c r="V390" i="1" s="1"/>
  <c r="AI390" i="1"/>
  <c r="N399" i="1"/>
  <c r="M399" i="1"/>
  <c r="T399" i="1" s="1"/>
  <c r="R398" i="1"/>
  <c r="P398" i="1"/>
  <c r="AT392" i="1"/>
  <c r="AP392" i="1" s="1"/>
  <c r="AS392" i="1"/>
  <c r="O399" i="1"/>
  <c r="S399" i="1"/>
  <c r="Q399" i="1"/>
  <c r="AJ390" i="1" l="1"/>
  <c r="AL390" i="1" s="1"/>
  <c r="W390" i="1" s="1"/>
  <c r="U390" i="1"/>
  <c r="AV399" i="1"/>
  <c r="AH392" i="1"/>
  <c r="AK392" i="1"/>
  <c r="AG392" i="1"/>
  <c r="AX399" i="1"/>
  <c r="AU399" i="1"/>
  <c r="AW399" i="1"/>
  <c r="AO390" i="1"/>
  <c r="AQ390" i="1" s="1"/>
  <c r="X390" i="1" s="1"/>
  <c r="AN391" i="1"/>
  <c r="V391" i="1" s="1"/>
  <c r="AI391" i="1"/>
  <c r="N400" i="1"/>
  <c r="M400" i="1"/>
  <c r="T400" i="1" s="1"/>
  <c r="R399" i="1"/>
  <c r="P399" i="1"/>
  <c r="AS393" i="1"/>
  <c r="AT393" i="1"/>
  <c r="AP393" i="1" s="1"/>
  <c r="O400" i="1"/>
  <c r="S400" i="1"/>
  <c r="Q400" i="1"/>
  <c r="AJ391" i="1" l="1"/>
  <c r="AL391" i="1" s="1"/>
  <c r="W391" i="1" s="1"/>
  <c r="U391" i="1"/>
  <c r="AV400" i="1"/>
  <c r="AH393" i="1"/>
  <c r="AK393" i="1"/>
  <c r="AG393" i="1"/>
  <c r="AX400" i="1"/>
  <c r="AU400" i="1"/>
  <c r="AW400" i="1"/>
  <c r="AO391" i="1"/>
  <c r="AQ391" i="1" s="1"/>
  <c r="X391" i="1" s="1"/>
  <c r="AN392" i="1"/>
  <c r="V392" i="1" s="1"/>
  <c r="AI392" i="1"/>
  <c r="N401" i="1"/>
  <c r="M401" i="1"/>
  <c r="T401" i="1" s="1"/>
  <c r="R400" i="1"/>
  <c r="P400" i="1"/>
  <c r="AS394" i="1"/>
  <c r="AT394" i="1"/>
  <c r="AP394" i="1" s="1"/>
  <c r="Q401" i="1"/>
  <c r="S401" i="1"/>
  <c r="O401" i="1"/>
  <c r="AJ392" i="1" l="1"/>
  <c r="AL392" i="1" s="1"/>
  <c r="W392" i="1" s="1"/>
  <c r="U392" i="1"/>
  <c r="AV401" i="1"/>
  <c r="AH394" i="1"/>
  <c r="AK394" i="1"/>
  <c r="AG394" i="1"/>
  <c r="AX401" i="1"/>
  <c r="AW401" i="1"/>
  <c r="AU401" i="1"/>
  <c r="AO392" i="1"/>
  <c r="AQ392" i="1" s="1"/>
  <c r="X392" i="1" s="1"/>
  <c r="AN393" i="1"/>
  <c r="V393" i="1" s="1"/>
  <c r="AI393" i="1"/>
  <c r="N402" i="1"/>
  <c r="M402" i="1"/>
  <c r="T402" i="1" s="1"/>
  <c r="P401" i="1"/>
  <c r="R401" i="1"/>
  <c r="AS395" i="1"/>
  <c r="AT395" i="1"/>
  <c r="AP395" i="1" s="1"/>
  <c r="Q402" i="1"/>
  <c r="O402" i="1"/>
  <c r="S402" i="1"/>
  <c r="AJ393" i="1" l="1"/>
  <c r="AL393" i="1" s="1"/>
  <c r="W393" i="1" s="1"/>
  <c r="U393" i="1"/>
  <c r="AV402" i="1"/>
  <c r="AH395" i="1"/>
  <c r="AK395" i="1"/>
  <c r="AG395" i="1"/>
  <c r="AX402" i="1"/>
  <c r="AW402" i="1"/>
  <c r="AU402" i="1"/>
  <c r="AO393" i="1"/>
  <c r="AQ393" i="1" s="1"/>
  <c r="X393" i="1" s="1"/>
  <c r="AN394" i="1"/>
  <c r="V394" i="1" s="1"/>
  <c r="AI394" i="1"/>
  <c r="N403" i="1"/>
  <c r="M403" i="1"/>
  <c r="T403" i="1" s="1"/>
  <c r="R402" i="1"/>
  <c r="P402" i="1"/>
  <c r="AT396" i="1"/>
  <c r="AP396" i="1" s="1"/>
  <c r="AS396" i="1"/>
  <c r="S403" i="1"/>
  <c r="O403" i="1"/>
  <c r="Q403" i="1"/>
  <c r="AJ394" i="1" l="1"/>
  <c r="AL394" i="1" s="1"/>
  <c r="W394" i="1" s="1"/>
  <c r="U394" i="1"/>
  <c r="AV403" i="1"/>
  <c r="AH396" i="1"/>
  <c r="AK396" i="1"/>
  <c r="AG396" i="1"/>
  <c r="AX403" i="1"/>
  <c r="AU403" i="1"/>
  <c r="AW403" i="1"/>
  <c r="AO394" i="1"/>
  <c r="AQ394" i="1" s="1"/>
  <c r="X394" i="1" s="1"/>
  <c r="AN395" i="1"/>
  <c r="V395" i="1" s="1"/>
  <c r="AI395" i="1"/>
  <c r="N404" i="1"/>
  <c r="M404" i="1"/>
  <c r="T404" i="1" s="1"/>
  <c r="R403" i="1"/>
  <c r="P403" i="1"/>
  <c r="AS397" i="1"/>
  <c r="AT397" i="1"/>
  <c r="AP397" i="1" s="1"/>
  <c r="S404" i="1"/>
  <c r="O404" i="1"/>
  <c r="Q404" i="1"/>
  <c r="AJ395" i="1" l="1"/>
  <c r="AL395" i="1" s="1"/>
  <c r="W395" i="1" s="1"/>
  <c r="U395" i="1"/>
  <c r="AV404" i="1"/>
  <c r="AH397" i="1"/>
  <c r="AK397" i="1"/>
  <c r="AG397" i="1"/>
  <c r="AX404" i="1"/>
  <c r="AW404" i="1"/>
  <c r="AU404" i="1"/>
  <c r="AO395" i="1"/>
  <c r="AQ395" i="1" s="1"/>
  <c r="X395" i="1" s="1"/>
  <c r="AN396" i="1"/>
  <c r="V396" i="1" s="1"/>
  <c r="AI396" i="1"/>
  <c r="N405" i="1"/>
  <c r="M405" i="1"/>
  <c r="T405" i="1" s="1"/>
  <c r="R404" i="1"/>
  <c r="P404" i="1"/>
  <c r="AT398" i="1"/>
  <c r="AP398" i="1" s="1"/>
  <c r="AS398" i="1"/>
  <c r="S405" i="1"/>
  <c r="Q405" i="1"/>
  <c r="O405" i="1"/>
  <c r="AJ396" i="1" l="1"/>
  <c r="AL396" i="1" s="1"/>
  <c r="W396" i="1" s="1"/>
  <c r="U396" i="1"/>
  <c r="AV405" i="1"/>
  <c r="AH398" i="1"/>
  <c r="AK398" i="1"/>
  <c r="AG398" i="1"/>
  <c r="AX405" i="1"/>
  <c r="AW405" i="1"/>
  <c r="AU405" i="1"/>
  <c r="AO396" i="1"/>
  <c r="AQ396" i="1" s="1"/>
  <c r="X396" i="1" s="1"/>
  <c r="AN397" i="1"/>
  <c r="V397" i="1" s="1"/>
  <c r="AI397" i="1"/>
  <c r="N406" i="1"/>
  <c r="M406" i="1"/>
  <c r="T406" i="1" s="1"/>
  <c r="P405" i="1"/>
  <c r="R405" i="1"/>
  <c r="AT399" i="1"/>
  <c r="AP399" i="1" s="1"/>
  <c r="AS399" i="1"/>
  <c r="O406" i="1"/>
  <c r="S406" i="1"/>
  <c r="Q406" i="1"/>
  <c r="AJ397" i="1" l="1"/>
  <c r="AL397" i="1" s="1"/>
  <c r="W397" i="1" s="1"/>
  <c r="U397" i="1"/>
  <c r="AV406" i="1"/>
  <c r="AH399" i="1"/>
  <c r="AK399" i="1"/>
  <c r="AG399" i="1"/>
  <c r="AX406" i="1"/>
  <c r="AW406" i="1"/>
  <c r="AU406" i="1"/>
  <c r="AO397" i="1"/>
  <c r="AQ397" i="1" s="1"/>
  <c r="X397" i="1" s="1"/>
  <c r="AN398" i="1"/>
  <c r="V398" i="1" s="1"/>
  <c r="AI398" i="1"/>
  <c r="N407" i="1"/>
  <c r="M407" i="1"/>
  <c r="T407" i="1" s="1"/>
  <c r="R406" i="1"/>
  <c r="P406" i="1"/>
  <c r="AT400" i="1"/>
  <c r="AP400" i="1" s="1"/>
  <c r="AS400" i="1"/>
  <c r="S407" i="1"/>
  <c r="Q407" i="1"/>
  <c r="O407" i="1"/>
  <c r="AJ398" i="1" l="1"/>
  <c r="AL398" i="1" s="1"/>
  <c r="W398" i="1" s="1"/>
  <c r="U398" i="1"/>
  <c r="AV407" i="1"/>
  <c r="AH400" i="1"/>
  <c r="AK400" i="1"/>
  <c r="AG400" i="1"/>
  <c r="AX407" i="1"/>
  <c r="AU407" i="1"/>
  <c r="AW407" i="1"/>
  <c r="AO398" i="1"/>
  <c r="AQ398" i="1" s="1"/>
  <c r="X398" i="1" s="1"/>
  <c r="AN399" i="1"/>
  <c r="V399" i="1" s="1"/>
  <c r="AI399" i="1"/>
  <c r="N408" i="1"/>
  <c r="M408" i="1"/>
  <c r="T408" i="1" s="1"/>
  <c r="R407" i="1"/>
  <c r="P407" i="1"/>
  <c r="AS401" i="1"/>
  <c r="AT401" i="1"/>
  <c r="AP401" i="1" s="1"/>
  <c r="O408" i="1"/>
  <c r="Q408" i="1"/>
  <c r="S408" i="1"/>
  <c r="AJ399" i="1" l="1"/>
  <c r="AL399" i="1" s="1"/>
  <c r="W399" i="1" s="1"/>
  <c r="U399" i="1"/>
  <c r="AV408" i="1"/>
  <c r="AH401" i="1"/>
  <c r="AK401" i="1"/>
  <c r="AG401" i="1"/>
  <c r="AX408" i="1"/>
  <c r="AU408" i="1"/>
  <c r="AW408" i="1"/>
  <c r="AO399" i="1"/>
  <c r="AQ399" i="1" s="1"/>
  <c r="X399" i="1" s="1"/>
  <c r="AN400" i="1"/>
  <c r="V400" i="1" s="1"/>
  <c r="AI400" i="1"/>
  <c r="N409" i="1"/>
  <c r="M409" i="1"/>
  <c r="T409" i="1" s="1"/>
  <c r="R408" i="1"/>
  <c r="P408" i="1"/>
  <c r="AT402" i="1"/>
  <c r="AP402" i="1" s="1"/>
  <c r="AS402" i="1"/>
  <c r="S409" i="1"/>
  <c r="Q409" i="1"/>
  <c r="O409" i="1"/>
  <c r="AJ400" i="1" l="1"/>
  <c r="AL400" i="1" s="1"/>
  <c r="W400" i="1" s="1"/>
  <c r="U400" i="1"/>
  <c r="AV409" i="1"/>
  <c r="AH402" i="1"/>
  <c r="AK402" i="1"/>
  <c r="AG402" i="1"/>
  <c r="AX409" i="1"/>
  <c r="AU409" i="1"/>
  <c r="AW409" i="1"/>
  <c r="AO400" i="1"/>
  <c r="AQ400" i="1" s="1"/>
  <c r="X400" i="1" s="1"/>
  <c r="AN401" i="1"/>
  <c r="V401" i="1" s="1"/>
  <c r="AI401" i="1"/>
  <c r="N410" i="1"/>
  <c r="M410" i="1"/>
  <c r="T410" i="1" s="1"/>
  <c r="R409" i="1"/>
  <c r="P409" i="1"/>
  <c r="AS403" i="1"/>
  <c r="AT403" i="1"/>
  <c r="AP403" i="1" s="1"/>
  <c r="S410" i="1"/>
  <c r="Q410" i="1"/>
  <c r="O410" i="1"/>
  <c r="AJ401" i="1" l="1"/>
  <c r="AL401" i="1" s="1"/>
  <c r="W401" i="1" s="1"/>
  <c r="U401" i="1"/>
  <c r="AV410" i="1"/>
  <c r="AH403" i="1"/>
  <c r="AK403" i="1"/>
  <c r="AG403" i="1"/>
  <c r="AX410" i="1"/>
  <c r="AU410" i="1"/>
  <c r="AW410" i="1"/>
  <c r="AO401" i="1"/>
  <c r="AQ401" i="1" s="1"/>
  <c r="X401" i="1" s="1"/>
  <c r="AI402" i="1"/>
  <c r="AN402" i="1"/>
  <c r="V402" i="1" s="1"/>
  <c r="N411" i="1"/>
  <c r="M411" i="1"/>
  <c r="T411" i="1" s="1"/>
  <c r="R410" i="1"/>
  <c r="P410" i="1"/>
  <c r="AT404" i="1"/>
  <c r="AP404" i="1" s="1"/>
  <c r="AS404" i="1"/>
  <c r="O411" i="1"/>
  <c r="S411" i="1"/>
  <c r="Q411" i="1"/>
  <c r="AJ402" i="1" l="1"/>
  <c r="AL402" i="1" s="1"/>
  <c r="W402" i="1" s="1"/>
  <c r="U402" i="1"/>
  <c r="AV411" i="1"/>
  <c r="AH404" i="1"/>
  <c r="AK404" i="1"/>
  <c r="AG404" i="1"/>
  <c r="AX411" i="1"/>
  <c r="AW411" i="1"/>
  <c r="AU411" i="1"/>
  <c r="AO402" i="1"/>
  <c r="AQ402" i="1" s="1"/>
  <c r="X402" i="1" s="1"/>
  <c r="AN403" i="1"/>
  <c r="V403" i="1" s="1"/>
  <c r="AI403" i="1"/>
  <c r="N412" i="1"/>
  <c r="M412" i="1"/>
  <c r="T412" i="1" s="1"/>
  <c r="P411" i="1"/>
  <c r="R411" i="1"/>
  <c r="AT405" i="1"/>
  <c r="AP405" i="1" s="1"/>
  <c r="AS405" i="1"/>
  <c r="S412" i="1"/>
  <c r="O412" i="1"/>
  <c r="Q412" i="1"/>
  <c r="AJ403" i="1" l="1"/>
  <c r="AL403" i="1" s="1"/>
  <c r="W403" i="1" s="1"/>
  <c r="U403" i="1"/>
  <c r="AV412" i="1"/>
  <c r="AH405" i="1"/>
  <c r="AK405" i="1"/>
  <c r="AG405" i="1"/>
  <c r="AX412" i="1"/>
  <c r="AW412" i="1"/>
  <c r="AU412" i="1"/>
  <c r="AO403" i="1"/>
  <c r="AQ403" i="1" s="1"/>
  <c r="X403" i="1" s="1"/>
  <c r="AN404" i="1"/>
  <c r="V404" i="1" s="1"/>
  <c r="AI404" i="1"/>
  <c r="N413" i="1"/>
  <c r="M413" i="1"/>
  <c r="T413" i="1" s="1"/>
  <c r="P412" i="1"/>
  <c r="R412" i="1"/>
  <c r="AT406" i="1"/>
  <c r="AP406" i="1" s="1"/>
  <c r="AS406" i="1"/>
  <c r="Q413" i="1"/>
  <c r="O413" i="1"/>
  <c r="S413" i="1"/>
  <c r="AJ404" i="1" l="1"/>
  <c r="AL404" i="1" s="1"/>
  <c r="W404" i="1" s="1"/>
  <c r="U404" i="1"/>
  <c r="AV413" i="1"/>
  <c r="AH406" i="1"/>
  <c r="AK406" i="1"/>
  <c r="AG406" i="1"/>
  <c r="AX413" i="1"/>
  <c r="AU413" i="1"/>
  <c r="AW413" i="1"/>
  <c r="AO404" i="1"/>
  <c r="AQ404" i="1" s="1"/>
  <c r="X404" i="1" s="1"/>
  <c r="AN405" i="1"/>
  <c r="V405" i="1" s="1"/>
  <c r="AI405" i="1"/>
  <c r="N414" i="1"/>
  <c r="M414" i="1"/>
  <c r="T414" i="1" s="1"/>
  <c r="R413" i="1"/>
  <c r="P413" i="1"/>
  <c r="AT407" i="1"/>
  <c r="AP407" i="1" s="1"/>
  <c r="AS407" i="1"/>
  <c r="O414" i="1"/>
  <c r="Q414" i="1"/>
  <c r="S414" i="1"/>
  <c r="AJ405" i="1" l="1"/>
  <c r="AL405" i="1" s="1"/>
  <c r="W405" i="1" s="1"/>
  <c r="U405" i="1"/>
  <c r="AV414" i="1"/>
  <c r="AH407" i="1"/>
  <c r="AK407" i="1"/>
  <c r="AG407" i="1"/>
  <c r="AX414" i="1"/>
  <c r="AW414" i="1"/>
  <c r="AU414" i="1"/>
  <c r="AO405" i="1"/>
  <c r="AQ405" i="1" s="1"/>
  <c r="X405" i="1" s="1"/>
  <c r="AN406" i="1"/>
  <c r="V406" i="1" s="1"/>
  <c r="AI406" i="1"/>
  <c r="N415" i="1"/>
  <c r="M415" i="1"/>
  <c r="T415" i="1" s="1"/>
  <c r="R414" i="1"/>
  <c r="P414" i="1"/>
  <c r="AT408" i="1"/>
  <c r="AP408" i="1" s="1"/>
  <c r="AS408" i="1"/>
  <c r="S415" i="1"/>
  <c r="O415" i="1"/>
  <c r="Q415" i="1"/>
  <c r="AJ406" i="1" l="1"/>
  <c r="AL406" i="1" s="1"/>
  <c r="W406" i="1" s="1"/>
  <c r="U406" i="1"/>
  <c r="AV415" i="1"/>
  <c r="AH408" i="1"/>
  <c r="AK408" i="1"/>
  <c r="AG408" i="1"/>
  <c r="AX415" i="1"/>
  <c r="AW415" i="1"/>
  <c r="AU415" i="1"/>
  <c r="AO406" i="1"/>
  <c r="AQ406" i="1" s="1"/>
  <c r="X406" i="1" s="1"/>
  <c r="AN407" i="1"/>
  <c r="V407" i="1" s="1"/>
  <c r="AI407" i="1"/>
  <c r="N416" i="1"/>
  <c r="M416" i="1"/>
  <c r="T416" i="1" s="1"/>
  <c r="R415" i="1"/>
  <c r="P415" i="1"/>
  <c r="AT409" i="1"/>
  <c r="AP409" i="1" s="1"/>
  <c r="AS409" i="1"/>
  <c r="O416" i="1"/>
  <c r="S416" i="1"/>
  <c r="Q416" i="1"/>
  <c r="AJ407" i="1" l="1"/>
  <c r="AL407" i="1" s="1"/>
  <c r="W407" i="1" s="1"/>
  <c r="U407" i="1"/>
  <c r="AV416" i="1"/>
  <c r="AH409" i="1"/>
  <c r="AK409" i="1"/>
  <c r="AG409" i="1"/>
  <c r="AX416" i="1"/>
  <c r="AU416" i="1"/>
  <c r="AW416" i="1"/>
  <c r="AO407" i="1"/>
  <c r="AQ407" i="1" s="1"/>
  <c r="X407" i="1" s="1"/>
  <c r="AN408" i="1"/>
  <c r="V408" i="1" s="1"/>
  <c r="AI408" i="1"/>
  <c r="N417" i="1"/>
  <c r="M417" i="1"/>
  <c r="T417" i="1" s="1"/>
  <c r="R416" i="1"/>
  <c r="P416" i="1"/>
  <c r="AT410" i="1"/>
  <c r="AP410" i="1" s="1"/>
  <c r="AS410" i="1"/>
  <c r="S417" i="1"/>
  <c r="Q417" i="1"/>
  <c r="O417" i="1"/>
  <c r="AJ408" i="1" l="1"/>
  <c r="AL408" i="1" s="1"/>
  <c r="W408" i="1" s="1"/>
  <c r="U408" i="1"/>
  <c r="AV417" i="1"/>
  <c r="AH410" i="1"/>
  <c r="AK410" i="1"/>
  <c r="AG410" i="1"/>
  <c r="AX417" i="1"/>
  <c r="AU417" i="1"/>
  <c r="AW417" i="1"/>
  <c r="AO408" i="1"/>
  <c r="AQ408" i="1" s="1"/>
  <c r="X408" i="1" s="1"/>
  <c r="AN409" i="1"/>
  <c r="V409" i="1" s="1"/>
  <c r="AI409" i="1"/>
  <c r="N418" i="1"/>
  <c r="M418" i="1"/>
  <c r="T418" i="1" s="1"/>
  <c r="P417" i="1"/>
  <c r="R417" i="1"/>
  <c r="AS411" i="1"/>
  <c r="AT411" i="1"/>
  <c r="AP411" i="1" s="1"/>
  <c r="O418" i="1"/>
  <c r="S418" i="1"/>
  <c r="Q418" i="1"/>
  <c r="AJ409" i="1" l="1"/>
  <c r="AL409" i="1" s="1"/>
  <c r="W409" i="1" s="1"/>
  <c r="U409" i="1"/>
  <c r="AV418" i="1"/>
  <c r="AH411" i="1"/>
  <c r="AK411" i="1"/>
  <c r="AG411" i="1"/>
  <c r="AX418" i="1"/>
  <c r="AW418" i="1"/>
  <c r="AU418" i="1"/>
  <c r="AO409" i="1"/>
  <c r="AQ409" i="1" s="1"/>
  <c r="X409" i="1" s="1"/>
  <c r="AN410" i="1"/>
  <c r="V410" i="1" s="1"/>
  <c r="AI410" i="1"/>
  <c r="N419" i="1"/>
  <c r="M419" i="1"/>
  <c r="T419" i="1" s="1"/>
  <c r="R418" i="1"/>
  <c r="P418" i="1"/>
  <c r="AT412" i="1"/>
  <c r="AP412" i="1" s="1"/>
  <c r="AS412" i="1"/>
  <c r="Q419" i="1"/>
  <c r="S419" i="1"/>
  <c r="O419" i="1"/>
  <c r="AJ410" i="1" l="1"/>
  <c r="AL410" i="1" s="1"/>
  <c r="W410" i="1" s="1"/>
  <c r="U410" i="1"/>
  <c r="AV419" i="1"/>
  <c r="AH412" i="1"/>
  <c r="AK412" i="1"/>
  <c r="AG412" i="1"/>
  <c r="AX419" i="1"/>
  <c r="AU419" i="1"/>
  <c r="AW419" i="1"/>
  <c r="AO410" i="1"/>
  <c r="AQ410" i="1" s="1"/>
  <c r="X410" i="1" s="1"/>
  <c r="AN411" i="1"/>
  <c r="V411" i="1" s="1"/>
  <c r="AI411" i="1"/>
  <c r="N420" i="1"/>
  <c r="M420" i="1"/>
  <c r="T420" i="1" s="1"/>
  <c r="R419" i="1"/>
  <c r="P419" i="1"/>
  <c r="AS413" i="1"/>
  <c r="AT413" i="1"/>
  <c r="AP413" i="1" s="1"/>
  <c r="Q420" i="1"/>
  <c r="S420" i="1"/>
  <c r="O420" i="1"/>
  <c r="AJ411" i="1" l="1"/>
  <c r="AL411" i="1" s="1"/>
  <c r="W411" i="1" s="1"/>
  <c r="U411" i="1"/>
  <c r="AV420" i="1"/>
  <c r="AH413" i="1"/>
  <c r="AK413" i="1"/>
  <c r="AG413" i="1"/>
  <c r="AX420" i="1"/>
  <c r="AW420" i="1"/>
  <c r="AU420" i="1"/>
  <c r="AO411" i="1"/>
  <c r="AQ411" i="1" s="1"/>
  <c r="X411" i="1" s="1"/>
  <c r="AN412" i="1"/>
  <c r="V412" i="1" s="1"/>
  <c r="AI412" i="1"/>
  <c r="N421" i="1"/>
  <c r="M421" i="1"/>
  <c r="T421" i="1" s="1"/>
  <c r="R420" i="1"/>
  <c r="P420" i="1"/>
  <c r="AT414" i="1"/>
  <c r="AP414" i="1" s="1"/>
  <c r="AS414" i="1"/>
  <c r="Q421" i="1"/>
  <c r="S421" i="1"/>
  <c r="O421" i="1"/>
  <c r="AJ412" i="1" l="1"/>
  <c r="AL412" i="1" s="1"/>
  <c r="W412" i="1" s="1"/>
  <c r="U412" i="1"/>
  <c r="AV421" i="1"/>
  <c r="AH414" i="1"/>
  <c r="AK414" i="1"/>
  <c r="AG414" i="1"/>
  <c r="AX421" i="1"/>
  <c r="AW421" i="1"/>
  <c r="AU421" i="1"/>
  <c r="AO412" i="1"/>
  <c r="AQ412" i="1" s="1"/>
  <c r="X412" i="1" s="1"/>
  <c r="AN413" i="1"/>
  <c r="V413" i="1" s="1"/>
  <c r="AI413" i="1"/>
  <c r="N422" i="1"/>
  <c r="M422" i="1"/>
  <c r="T422" i="1" s="1"/>
  <c r="R421" i="1"/>
  <c r="P421" i="1"/>
  <c r="AS415" i="1"/>
  <c r="AT415" i="1"/>
  <c r="AP415" i="1" s="1"/>
  <c r="S422" i="1"/>
  <c r="Q422" i="1"/>
  <c r="O422" i="1"/>
  <c r="AJ413" i="1" l="1"/>
  <c r="AL413" i="1" s="1"/>
  <c r="W413" i="1" s="1"/>
  <c r="U413" i="1"/>
  <c r="AV422" i="1"/>
  <c r="AH415" i="1"/>
  <c r="AK415" i="1"/>
  <c r="AG415" i="1"/>
  <c r="AX422" i="1"/>
  <c r="AW422" i="1"/>
  <c r="AU422" i="1"/>
  <c r="AO413" i="1"/>
  <c r="AQ413" i="1" s="1"/>
  <c r="X413" i="1" s="1"/>
  <c r="AI414" i="1"/>
  <c r="AN414" i="1"/>
  <c r="V414" i="1" s="1"/>
  <c r="N423" i="1"/>
  <c r="M423" i="1"/>
  <c r="T423" i="1" s="1"/>
  <c r="R422" i="1"/>
  <c r="P422" i="1"/>
  <c r="AT416" i="1"/>
  <c r="AP416" i="1" s="1"/>
  <c r="AS416" i="1"/>
  <c r="O423" i="1"/>
  <c r="Q423" i="1"/>
  <c r="S423" i="1"/>
  <c r="AJ414" i="1" l="1"/>
  <c r="AL414" i="1" s="1"/>
  <c r="W414" i="1" s="1"/>
  <c r="U414" i="1"/>
  <c r="AV423" i="1"/>
  <c r="AH416" i="1"/>
  <c r="AK416" i="1"/>
  <c r="AG416" i="1"/>
  <c r="AX423" i="1"/>
  <c r="AU423" i="1"/>
  <c r="AW423" i="1"/>
  <c r="AO414" i="1"/>
  <c r="AQ414" i="1" s="1"/>
  <c r="X414" i="1" s="1"/>
  <c r="AN415" i="1"/>
  <c r="V415" i="1" s="1"/>
  <c r="AI415" i="1"/>
  <c r="N424" i="1"/>
  <c r="M424" i="1"/>
  <c r="T424" i="1" s="1"/>
  <c r="R423" i="1"/>
  <c r="P423" i="1"/>
  <c r="AS417" i="1"/>
  <c r="AT417" i="1"/>
  <c r="AP417" i="1" s="1"/>
  <c r="O424" i="1"/>
  <c r="Q424" i="1"/>
  <c r="S424" i="1"/>
  <c r="AJ415" i="1" l="1"/>
  <c r="AL415" i="1" s="1"/>
  <c r="W415" i="1" s="1"/>
  <c r="U415" i="1"/>
  <c r="AV424" i="1"/>
  <c r="AH417" i="1"/>
  <c r="AK417" i="1"/>
  <c r="AG417" i="1"/>
  <c r="AX424" i="1"/>
  <c r="AU424" i="1"/>
  <c r="AW424" i="1"/>
  <c r="AO415" i="1"/>
  <c r="AQ415" i="1" s="1"/>
  <c r="X415" i="1" s="1"/>
  <c r="AN416" i="1"/>
  <c r="V416" i="1" s="1"/>
  <c r="AI416" i="1"/>
  <c r="N425" i="1"/>
  <c r="M425" i="1"/>
  <c r="T425" i="1" s="1"/>
  <c r="R424" i="1"/>
  <c r="P424" i="1"/>
  <c r="AT418" i="1"/>
  <c r="AP418" i="1" s="1"/>
  <c r="AS418" i="1"/>
  <c r="Q425" i="1"/>
  <c r="O425" i="1"/>
  <c r="S425" i="1"/>
  <c r="AJ416" i="1" l="1"/>
  <c r="AL416" i="1" s="1"/>
  <c r="W416" i="1" s="1"/>
  <c r="U416" i="1"/>
  <c r="AV425" i="1"/>
  <c r="AH418" i="1"/>
  <c r="AK418" i="1"/>
  <c r="AG418" i="1"/>
  <c r="AX425" i="1"/>
  <c r="AW425" i="1"/>
  <c r="AU425" i="1"/>
  <c r="AO416" i="1"/>
  <c r="AQ416" i="1" s="1"/>
  <c r="X416" i="1" s="1"/>
  <c r="AN417" i="1"/>
  <c r="V417" i="1" s="1"/>
  <c r="AI417" i="1"/>
  <c r="N426" i="1"/>
  <c r="M426" i="1"/>
  <c r="T426" i="1" s="1"/>
  <c r="P425" i="1"/>
  <c r="R425" i="1"/>
  <c r="AS419" i="1"/>
  <c r="AT419" i="1"/>
  <c r="AP419" i="1" s="1"/>
  <c r="O426" i="1"/>
  <c r="Q426" i="1"/>
  <c r="S426" i="1"/>
  <c r="AJ417" i="1" l="1"/>
  <c r="AL417" i="1" s="1"/>
  <c r="W417" i="1" s="1"/>
  <c r="U417" i="1"/>
  <c r="AV426" i="1"/>
  <c r="AH419" i="1"/>
  <c r="AK419" i="1"/>
  <c r="AG419" i="1"/>
  <c r="AX426" i="1"/>
  <c r="AW426" i="1"/>
  <c r="AU426" i="1"/>
  <c r="AO417" i="1"/>
  <c r="AQ417" i="1" s="1"/>
  <c r="X417" i="1" s="1"/>
  <c r="AI418" i="1"/>
  <c r="AN418" i="1"/>
  <c r="V418" i="1" s="1"/>
  <c r="N427" i="1"/>
  <c r="M427" i="1"/>
  <c r="T427" i="1" s="1"/>
  <c r="R426" i="1"/>
  <c r="P426" i="1"/>
  <c r="AT420" i="1"/>
  <c r="AP420" i="1" s="1"/>
  <c r="AS420" i="1"/>
  <c r="Q427" i="1"/>
  <c r="O427" i="1"/>
  <c r="S427" i="1"/>
  <c r="AJ418" i="1" l="1"/>
  <c r="AL418" i="1" s="1"/>
  <c r="W418" i="1" s="1"/>
  <c r="U418" i="1"/>
  <c r="AV427" i="1"/>
  <c r="AH420" i="1"/>
  <c r="AK420" i="1"/>
  <c r="AG420" i="1"/>
  <c r="AX427" i="1"/>
  <c r="AW427" i="1"/>
  <c r="AU427" i="1"/>
  <c r="AO418" i="1"/>
  <c r="AQ418" i="1" s="1"/>
  <c r="X418" i="1" s="1"/>
  <c r="AN419" i="1"/>
  <c r="V419" i="1" s="1"/>
  <c r="AI419" i="1"/>
  <c r="N428" i="1"/>
  <c r="M428" i="1"/>
  <c r="T428" i="1" s="1"/>
  <c r="P427" i="1"/>
  <c r="R427" i="1"/>
  <c r="AT421" i="1"/>
  <c r="AP421" i="1" s="1"/>
  <c r="AS421" i="1"/>
  <c r="Q428" i="1"/>
  <c r="O428" i="1"/>
  <c r="S428" i="1"/>
  <c r="AJ419" i="1" l="1"/>
  <c r="AL419" i="1" s="1"/>
  <c r="W419" i="1" s="1"/>
  <c r="U419" i="1"/>
  <c r="AV428" i="1"/>
  <c r="AH421" i="1"/>
  <c r="AK421" i="1"/>
  <c r="AG421" i="1"/>
  <c r="AX428" i="1"/>
  <c r="AW428" i="1"/>
  <c r="AU428" i="1"/>
  <c r="AO419" i="1"/>
  <c r="AQ419" i="1" s="1"/>
  <c r="X419" i="1" s="1"/>
  <c r="AN420" i="1"/>
  <c r="V420" i="1" s="1"/>
  <c r="AI420" i="1"/>
  <c r="N429" i="1"/>
  <c r="M429" i="1"/>
  <c r="T429" i="1" s="1"/>
  <c r="R428" i="1"/>
  <c r="P428" i="1"/>
  <c r="AS422" i="1"/>
  <c r="AT422" i="1"/>
  <c r="AP422" i="1" s="1"/>
  <c r="O429" i="1"/>
  <c r="S429" i="1"/>
  <c r="Q429" i="1"/>
  <c r="AJ420" i="1" l="1"/>
  <c r="AL420" i="1" s="1"/>
  <c r="W420" i="1" s="1"/>
  <c r="U420" i="1"/>
  <c r="AV429" i="1"/>
  <c r="AH422" i="1"/>
  <c r="AK422" i="1"/>
  <c r="AG422" i="1"/>
  <c r="AX429" i="1"/>
  <c r="AW429" i="1"/>
  <c r="AU429" i="1"/>
  <c r="N430" i="1"/>
  <c r="AO420" i="1"/>
  <c r="AQ420" i="1" s="1"/>
  <c r="X420" i="1" s="1"/>
  <c r="AN421" i="1"/>
  <c r="V421" i="1" s="1"/>
  <c r="AI421" i="1"/>
  <c r="M430" i="1"/>
  <c r="T430" i="1" s="1"/>
  <c r="R429" i="1"/>
  <c r="P429" i="1"/>
  <c r="AT423" i="1"/>
  <c r="AP423" i="1" s="1"/>
  <c r="AS423" i="1"/>
  <c r="O430" i="1"/>
  <c r="Q430" i="1"/>
  <c r="S430" i="1"/>
  <c r="AJ421" i="1" l="1"/>
  <c r="AL421" i="1" s="1"/>
  <c r="W421" i="1" s="1"/>
  <c r="U421" i="1"/>
  <c r="AV430" i="1"/>
  <c r="AH423" i="1"/>
  <c r="AK423" i="1"/>
  <c r="AG423" i="1"/>
  <c r="AX430" i="1"/>
  <c r="AU430" i="1"/>
  <c r="AW430" i="1"/>
  <c r="AO421" i="1"/>
  <c r="AQ421" i="1" s="1"/>
  <c r="X421" i="1" s="1"/>
  <c r="AN422" i="1"/>
  <c r="V422" i="1" s="1"/>
  <c r="AI422" i="1"/>
  <c r="R430" i="1"/>
  <c r="P430" i="1"/>
  <c r="AT424" i="1"/>
  <c r="AP424" i="1" s="1"/>
  <c r="AS424" i="1"/>
  <c r="C47" i="1" l="1"/>
  <c r="AJ422" i="1"/>
  <c r="AL422" i="1" s="1"/>
  <c r="W422" i="1" s="1"/>
  <c r="U422" i="1"/>
  <c r="AH424" i="1"/>
  <c r="AK424" i="1"/>
  <c r="AG424" i="1"/>
  <c r="AO422" i="1"/>
  <c r="AQ422" i="1" s="1"/>
  <c r="X422" i="1" s="1"/>
  <c r="AN423" i="1"/>
  <c r="V423" i="1" s="1"/>
  <c r="AI423" i="1"/>
  <c r="AT425" i="1"/>
  <c r="AP425" i="1" s="1"/>
  <c r="AS425" i="1"/>
  <c r="AJ423" i="1" l="1"/>
  <c r="AL423" i="1" s="1"/>
  <c r="W423" i="1" s="1"/>
  <c r="U423" i="1"/>
  <c r="AH425" i="1"/>
  <c r="AK425" i="1"/>
  <c r="AG425" i="1"/>
  <c r="AO423" i="1"/>
  <c r="AQ423" i="1" s="1"/>
  <c r="X423" i="1" s="1"/>
  <c r="AI424" i="1"/>
  <c r="AN424" i="1"/>
  <c r="V424" i="1" s="1"/>
  <c r="AS426" i="1"/>
  <c r="AT426" i="1"/>
  <c r="AP426" i="1" s="1"/>
  <c r="AJ424" i="1" l="1"/>
  <c r="AL424" i="1" s="1"/>
  <c r="U424" i="1"/>
  <c r="AH426" i="1"/>
  <c r="AK426" i="1"/>
  <c r="AG426" i="1"/>
  <c r="AO424" i="1"/>
  <c r="AQ424" i="1" s="1"/>
  <c r="AN425" i="1"/>
  <c r="V425" i="1" s="1"/>
  <c r="AI425" i="1"/>
  <c r="AS427" i="1"/>
  <c r="AT427" i="1"/>
  <c r="AP427" i="1" s="1"/>
  <c r="X424" i="1" l="1"/>
  <c r="W424" i="1"/>
  <c r="AJ425" i="1"/>
  <c r="AL425" i="1" s="1"/>
  <c r="W425" i="1" s="1"/>
  <c r="U425" i="1"/>
  <c r="AH427" i="1"/>
  <c r="AK427" i="1"/>
  <c r="AG427" i="1"/>
  <c r="AO425" i="1"/>
  <c r="AQ425" i="1" s="1"/>
  <c r="X425" i="1" s="1"/>
  <c r="AN426" i="1"/>
  <c r="V426" i="1" s="1"/>
  <c r="AI426" i="1"/>
  <c r="AS428" i="1"/>
  <c r="AT428" i="1"/>
  <c r="AP428" i="1" s="1"/>
  <c r="AJ426" i="1" l="1"/>
  <c r="AL426" i="1" s="1"/>
  <c r="U426" i="1"/>
  <c r="AH428" i="1"/>
  <c r="AK428" i="1"/>
  <c r="AG428" i="1"/>
  <c r="AO426" i="1"/>
  <c r="AQ426" i="1" s="1"/>
  <c r="AN427" i="1"/>
  <c r="V427" i="1" s="1"/>
  <c r="AI427" i="1"/>
  <c r="AT429" i="1"/>
  <c r="AP429" i="1" s="1"/>
  <c r="AS429" i="1"/>
  <c r="X426" i="1" l="1"/>
  <c r="W426" i="1"/>
  <c r="AJ427" i="1"/>
  <c r="AL427" i="1" s="1"/>
  <c r="W427" i="1" s="1"/>
  <c r="U427" i="1"/>
  <c r="AH429" i="1"/>
  <c r="AK429" i="1"/>
  <c r="AG429" i="1"/>
  <c r="AO427" i="1"/>
  <c r="AQ427" i="1" s="1"/>
  <c r="X427" i="1" s="1"/>
  <c r="AN428" i="1"/>
  <c r="V428" i="1" s="1"/>
  <c r="AI428" i="1"/>
  <c r="AS430" i="1"/>
  <c r="AT430" i="1"/>
  <c r="AJ428" i="1" l="1"/>
  <c r="AL428" i="1" s="1"/>
  <c r="U428" i="1"/>
  <c r="D47" i="1"/>
  <c r="AG430" i="1"/>
  <c r="AH430" i="1"/>
  <c r="AO428" i="1"/>
  <c r="AQ428" i="1" s="1"/>
  <c r="AN429" i="1"/>
  <c r="V429" i="1" s="1"/>
  <c r="AI429" i="1"/>
  <c r="X428" i="1" l="1"/>
  <c r="W428" i="1"/>
  <c r="AJ429" i="1"/>
  <c r="AL429" i="1" s="1"/>
  <c r="W429" i="1" s="1"/>
  <c r="U429" i="1"/>
  <c r="C43" i="1"/>
  <c r="AO430" i="1"/>
  <c r="AO429" i="1"/>
  <c r="AQ429" i="1" s="1"/>
  <c r="X429" i="1" s="1"/>
  <c r="AI430" i="1"/>
  <c r="U430" i="1" s="1"/>
  <c r="AA63" i="1" l="1"/>
  <c r="AA64" i="1" s="1"/>
  <c r="AA65" i="1" s="1"/>
  <c r="C44" i="1"/>
  <c r="D44" i="1" s="1"/>
  <c r="C46" i="1"/>
  <c r="D46" i="1" s="1"/>
  <c r="C45" i="1"/>
  <c r="D45" i="1" s="1"/>
  <c r="D43" i="1"/>
  <c r="AJ430" i="1"/>
  <c r="AM40" i="1"/>
  <c r="AB60" i="1" l="1"/>
  <c r="AB59" i="1"/>
  <c r="AB50" i="1"/>
  <c r="AA53" i="1" s="1"/>
  <c r="AB47" i="1"/>
  <c r="AA52" i="1" s="1"/>
  <c r="AA58" i="1"/>
  <c r="AM41" i="1"/>
  <c r="AM42" i="1" s="1"/>
  <c r="AM43" i="1" s="1"/>
  <c r="AM44" i="1" s="1"/>
  <c r="AM45" i="1" s="1"/>
  <c r="AM46" i="1" s="1"/>
  <c r="AM47" i="1" s="1"/>
  <c r="AM48" i="1" s="1"/>
  <c r="AM49" i="1" s="1"/>
  <c r="AM50" i="1" s="1"/>
  <c r="AM51" i="1" s="1"/>
  <c r="AM52" i="1" s="1"/>
  <c r="AM53" i="1" s="1"/>
  <c r="AM54" i="1" s="1"/>
  <c r="AM55" i="1" s="1"/>
  <c r="AM56" i="1" s="1"/>
  <c r="AM57" i="1" s="1"/>
  <c r="AM58" i="1" s="1"/>
  <c r="AM59" i="1" s="1"/>
  <c r="AM60" i="1" s="1"/>
  <c r="AM61" i="1" s="1"/>
  <c r="AM62" i="1" s="1"/>
  <c r="AM63" i="1" s="1"/>
  <c r="AM64" i="1" s="1"/>
  <c r="AM65" i="1" s="1"/>
  <c r="AM66" i="1" s="1"/>
  <c r="AM67" i="1" s="1"/>
  <c r="AM68" i="1" s="1"/>
  <c r="AM69" i="1" s="1"/>
  <c r="AM70" i="1" s="1"/>
  <c r="AM71" i="1" s="1"/>
  <c r="AM72" i="1" s="1"/>
  <c r="AM73" i="1" s="1"/>
  <c r="AM74" i="1" s="1"/>
  <c r="AM75" i="1" s="1"/>
  <c r="AM76" i="1" s="1"/>
  <c r="AM77" i="1" s="1"/>
  <c r="AM78" i="1" s="1"/>
  <c r="AM79" i="1" s="1"/>
  <c r="AM80" i="1" s="1"/>
  <c r="AM81" i="1" s="1"/>
  <c r="AM82" i="1" s="1"/>
  <c r="AM83" i="1" s="1"/>
  <c r="AM84" i="1" s="1"/>
  <c r="AM85" i="1" s="1"/>
  <c r="AM86" i="1" s="1"/>
  <c r="AM87" i="1" s="1"/>
  <c r="AM88" i="1" s="1"/>
  <c r="AM89" i="1" s="1"/>
  <c r="AM90" i="1" s="1"/>
  <c r="AM91" i="1" s="1"/>
  <c r="AM92" i="1" s="1"/>
  <c r="AM93" i="1" s="1"/>
  <c r="AM94" i="1" s="1"/>
  <c r="AM95" i="1" s="1"/>
  <c r="AM96" i="1" s="1"/>
  <c r="AM97" i="1" s="1"/>
  <c r="AM98" i="1" s="1"/>
  <c r="AM99" i="1" s="1"/>
  <c r="AM100" i="1" s="1"/>
  <c r="AM101" i="1" s="1"/>
  <c r="AM102" i="1" s="1"/>
  <c r="AM103" i="1" s="1"/>
  <c r="AM104" i="1" s="1"/>
  <c r="AM105" i="1" s="1"/>
  <c r="AM106" i="1" s="1"/>
  <c r="AM107" i="1" s="1"/>
  <c r="AM108" i="1" s="1"/>
  <c r="AM109" i="1" s="1"/>
  <c r="AM110" i="1" s="1"/>
  <c r="AM111" i="1" s="1"/>
  <c r="AM112" i="1" s="1"/>
  <c r="AM113" i="1" s="1"/>
  <c r="AM114" i="1" s="1"/>
  <c r="AM115" i="1" s="1"/>
  <c r="AM116" i="1" s="1"/>
  <c r="AM117" i="1" s="1"/>
  <c r="AM118" i="1" s="1"/>
  <c r="AM119" i="1" s="1"/>
  <c r="AM120" i="1" s="1"/>
  <c r="AM121" i="1" s="1"/>
  <c r="AM122" i="1" s="1"/>
  <c r="AM123" i="1" s="1"/>
  <c r="AM124" i="1" s="1"/>
  <c r="AM125" i="1" s="1"/>
  <c r="AM126" i="1" s="1"/>
  <c r="AM127" i="1" s="1"/>
  <c r="AM128" i="1" s="1"/>
  <c r="AM129" i="1" s="1"/>
  <c r="AM130" i="1" s="1"/>
  <c r="AM131" i="1" s="1"/>
  <c r="AM132" i="1" s="1"/>
  <c r="AM133" i="1" s="1"/>
  <c r="AM134" i="1" s="1"/>
  <c r="AM135" i="1" s="1"/>
  <c r="AM136" i="1" s="1"/>
  <c r="AM137" i="1" s="1"/>
  <c r="AM138" i="1" s="1"/>
  <c r="AM139" i="1" s="1"/>
  <c r="AM140" i="1" s="1"/>
  <c r="AM141" i="1" s="1"/>
  <c r="AM142" i="1" s="1"/>
  <c r="AM143" i="1" s="1"/>
  <c r="AM144" i="1" s="1"/>
  <c r="AM145" i="1" s="1"/>
  <c r="AM146" i="1" s="1"/>
  <c r="AM147" i="1" s="1"/>
  <c r="AM148" i="1" s="1"/>
  <c r="AM149" i="1" s="1"/>
  <c r="AM150" i="1" s="1"/>
  <c r="AM151" i="1" s="1"/>
  <c r="AM152" i="1" s="1"/>
  <c r="AM153" i="1" s="1"/>
  <c r="AM154" i="1" s="1"/>
  <c r="AM155" i="1" s="1"/>
  <c r="AM156" i="1" s="1"/>
  <c r="AM157" i="1" s="1"/>
  <c r="AM158" i="1" s="1"/>
  <c r="AM159" i="1" s="1"/>
  <c r="AM160" i="1" s="1"/>
  <c r="AM161" i="1" s="1"/>
  <c r="AM162" i="1" s="1"/>
  <c r="AM163" i="1" s="1"/>
  <c r="AM164" i="1" s="1"/>
  <c r="AM165" i="1" s="1"/>
  <c r="AM166" i="1" s="1"/>
  <c r="AM167" i="1" s="1"/>
  <c r="AM168" i="1" s="1"/>
  <c r="AM169" i="1" s="1"/>
  <c r="AM170" i="1" s="1"/>
  <c r="AM171" i="1" s="1"/>
  <c r="AM172" i="1" s="1"/>
  <c r="AM173" i="1" s="1"/>
  <c r="AM174" i="1" s="1"/>
  <c r="AM175" i="1" s="1"/>
  <c r="AM176" i="1" s="1"/>
  <c r="AM177" i="1" s="1"/>
  <c r="AM178" i="1" s="1"/>
  <c r="AM179" i="1" s="1"/>
  <c r="AM180" i="1" s="1"/>
  <c r="AM181" i="1" s="1"/>
  <c r="AM182" i="1" s="1"/>
  <c r="AM183" i="1" s="1"/>
  <c r="AM184" i="1" s="1"/>
  <c r="AM185" i="1" s="1"/>
  <c r="AM186" i="1" s="1"/>
  <c r="AM187" i="1" s="1"/>
  <c r="AM188" i="1" s="1"/>
  <c r="AM189" i="1" s="1"/>
  <c r="AM190" i="1" s="1"/>
  <c r="AM191" i="1" s="1"/>
  <c r="AM192" i="1" s="1"/>
  <c r="AM193" i="1" s="1"/>
  <c r="AM194" i="1" s="1"/>
  <c r="AM195" i="1" s="1"/>
  <c r="AM196" i="1" s="1"/>
  <c r="AM197" i="1" s="1"/>
  <c r="AM198" i="1" s="1"/>
  <c r="AM199" i="1" s="1"/>
  <c r="AM200" i="1" s="1"/>
  <c r="AM201" i="1" s="1"/>
  <c r="AM202" i="1" s="1"/>
  <c r="AM203" i="1" s="1"/>
  <c r="AM204" i="1" s="1"/>
  <c r="AM205" i="1" s="1"/>
  <c r="AM206" i="1" s="1"/>
  <c r="AM207" i="1" s="1"/>
  <c r="AM208" i="1" s="1"/>
  <c r="AM209" i="1" s="1"/>
  <c r="AM210" i="1" s="1"/>
  <c r="AM211" i="1" s="1"/>
  <c r="AM212" i="1" s="1"/>
  <c r="AM213" i="1" s="1"/>
  <c r="AM214" i="1" s="1"/>
  <c r="AM215" i="1" s="1"/>
  <c r="AM216" i="1" s="1"/>
  <c r="AM217" i="1" s="1"/>
  <c r="AM218" i="1" s="1"/>
  <c r="AM219" i="1" s="1"/>
  <c r="AM220" i="1" s="1"/>
  <c r="AM221" i="1" s="1"/>
  <c r="AM222" i="1" s="1"/>
  <c r="AM223" i="1" s="1"/>
  <c r="AM224" i="1" s="1"/>
  <c r="AM225" i="1" s="1"/>
  <c r="AM226" i="1" s="1"/>
  <c r="AM227" i="1" s="1"/>
  <c r="AM228" i="1" s="1"/>
  <c r="AM229" i="1" s="1"/>
  <c r="AM230" i="1" s="1"/>
  <c r="AM231" i="1" s="1"/>
  <c r="AM232" i="1" s="1"/>
  <c r="AM233" i="1" s="1"/>
  <c r="AM234" i="1" s="1"/>
  <c r="AM235" i="1" s="1"/>
  <c r="AM236" i="1" s="1"/>
  <c r="AM237" i="1" s="1"/>
  <c r="AM238" i="1" s="1"/>
  <c r="AM239" i="1" s="1"/>
  <c r="AM240" i="1" s="1"/>
  <c r="AM241" i="1" s="1"/>
  <c r="AM242" i="1" s="1"/>
  <c r="AM243" i="1" s="1"/>
  <c r="AM244" i="1" s="1"/>
  <c r="AM245" i="1" s="1"/>
  <c r="AM246" i="1" s="1"/>
  <c r="AM247" i="1" s="1"/>
  <c r="AM248" i="1" s="1"/>
  <c r="AM249" i="1" s="1"/>
  <c r="AM250" i="1" s="1"/>
  <c r="AM251" i="1" s="1"/>
  <c r="AM252" i="1" s="1"/>
  <c r="AM253" i="1" s="1"/>
  <c r="AM254" i="1" s="1"/>
  <c r="AM255" i="1" s="1"/>
  <c r="AM256" i="1" s="1"/>
  <c r="AM257" i="1" s="1"/>
  <c r="AM258" i="1" s="1"/>
  <c r="AM259" i="1" s="1"/>
  <c r="AM260" i="1" s="1"/>
  <c r="AM261" i="1" s="1"/>
  <c r="AM262" i="1" s="1"/>
  <c r="AM263" i="1" s="1"/>
  <c r="AM264" i="1" s="1"/>
  <c r="AM265" i="1" s="1"/>
  <c r="AM266" i="1" s="1"/>
  <c r="AM267" i="1" s="1"/>
  <c r="AM268" i="1" s="1"/>
  <c r="AM269" i="1" s="1"/>
  <c r="AM270" i="1" s="1"/>
  <c r="AM271" i="1" s="1"/>
  <c r="AM272" i="1" s="1"/>
  <c r="AM273" i="1" s="1"/>
  <c r="AM274" i="1" s="1"/>
  <c r="AM275" i="1" s="1"/>
  <c r="AM276" i="1" s="1"/>
  <c r="AM277" i="1" s="1"/>
  <c r="AM278" i="1" s="1"/>
  <c r="AM279" i="1" s="1"/>
  <c r="AM280" i="1" s="1"/>
  <c r="AM281" i="1" s="1"/>
  <c r="AM282" i="1" s="1"/>
  <c r="AM283" i="1" s="1"/>
  <c r="AM284" i="1" s="1"/>
  <c r="AM285" i="1" s="1"/>
  <c r="AM286" i="1" s="1"/>
  <c r="AM287" i="1" s="1"/>
  <c r="AM288" i="1" s="1"/>
  <c r="AM289" i="1" s="1"/>
  <c r="AM290" i="1" s="1"/>
  <c r="AM291" i="1" s="1"/>
  <c r="AM292" i="1" s="1"/>
  <c r="AM293" i="1" s="1"/>
  <c r="AM294" i="1" s="1"/>
  <c r="AM295" i="1" s="1"/>
  <c r="AM296" i="1" s="1"/>
  <c r="AM297" i="1" s="1"/>
  <c r="AM298" i="1" s="1"/>
  <c r="AM299" i="1" s="1"/>
  <c r="AM300" i="1" s="1"/>
  <c r="AM301" i="1" s="1"/>
  <c r="AM302" i="1" s="1"/>
  <c r="AM303" i="1" s="1"/>
  <c r="AM304" i="1" s="1"/>
  <c r="AM305" i="1" s="1"/>
  <c r="AM306" i="1" s="1"/>
  <c r="AM307" i="1" s="1"/>
  <c r="AM308" i="1" s="1"/>
  <c r="AM309" i="1" s="1"/>
  <c r="AM310" i="1" s="1"/>
  <c r="AM311" i="1" s="1"/>
  <c r="AM312" i="1" s="1"/>
  <c r="AM313" i="1" s="1"/>
  <c r="AM314" i="1" s="1"/>
  <c r="AM315" i="1" s="1"/>
  <c r="AM316" i="1" s="1"/>
  <c r="AM317" i="1" s="1"/>
  <c r="AM318" i="1" s="1"/>
  <c r="AM319" i="1" s="1"/>
  <c r="AM320" i="1" s="1"/>
  <c r="AM321" i="1" s="1"/>
  <c r="AM322" i="1" s="1"/>
  <c r="AM323" i="1" s="1"/>
  <c r="AM324" i="1" s="1"/>
  <c r="AM325" i="1" s="1"/>
  <c r="AM326" i="1" s="1"/>
  <c r="AM327" i="1" s="1"/>
  <c r="AM328" i="1" s="1"/>
  <c r="AM329" i="1" s="1"/>
  <c r="AM330" i="1" s="1"/>
  <c r="AM331" i="1" s="1"/>
  <c r="AM332" i="1" s="1"/>
  <c r="AM333" i="1" s="1"/>
  <c r="AM334" i="1" s="1"/>
  <c r="AM335" i="1" s="1"/>
  <c r="AM336" i="1" s="1"/>
  <c r="AM337" i="1" s="1"/>
  <c r="AM338" i="1" s="1"/>
  <c r="AM339" i="1" s="1"/>
  <c r="AM340" i="1" s="1"/>
  <c r="AM341" i="1" s="1"/>
  <c r="AM342" i="1" s="1"/>
  <c r="AM343" i="1" s="1"/>
  <c r="AM344" i="1" s="1"/>
  <c r="AM345" i="1" s="1"/>
  <c r="AM346" i="1" s="1"/>
  <c r="AM347" i="1" s="1"/>
  <c r="AM348" i="1" s="1"/>
  <c r="AM349" i="1" s="1"/>
  <c r="AM350" i="1" s="1"/>
  <c r="AM351" i="1" s="1"/>
  <c r="AM352" i="1" s="1"/>
  <c r="AM353" i="1" s="1"/>
  <c r="AM354" i="1" s="1"/>
  <c r="AM355" i="1" s="1"/>
  <c r="AM356" i="1" s="1"/>
  <c r="AM357" i="1" s="1"/>
  <c r="AM358" i="1" s="1"/>
  <c r="AM359" i="1" s="1"/>
  <c r="AM360" i="1" s="1"/>
  <c r="AM361" i="1" s="1"/>
  <c r="AM362" i="1" s="1"/>
  <c r="AM363" i="1" s="1"/>
  <c r="AM364" i="1" s="1"/>
  <c r="AM365" i="1" s="1"/>
  <c r="AM366" i="1" s="1"/>
  <c r="AM367" i="1" s="1"/>
  <c r="AM368" i="1" s="1"/>
  <c r="AM369" i="1" s="1"/>
  <c r="AM370" i="1" s="1"/>
  <c r="AM371" i="1" s="1"/>
  <c r="AM372" i="1" s="1"/>
  <c r="AM373" i="1" s="1"/>
  <c r="AM374" i="1" s="1"/>
  <c r="AM375" i="1" s="1"/>
  <c r="AM376" i="1" s="1"/>
  <c r="AM377" i="1" s="1"/>
  <c r="AM378" i="1" s="1"/>
  <c r="AM379" i="1" s="1"/>
  <c r="AM380" i="1" s="1"/>
  <c r="AM381" i="1" s="1"/>
  <c r="AM382" i="1" s="1"/>
  <c r="AM383" i="1" s="1"/>
  <c r="AM384" i="1" s="1"/>
  <c r="AM385" i="1" s="1"/>
  <c r="AM386" i="1" s="1"/>
  <c r="AM387" i="1" s="1"/>
  <c r="AM388" i="1" s="1"/>
  <c r="AM389" i="1" s="1"/>
  <c r="AM390" i="1" s="1"/>
  <c r="AM391" i="1" s="1"/>
  <c r="AM392" i="1" s="1"/>
  <c r="AM393" i="1" s="1"/>
  <c r="AM394" i="1" s="1"/>
  <c r="AM395" i="1" s="1"/>
  <c r="AM396" i="1" s="1"/>
  <c r="AM397" i="1" s="1"/>
  <c r="AM398" i="1" s="1"/>
  <c r="AM399" i="1" s="1"/>
  <c r="AM400" i="1" s="1"/>
  <c r="AM401" i="1" s="1"/>
  <c r="AM402" i="1" s="1"/>
  <c r="AM403" i="1" s="1"/>
  <c r="AM404" i="1" s="1"/>
  <c r="AM405" i="1" s="1"/>
  <c r="AM406" i="1" s="1"/>
  <c r="AM407" i="1" s="1"/>
  <c r="AM408" i="1" s="1"/>
  <c r="AM409" i="1" s="1"/>
  <c r="AM410" i="1" s="1"/>
  <c r="AM411" i="1" s="1"/>
  <c r="AM412" i="1" s="1"/>
  <c r="AM413" i="1" s="1"/>
  <c r="AM414" i="1" s="1"/>
  <c r="AM415" i="1" s="1"/>
  <c r="AM416" i="1" s="1"/>
  <c r="AM417" i="1" s="1"/>
  <c r="AM418" i="1" s="1"/>
  <c r="AM419" i="1" s="1"/>
  <c r="AM420" i="1" s="1"/>
  <c r="AM421" i="1" s="1"/>
  <c r="AM422" i="1" s="1"/>
  <c r="AM423" i="1" s="1"/>
  <c r="AM424" i="1" s="1"/>
  <c r="AM425" i="1" s="1"/>
  <c r="AM426" i="1" s="1"/>
  <c r="AM427" i="1" s="1"/>
  <c r="AM428" i="1" s="1"/>
  <c r="AM429" i="1" s="1"/>
  <c r="AA51" i="1" s="1"/>
  <c r="AB51" i="1" s="1"/>
  <c r="AA54" i="1" s="1"/>
  <c r="AB61" i="1" l="1"/>
  <c r="AA59" i="1"/>
  <c r="C53" i="1" s="1"/>
  <c r="C52" i="1"/>
  <c r="C55" i="1"/>
  <c r="AA60" i="1"/>
  <c r="D53" i="1" s="1"/>
  <c r="D52" i="1"/>
  <c r="AA61" i="1"/>
  <c r="E53" i="1" s="1"/>
  <c r="E52" i="1"/>
  <c r="C48" i="1" l="1"/>
  <c r="C49" i="1" s="1"/>
  <c r="C54" i="1"/>
  <c r="D54" i="1"/>
  <c r="D55" i="1"/>
  <c r="E55" i="1"/>
  <c r="D48" i="1" l="1"/>
  <c r="D49" i="1" s="1"/>
  <c r="E54" i="1"/>
</calcChain>
</file>

<file path=xl/comments1.xml><?xml version="1.0" encoding="utf-8"?>
<comments xmlns="http://schemas.openxmlformats.org/spreadsheetml/2006/main">
  <authors>
    <author>jon</author>
    <author>Jon</author>
  </authors>
  <commentList>
    <comment ref="H9" authorId="0" shapeId="0">
      <text>
        <r>
          <rPr>
            <b/>
            <sz val="9"/>
            <color indexed="81"/>
            <rFont val="Tahoma"/>
            <family val="2"/>
          </rPr>
          <t>Thresholds for collateral posting
(leave blank for no collateral posting)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</rPr>
          <t>Initial margin posting
NOTE : when using IM set threshold to 0</t>
        </r>
      </text>
    </comment>
    <comment ref="C10" authorId="1" shapeId="0">
      <text>
        <r>
          <rPr>
            <b/>
            <sz val="9"/>
            <color indexed="81"/>
            <rFont val="Tahoma"/>
            <family val="2"/>
          </rPr>
          <t>Constant interest rate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1" shapeId="0">
      <text>
        <r>
          <rPr>
            <b/>
            <sz val="9"/>
            <color indexed="81"/>
            <rFont val="Tahoma"/>
            <family val="2"/>
          </rPr>
          <t>Interest rate volatility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2" authorId="0" shapeId="0">
      <text>
        <r>
          <rPr>
            <b/>
            <sz val="9"/>
            <color indexed="81"/>
            <rFont val="Tahoma"/>
            <family val="2"/>
          </rPr>
          <t>Margin period of risk in business days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6" authorId="0" shapeId="0">
      <text>
        <r>
          <rPr>
            <b/>
            <sz val="9"/>
            <color indexed="81"/>
            <rFont val="Tahoma"/>
            <family val="2"/>
          </rPr>
          <t>Basel II PD which will be historically based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7" authorId="0" shapeId="0">
      <text>
        <r>
          <rPr>
            <b/>
            <sz val="9"/>
            <color indexed="81"/>
            <rFont val="Tahoma"/>
            <family val="2"/>
          </rPr>
          <t>Basel II Recovery which can differ from CVA recovery choice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8" authorId="0" shapeId="0">
      <text>
        <r>
          <rPr>
            <b/>
            <sz val="9"/>
            <color indexed="81"/>
            <rFont val="Tahoma"/>
            <family val="2"/>
          </rPr>
          <t>Counterparty rating for the CVA capital charge (standardised formula)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9" authorId="0" shapeId="0">
      <text>
        <r>
          <rPr>
            <b/>
            <sz val="9"/>
            <color indexed="81"/>
            <rFont val="Tahoma"/>
            <family val="2"/>
          </rPr>
          <t>Target return on capital to calculate KVA (include tax and other effects)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0" authorId="0" shapeId="0">
      <text>
        <r>
          <rPr>
            <b/>
            <sz val="9"/>
            <color indexed="81"/>
            <rFont val="Tahoma"/>
            <family val="2"/>
          </rPr>
          <t>Given the requirement to use stress data in EEPE and CVA capital a multiplier is used here to mimic the effect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1" authorId="0" shapeId="0">
      <text>
        <r>
          <rPr>
            <b/>
            <sz val="9"/>
            <color indexed="81"/>
            <rFont val="Tahoma"/>
            <family val="2"/>
          </rPr>
          <t>This approximates the diversification effect of the CVA capital formula (homogeneous portfolio)</t>
        </r>
      </text>
    </comment>
    <comment ref="H24" authorId="1" shapeId="0">
      <text>
        <r>
          <rPr>
            <b/>
            <sz val="9"/>
            <color indexed="81"/>
            <rFont val="Tahoma"/>
            <family val="2"/>
          </rPr>
          <t>Methodology to define price
SUM: sum of xVAs
WORSTOF: max of capital charge and other xVA charges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5" authorId="1" shapeId="0">
      <text>
        <r>
          <rPr>
            <b/>
            <sz val="9"/>
            <color indexed="81"/>
            <rFont val="Tahoma"/>
            <family val="2"/>
          </rPr>
          <t xml:space="preserve">Type of hedging:
- </t>
        </r>
        <r>
          <rPr>
            <sz val="9"/>
            <color indexed="81"/>
            <rFont val="Tahoma"/>
            <family val="2"/>
          </rPr>
          <t xml:space="preserve">INDEX (DELTA) - CDS indices to delta hedge the CVA (depending on assumed beta)
- INDEX (CAPITAL) - CDS indices to achieve maximum capital relief (CVA capital only)
- SINGLE-NAME (DELTA) - Single-name CDS to delta hedge CVA
- SINGLE-NAME (CAPITAL) - Single-name CDS to achieve maximum capital relief (no double default included)
</t>
        </r>
      </text>
    </comment>
    <comment ref="H26" authorId="1" shapeId="0">
      <text>
        <r>
          <rPr>
            <b/>
            <sz val="9"/>
            <color indexed="81"/>
            <rFont val="Tahoma"/>
            <family val="2"/>
          </rPr>
          <t>The assumed beta to the index (relevant for index delta hedging only)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38" authorId="0" shapeId="0">
      <text>
        <r>
          <rPr>
            <b/>
            <sz val="9"/>
            <color indexed="81"/>
            <rFont val="Tahoma"/>
            <family val="2"/>
          </rPr>
          <t>Basel II alpha factor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56" authorId="0" shapeId="0">
      <text>
        <r>
          <rPr>
            <b/>
            <sz val="9"/>
            <color indexed="81"/>
            <rFont val="Tahoma"/>
            <family val="2"/>
          </rPr>
          <t>Weight for standardised formula Weights are 0.7%, 0.7%, 0.8%, 1.0%, 2.0%, 3.0% and 10.0% for AAA, AA, A, BBB, BB, B and CCC ratings, respectively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<sst xmlns="http://schemas.openxmlformats.org/spreadsheetml/2006/main" count="123" uniqueCount="114">
  <si>
    <t>Maturity</t>
  </si>
  <si>
    <t>Swap rate</t>
  </si>
  <si>
    <t>Interest rate</t>
  </si>
  <si>
    <t>MtM</t>
  </si>
  <si>
    <t>Risk-free Duration</t>
  </si>
  <si>
    <t>Alpha</t>
  </si>
  <si>
    <t>Own Spread</t>
  </si>
  <si>
    <t>DF</t>
  </si>
  <si>
    <t>PD</t>
  </si>
  <si>
    <t>Recovery</t>
  </si>
  <si>
    <t>Own PD</t>
  </si>
  <si>
    <t>EEE</t>
  </si>
  <si>
    <t>EAD (IMM)</t>
  </si>
  <si>
    <t>Rho</t>
  </si>
  <si>
    <t>b(PD)</t>
  </si>
  <si>
    <t>MA(PD,M)</t>
  </si>
  <si>
    <t>Basel III weight</t>
  </si>
  <si>
    <t>Def Capital (CEM)</t>
  </si>
  <si>
    <t>Def Capital (IMM)</t>
  </si>
  <si>
    <t>Portfolio size</t>
  </si>
  <si>
    <t>EAD</t>
  </si>
  <si>
    <t>EE</t>
  </si>
  <si>
    <t>Fwd</t>
  </si>
  <si>
    <t>St Dev</t>
  </si>
  <si>
    <t>Duration</t>
  </si>
  <si>
    <t>NEE</t>
  </si>
  <si>
    <t>Add-on</t>
  </si>
  <si>
    <t>IR volatility</t>
  </si>
  <si>
    <t>Default risk capital charge</t>
  </si>
  <si>
    <t>EAD (CEM)</t>
  </si>
  <si>
    <t>CVA Capital Charge</t>
  </si>
  <si>
    <t>CVA</t>
  </si>
  <si>
    <t>DVA</t>
  </si>
  <si>
    <t>CVA Capital (CEM)</t>
  </si>
  <si>
    <t>CVA Capital (IMM)</t>
  </si>
  <si>
    <t>Break (years)</t>
  </si>
  <si>
    <t>Own</t>
  </si>
  <si>
    <t>Spread</t>
  </si>
  <si>
    <t>Tenor</t>
  </si>
  <si>
    <t>Credit and Funding Curves</t>
  </si>
  <si>
    <t>xVA Calculations</t>
  </si>
  <si>
    <t>FCA</t>
  </si>
  <si>
    <t>Funding curve</t>
  </si>
  <si>
    <t>PD(99.9%)</t>
  </si>
  <si>
    <t>IMM</t>
  </si>
  <si>
    <t>NumCurvePoints</t>
  </si>
  <si>
    <t>Cntrpty</t>
  </si>
  <si>
    <t>Funding</t>
  </si>
  <si>
    <t>KVA</t>
  </si>
  <si>
    <t>Swap Details</t>
  </si>
  <si>
    <t>Rating</t>
  </si>
  <si>
    <t>CCC</t>
  </si>
  <si>
    <t>AA</t>
  </si>
  <si>
    <t>A</t>
  </si>
  <si>
    <t>AAA</t>
  </si>
  <si>
    <t>BBB</t>
  </si>
  <si>
    <t>BB</t>
  </si>
  <si>
    <t>B</t>
  </si>
  <si>
    <t>Target ROC</t>
  </si>
  <si>
    <t>MPR</t>
  </si>
  <si>
    <t>Spread to maturity</t>
  </si>
  <si>
    <t>Hazard rate</t>
  </si>
  <si>
    <t>Duration calculation</t>
  </si>
  <si>
    <t>Collateral Details</t>
  </si>
  <si>
    <t>Regulatory Capital Details</t>
  </si>
  <si>
    <t>EE (c)</t>
  </si>
  <si>
    <t>NEE (uc)</t>
  </si>
  <si>
    <t>NEE (c)</t>
  </si>
  <si>
    <t>EE(uc)</t>
  </si>
  <si>
    <t>EE (uc+t)</t>
  </si>
  <si>
    <t>NEE (uc+t)</t>
  </si>
  <si>
    <t>Total</t>
  </si>
  <si>
    <t>Threshold</t>
  </si>
  <si>
    <t>Initial margin</t>
  </si>
  <si>
    <t>Counterparty</t>
  </si>
  <si>
    <t>Stress multiplier</t>
  </si>
  <si>
    <t>Normal duration</t>
  </si>
  <si>
    <t>CEM</t>
  </si>
  <si>
    <t>Def Risk Capital</t>
  </si>
  <si>
    <t>CVA Capital</t>
  </si>
  <si>
    <t>MVA</t>
  </si>
  <si>
    <t>Exposure</t>
  </si>
  <si>
    <t>PD (FVA)</t>
  </si>
  <si>
    <t>Rates and PDs</t>
  </si>
  <si>
    <t>EAD (SA-CCR)</t>
  </si>
  <si>
    <t>SA-CCR mult</t>
  </si>
  <si>
    <t>SA-CCR</t>
  </si>
  <si>
    <t>Def Capital (SA-CCR)</t>
  </si>
  <si>
    <t>CVA Capital (SA-CCR)</t>
  </si>
  <si>
    <t>SA-CCR MPR</t>
  </si>
  <si>
    <t>FBA</t>
  </si>
  <si>
    <t>Methodology</t>
  </si>
  <si>
    <t>PD (bump)</t>
  </si>
  <si>
    <t>Delta</t>
  </si>
  <si>
    <t>CVA bumped</t>
  </si>
  <si>
    <t>Hedge amount</t>
  </si>
  <si>
    <t>Hedged</t>
  </si>
  <si>
    <t>Unhedged</t>
  </si>
  <si>
    <t>Beta</t>
  </si>
  <si>
    <t>Simple xVA calculator - basic assumptions</t>
  </si>
  <si>
    <t>Please see the accompanying document and email me for any queries (jon@oftraining.com)</t>
  </si>
  <si>
    <t>This spreadsheet is intended to give an approximate calculation of the xVA terms for a single interest rate swap.</t>
  </si>
  <si>
    <t xml:space="preserve"> This is a simple example which should give a reasonable ballpark figure but makes a number of necessary approximations. </t>
  </si>
  <si>
    <t>Not to be distributed without prior permission</t>
  </si>
  <si>
    <t>© Jon Gregory 2015</t>
  </si>
  <si>
    <t>Curves and Exposure</t>
  </si>
  <si>
    <t>EE (collateralised)</t>
  </si>
  <si>
    <t>NEE (collateralised)</t>
  </si>
  <si>
    <t>xVA management</t>
  </si>
  <si>
    <t>Pricing metric</t>
  </si>
  <si>
    <t>SUM</t>
  </si>
  <si>
    <t>Hedge</t>
  </si>
  <si>
    <t>NONE</t>
  </si>
  <si>
    <t>LGD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</si>
</sst>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-* #,##0.00_-;\-* #,##0.00_-;_-* &quot;-&quot;??_-;_-@_-"/>
    <numFmt numFmtId="164" formatCode="0.000"/>
    <numFmt numFmtId="165" formatCode="0.0%"/>
    <numFmt numFmtId="166" formatCode="0.000%"/>
    <numFmt numFmtId="167" formatCode="_-* #,##0_-;\-* #,##0_-;_-* &quot;-&quot;??_-;_-@_-"/>
    <numFmt numFmtId="168" formatCode="#,##0_ ;\-#,##0\ "/>
    <numFmt numFmtId="169" formatCode="_-* #,##0.0000_-;\-* #,##0.0000_-;_-* &quot;-&quot;??_-;_-@_-"/>
    <numFmt numFmtId="170" formatCode="0.0"/>
    <numFmt numFmtId="171" formatCode="#,##0.0"/>
    <numFmt numFmtId="172" formatCode="0.000000"/>
    <numFmt numFmtId="173" formatCode="#,##0.00_ ;\-#,##0.00\ "/>
    <numFmt numFmtId="174" formatCode="#,##0.0_ ;\-#,##0.0\ 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B05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</cellStyleXfs>
  <cellXfs count="158">
    <xf numFmtId="0" fontId="0" fillId="0" borderId="0" xfId="0"/>
    <xf numFmtId="164" fontId="0" fillId="0" borderId="0" xfId="0" applyNumberFormat="1"/>
    <xf numFmtId="10" fontId="0" fillId="0" borderId="0" xfId="1" applyNumberFormat="1" applyFont="1"/>
    <xf numFmtId="167" fontId="0" fillId="0" borderId="0" xfId="0" applyNumberFormat="1"/>
    <xf numFmtId="0" fontId="0" fillId="0" borderId="0" xfId="0"/>
    <xf numFmtId="167" fontId="0" fillId="0" borderId="0" xfId="2" applyNumberFormat="1" applyFont="1"/>
    <xf numFmtId="43" fontId="0" fillId="0" borderId="0" xfId="2" applyNumberFormat="1" applyFont="1"/>
    <xf numFmtId="43" fontId="0" fillId="0" borderId="0" xfId="0" applyNumberFormat="1"/>
    <xf numFmtId="172" fontId="0" fillId="0" borderId="0" xfId="0" applyNumberFormat="1"/>
    <xf numFmtId="165" fontId="0" fillId="0" borderId="0" xfId="1" applyNumberFormat="1" applyFont="1"/>
    <xf numFmtId="0" fontId="10" fillId="0" borderId="0" xfId="0" applyFont="1"/>
    <xf numFmtId="0" fontId="0" fillId="0" borderId="0" xfId="0" applyProtection="1">
      <protection hidden="1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31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28" xfId="0" applyBorder="1" applyProtection="1">
      <protection hidden="1"/>
    </xf>
    <xf numFmtId="0" fontId="0" fillId="0" borderId="29" xfId="0" applyBorder="1" applyProtection="1">
      <protection hidden="1"/>
    </xf>
    <xf numFmtId="0" fontId="0" fillId="0" borderId="32" xfId="0" applyBorder="1" applyProtection="1">
      <protection hidden="1"/>
    </xf>
    <xf numFmtId="0" fontId="0" fillId="0" borderId="30" xfId="0" applyBorder="1" applyProtection="1">
      <protection hidden="1"/>
    </xf>
    <xf numFmtId="0" fontId="0" fillId="0" borderId="2" xfId="0" applyBorder="1" applyProtection="1">
      <protection hidden="1"/>
    </xf>
    <xf numFmtId="2" fontId="0" fillId="0" borderId="13" xfId="0" applyNumberFormat="1" applyBorder="1" applyProtection="1">
      <protection hidden="1"/>
    </xf>
    <xf numFmtId="1" fontId="0" fillId="0" borderId="0" xfId="0" applyNumberFormat="1" applyBorder="1" applyProtection="1">
      <protection hidden="1"/>
    </xf>
    <xf numFmtId="0" fontId="0" fillId="0" borderId="13" xfId="0" applyBorder="1" applyProtection="1">
      <protection hidden="1"/>
    </xf>
    <xf numFmtId="1" fontId="0" fillId="0" borderId="13" xfId="0" applyNumberFormat="1" applyBorder="1" applyProtection="1">
      <protection hidden="1"/>
    </xf>
    <xf numFmtId="0" fontId="0" fillId="0" borderId="11" xfId="0" applyBorder="1" applyProtection="1">
      <protection hidden="1"/>
    </xf>
    <xf numFmtId="10" fontId="0" fillId="0" borderId="2" xfId="1" applyNumberFormat="1" applyFont="1" applyBorder="1" applyProtection="1">
      <protection hidden="1"/>
    </xf>
    <xf numFmtId="10" fontId="0" fillId="0" borderId="13" xfId="1" applyNumberFormat="1" applyFont="1" applyBorder="1" applyProtection="1">
      <protection hidden="1"/>
    </xf>
    <xf numFmtId="10" fontId="0" fillId="0" borderId="0" xfId="1" applyNumberFormat="1" applyFont="1" applyBorder="1" applyProtection="1">
      <protection hidden="1"/>
    </xf>
    <xf numFmtId="10" fontId="0" fillId="0" borderId="11" xfId="1" applyNumberFormat="1" applyFont="1" applyBorder="1" applyProtection="1">
      <protection hidden="1"/>
    </xf>
    <xf numFmtId="164" fontId="0" fillId="0" borderId="2" xfId="0" applyNumberFormat="1" applyBorder="1" applyProtection="1">
      <protection hidden="1"/>
    </xf>
    <xf numFmtId="166" fontId="0" fillId="0" borderId="0" xfId="1" applyNumberFormat="1" applyFont="1" applyBorder="1" applyProtection="1">
      <protection hidden="1"/>
    </xf>
    <xf numFmtId="0" fontId="0" fillId="0" borderId="0" xfId="0" applyBorder="1" applyProtection="1">
      <protection hidden="1"/>
    </xf>
    <xf numFmtId="2" fontId="0" fillId="0" borderId="0" xfId="0" applyNumberFormat="1" applyProtection="1">
      <protection hidden="1"/>
    </xf>
    <xf numFmtId="164" fontId="0" fillId="0" borderId="0" xfId="0" applyNumberFormat="1" applyProtection="1">
      <protection hidden="1"/>
    </xf>
    <xf numFmtId="0" fontId="0" fillId="0" borderId="3" xfId="0" applyBorder="1" applyProtection="1">
      <protection hidden="1"/>
    </xf>
    <xf numFmtId="2" fontId="0" fillId="0" borderId="14" xfId="0" applyNumberFormat="1" applyBorder="1" applyProtection="1">
      <protection hidden="1"/>
    </xf>
    <xf numFmtId="1" fontId="0" fillId="0" borderId="18" xfId="0" applyNumberFormat="1" applyBorder="1" applyProtection="1">
      <protection hidden="1"/>
    </xf>
    <xf numFmtId="0" fontId="0" fillId="0" borderId="14" xfId="0" applyBorder="1" applyProtection="1">
      <protection hidden="1"/>
    </xf>
    <xf numFmtId="1" fontId="0" fillId="0" borderId="14" xfId="0" applyNumberFormat="1" applyBorder="1" applyProtection="1">
      <protection hidden="1"/>
    </xf>
    <xf numFmtId="10" fontId="0" fillId="0" borderId="3" xfId="1" applyNumberFormat="1" applyFont="1" applyBorder="1" applyProtection="1">
      <protection hidden="1"/>
    </xf>
    <xf numFmtId="10" fontId="0" fillId="0" borderId="14" xfId="1" applyNumberFormat="1" applyFont="1" applyBorder="1" applyProtection="1">
      <protection hidden="1"/>
    </xf>
    <xf numFmtId="10" fontId="0" fillId="0" borderId="18" xfId="1" applyNumberFormat="1" applyFont="1" applyBorder="1" applyProtection="1">
      <protection hidden="1"/>
    </xf>
    <xf numFmtId="10" fontId="0" fillId="0" borderId="12" xfId="1" applyNumberFormat="1" applyFont="1" applyBorder="1" applyProtection="1">
      <protection hidden="1"/>
    </xf>
    <xf numFmtId="164" fontId="0" fillId="0" borderId="3" xfId="0" applyNumberFormat="1" applyBorder="1" applyProtection="1">
      <protection hidden="1"/>
    </xf>
    <xf numFmtId="166" fontId="0" fillId="0" borderId="18" xfId="1" applyNumberFormat="1" applyFont="1" applyBorder="1" applyProtection="1">
      <protection hidden="1"/>
    </xf>
    <xf numFmtId="1" fontId="0" fillId="0" borderId="0" xfId="0" applyNumberFormat="1" applyProtection="1">
      <protection hidden="1"/>
    </xf>
    <xf numFmtId="166" fontId="0" fillId="0" borderId="0" xfId="1" applyNumberFormat="1" applyFont="1" applyProtection="1">
      <protection hidden="1"/>
    </xf>
    <xf numFmtId="10" fontId="0" fillId="0" borderId="0" xfId="1" applyNumberFormat="1" applyFont="1" applyProtection="1">
      <protection hidden="1"/>
    </xf>
    <xf numFmtId="0" fontId="0" fillId="0" borderId="0" xfId="0" applyProtection="1">
      <protection locked="0"/>
    </xf>
    <xf numFmtId="167" fontId="0" fillId="0" borderId="0" xfId="2" applyNumberFormat="1" applyFont="1" applyProtection="1">
      <protection locked="0"/>
    </xf>
    <xf numFmtId="0" fontId="0" fillId="0" borderId="15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26" xfId="0" applyBorder="1" applyAlignment="1" applyProtection="1">
      <alignment horizontal="center"/>
      <protection locked="0"/>
    </xf>
    <xf numFmtId="0" fontId="0" fillId="0" borderId="27" xfId="0" applyBorder="1" applyAlignment="1" applyProtection="1">
      <alignment horizontal="center"/>
      <protection locked="0"/>
    </xf>
    <xf numFmtId="165" fontId="8" fillId="0" borderId="21" xfId="1" applyNumberFormat="1" applyFont="1" applyBorder="1" applyAlignment="1" applyProtection="1">
      <alignment horizontal="right"/>
      <protection locked="0"/>
    </xf>
    <xf numFmtId="165" fontId="8" fillId="0" borderId="7" xfId="1" applyNumberFormat="1" applyFont="1" applyBorder="1" applyAlignment="1" applyProtection="1">
      <alignment horizontal="right"/>
      <protection locked="0"/>
    </xf>
    <xf numFmtId="0" fontId="0" fillId="0" borderId="2" xfId="0" applyFill="1" applyBorder="1" applyProtection="1">
      <protection locked="0"/>
    </xf>
    <xf numFmtId="0" fontId="0" fillId="0" borderId="3" xfId="0" applyFill="1" applyBorder="1" applyProtection="1">
      <protection locked="0"/>
    </xf>
    <xf numFmtId="0" fontId="0" fillId="0" borderId="1" xfId="0" applyFill="1" applyBorder="1" applyProtection="1"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8" fillId="0" borderId="13" xfId="0" applyFont="1" applyBorder="1" applyProtection="1">
      <protection locked="0"/>
    </xf>
    <xf numFmtId="0" fontId="8" fillId="0" borderId="11" xfId="0" applyFont="1" applyBorder="1" applyProtection="1">
      <protection locked="0"/>
    </xf>
    <xf numFmtId="0" fontId="9" fillId="0" borderId="0" xfId="0" applyFont="1" applyProtection="1">
      <protection locked="0"/>
    </xf>
    <xf numFmtId="0" fontId="0" fillId="0" borderId="3" xfId="0" applyBorder="1" applyProtection="1">
      <protection locked="0"/>
    </xf>
    <xf numFmtId="9" fontId="8" fillId="0" borderId="14" xfId="0" applyNumberFormat="1" applyFont="1" applyBorder="1" applyProtection="1">
      <protection locked="0"/>
    </xf>
    <xf numFmtId="9" fontId="8" fillId="0" borderId="12" xfId="1" applyFont="1" applyBorder="1" applyProtection="1">
      <protection locked="0"/>
    </xf>
    <xf numFmtId="166" fontId="0" fillId="0" borderId="0" xfId="1" applyNumberFormat="1" applyFont="1" applyProtection="1">
      <protection locked="0"/>
    </xf>
    <xf numFmtId="166" fontId="0" fillId="0" borderId="0" xfId="0" applyNumberFormat="1" applyProtection="1">
      <protection locked="0"/>
    </xf>
    <xf numFmtId="167" fontId="0" fillId="0" borderId="0" xfId="2" applyNumberFormat="1" applyFont="1" applyProtection="1">
      <protection hidden="1"/>
    </xf>
    <xf numFmtId="0" fontId="0" fillId="0" borderId="1" xfId="0" applyBorder="1" applyProtection="1">
      <protection hidden="1"/>
    </xf>
    <xf numFmtId="10" fontId="5" fillId="0" borderId="23" xfId="1" applyNumberFormat="1" applyFont="1" applyBorder="1" applyProtection="1">
      <protection hidden="1"/>
    </xf>
    <xf numFmtId="174" fontId="5" fillId="0" borderId="9" xfId="2" applyNumberFormat="1" applyFont="1" applyBorder="1" applyProtection="1">
      <protection hidden="1"/>
    </xf>
    <xf numFmtId="10" fontId="5" fillId="0" borderId="13" xfId="1" applyNumberFormat="1" applyFont="1" applyBorder="1" applyProtection="1">
      <protection hidden="1"/>
    </xf>
    <xf numFmtId="174" fontId="5" fillId="0" borderId="11" xfId="2" applyNumberFormat="1" applyFont="1" applyBorder="1" applyProtection="1">
      <protection hidden="1"/>
    </xf>
    <xf numFmtId="10" fontId="5" fillId="0" borderId="29" xfId="1" applyNumberFormat="1" applyFont="1" applyBorder="1" applyProtection="1">
      <protection hidden="1"/>
    </xf>
    <xf numFmtId="174" fontId="5" fillId="0" borderId="30" xfId="2" applyNumberFormat="1" applyFont="1" applyBorder="1" applyProtection="1">
      <protection hidden="1"/>
    </xf>
    <xf numFmtId="167" fontId="0" fillId="0" borderId="0" xfId="0" applyNumberFormat="1" applyProtection="1">
      <protection hidden="1"/>
    </xf>
    <xf numFmtId="10" fontId="5" fillId="0" borderId="14" xfId="1" applyNumberFormat="1" applyFont="1" applyBorder="1" applyProtection="1">
      <protection hidden="1"/>
    </xf>
    <xf numFmtId="174" fontId="5" fillId="0" borderId="8" xfId="2" applyNumberFormat="1" applyFont="1" applyBorder="1" applyProtection="1">
      <protection hidden="1"/>
    </xf>
    <xf numFmtId="173" fontId="0" fillId="0" borderId="0" xfId="0" applyNumberFormat="1" applyProtection="1">
      <protection hidden="1"/>
    </xf>
    <xf numFmtId="168" fontId="0" fillId="0" borderId="0" xfId="0" applyNumberFormat="1" applyProtection="1">
      <protection hidden="1"/>
    </xf>
    <xf numFmtId="173" fontId="0" fillId="0" borderId="0" xfId="2" applyNumberFormat="1" applyFont="1" applyProtection="1">
      <protection hidden="1"/>
    </xf>
    <xf numFmtId="3" fontId="0" fillId="0" borderId="0" xfId="0" applyNumberFormat="1" applyProtection="1">
      <protection hidden="1"/>
    </xf>
    <xf numFmtId="0" fontId="6" fillId="0" borderId="1" xfId="0" applyFont="1" applyBorder="1" applyProtection="1">
      <protection hidden="1"/>
    </xf>
    <xf numFmtId="0" fontId="0" fillId="0" borderId="9" xfId="0" applyBorder="1" applyProtection="1">
      <protection hidden="1"/>
    </xf>
    <xf numFmtId="0" fontId="8" fillId="0" borderId="6" xfId="0" applyNumberFormat="1" applyFont="1" applyBorder="1" applyProtection="1">
      <protection hidden="1"/>
    </xf>
    <xf numFmtId="169" fontId="0" fillId="0" borderId="0" xfId="0" applyNumberFormat="1" applyProtection="1">
      <protection hidden="1"/>
    </xf>
    <xf numFmtId="10" fontId="5" fillId="0" borderId="7" xfId="1" applyNumberFormat="1" applyFont="1" applyBorder="1" applyProtection="1">
      <protection hidden="1"/>
    </xf>
    <xf numFmtId="43" fontId="0" fillId="0" borderId="0" xfId="2" applyNumberFormat="1" applyFont="1" applyProtection="1">
      <protection hidden="1"/>
    </xf>
    <xf numFmtId="170" fontId="5" fillId="0" borderId="7" xfId="0" applyNumberFormat="1" applyFont="1" applyBorder="1" applyProtection="1">
      <protection hidden="1"/>
    </xf>
    <xf numFmtId="171" fontId="5" fillId="0" borderId="7" xfId="0" applyNumberFormat="1" applyFont="1" applyBorder="1" applyProtection="1">
      <protection hidden="1"/>
    </xf>
    <xf numFmtId="167" fontId="0" fillId="0" borderId="0" xfId="2" applyNumberFormat="1" applyFont="1" applyAlignment="1" applyProtection="1">
      <alignment horizontal="left"/>
      <protection hidden="1"/>
    </xf>
    <xf numFmtId="10" fontId="0" fillId="0" borderId="0" xfId="0" applyNumberFormat="1" applyProtection="1">
      <protection hidden="1"/>
    </xf>
    <xf numFmtId="164" fontId="5" fillId="0" borderId="7" xfId="0" applyNumberFormat="1" applyFont="1" applyBorder="1" applyProtection="1">
      <protection hidden="1"/>
    </xf>
    <xf numFmtId="0" fontId="0" fillId="0" borderId="2" xfId="0" applyFill="1" applyBorder="1" applyProtection="1">
      <protection hidden="1"/>
    </xf>
    <xf numFmtId="2" fontId="5" fillId="0" borderId="7" xfId="0" applyNumberFormat="1" applyFont="1" applyBorder="1" applyProtection="1">
      <protection hidden="1"/>
    </xf>
    <xf numFmtId="166" fontId="5" fillId="0" borderId="7" xfId="1" applyNumberFormat="1" applyFont="1" applyBorder="1" applyProtection="1">
      <protection hidden="1"/>
    </xf>
    <xf numFmtId="166" fontId="5" fillId="0" borderId="8" xfId="1" applyNumberFormat="1" applyFont="1" applyBorder="1" applyProtection="1">
      <protection hidden="1"/>
    </xf>
    <xf numFmtId="0" fontId="2" fillId="0" borderId="1" xfId="0" applyFont="1" applyBorder="1" applyProtection="1">
      <protection hidden="1"/>
    </xf>
    <xf numFmtId="165" fontId="5" fillId="0" borderId="6" xfId="0" applyNumberFormat="1" applyFont="1" applyBorder="1" applyProtection="1">
      <protection hidden="1"/>
    </xf>
    <xf numFmtId="170" fontId="0" fillId="0" borderId="6" xfId="0" applyNumberFormat="1" applyBorder="1" applyProtection="1">
      <protection hidden="1"/>
    </xf>
    <xf numFmtId="1" fontId="0" fillId="0" borderId="7" xfId="0" applyNumberFormat="1" applyBorder="1" applyProtection="1">
      <protection hidden="1"/>
    </xf>
    <xf numFmtId="164" fontId="0" fillId="0" borderId="7" xfId="0" applyNumberFormat="1" applyBorder="1" applyProtection="1">
      <protection hidden="1"/>
    </xf>
    <xf numFmtId="164" fontId="0" fillId="0" borderId="8" xfId="0" applyNumberFormat="1" applyBorder="1" applyProtection="1">
      <protection hidden="1"/>
    </xf>
    <xf numFmtId="0" fontId="0" fillId="0" borderId="16" xfId="0" applyFill="1" applyBorder="1" applyProtection="1">
      <protection hidden="1"/>
    </xf>
    <xf numFmtId="166" fontId="0" fillId="0" borderId="13" xfId="1" applyNumberFormat="1" applyFont="1" applyBorder="1" applyProtection="1">
      <protection hidden="1"/>
    </xf>
    <xf numFmtId="166" fontId="0" fillId="0" borderId="14" xfId="1" applyNumberFormat="1" applyFont="1" applyBorder="1" applyProtection="1">
      <protection hidden="1"/>
    </xf>
    <xf numFmtId="0" fontId="6" fillId="0" borderId="0" xfId="0" applyFont="1" applyBorder="1" applyAlignment="1" applyProtection="1">
      <alignment horizontal="center"/>
      <protection hidden="1"/>
    </xf>
    <xf numFmtId="166" fontId="0" fillId="0" borderId="33" xfId="1" applyNumberFormat="1" applyFont="1" applyBorder="1" applyProtection="1">
      <protection hidden="1"/>
    </xf>
    <xf numFmtId="166" fontId="0" fillId="0" borderId="11" xfId="1" applyNumberFormat="1" applyFont="1" applyBorder="1" applyProtection="1">
      <protection hidden="1"/>
    </xf>
    <xf numFmtId="166" fontId="0" fillId="0" borderId="34" xfId="1" applyNumberFormat="1" applyFont="1" applyBorder="1" applyProtection="1">
      <protection hidden="1"/>
    </xf>
    <xf numFmtId="166" fontId="0" fillId="0" borderId="12" xfId="1" applyNumberFormat="1" applyFont="1" applyBorder="1" applyProtection="1">
      <protection hidden="1"/>
    </xf>
    <xf numFmtId="0" fontId="0" fillId="0" borderId="35" xfId="0" applyBorder="1" applyProtection="1">
      <protection hidden="1"/>
    </xf>
    <xf numFmtId="0" fontId="6" fillId="0" borderId="4" xfId="0" applyFont="1" applyBorder="1" applyAlignment="1" applyProtection="1">
      <alignment horizontal="center"/>
      <protection hidden="1"/>
    </xf>
    <xf numFmtId="0" fontId="6" fillId="0" borderId="10" xfId="0" applyFont="1" applyBorder="1" applyAlignment="1" applyProtection="1">
      <alignment horizontal="center"/>
      <protection hidden="1"/>
    </xf>
    <xf numFmtId="0" fontId="6" fillId="0" borderId="5" xfId="0" applyFont="1" applyBorder="1" applyAlignment="1" applyProtection="1">
      <alignment horizontal="center"/>
      <protection hidden="1"/>
    </xf>
    <xf numFmtId="0" fontId="6" fillId="0" borderId="4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6" fillId="0" borderId="5" xfId="0" applyFont="1" applyBorder="1" applyAlignment="1" applyProtection="1">
      <alignment horizontal="center"/>
      <protection locked="0"/>
    </xf>
    <xf numFmtId="3" fontId="8" fillId="0" borderId="24" xfId="0" applyNumberFormat="1" applyFont="1" applyBorder="1" applyAlignment="1" applyProtection="1">
      <alignment horizontal="center"/>
      <protection locked="0"/>
    </xf>
    <xf numFmtId="3" fontId="8" fillId="0" borderId="25" xfId="0" applyNumberFormat="1" applyFont="1" applyBorder="1" applyAlignment="1" applyProtection="1">
      <alignment horizontal="center"/>
      <protection locked="0"/>
    </xf>
    <xf numFmtId="0" fontId="8" fillId="0" borderId="20" xfId="0" applyFont="1" applyBorder="1" applyAlignment="1" applyProtection="1">
      <alignment horizontal="right"/>
      <protection locked="0"/>
    </xf>
    <xf numFmtId="0" fontId="8" fillId="0" borderId="9" xfId="0" applyFont="1" applyBorder="1" applyAlignment="1" applyProtection="1">
      <alignment horizontal="right"/>
      <protection locked="0"/>
    </xf>
    <xf numFmtId="10" fontId="8" fillId="0" borderId="21" xfId="1" applyNumberFormat="1" applyFont="1" applyBorder="1" applyAlignment="1" applyProtection="1">
      <alignment horizontal="right"/>
      <protection locked="0"/>
    </xf>
    <xf numFmtId="10" fontId="8" fillId="0" borderId="11" xfId="1" applyNumberFormat="1" applyFont="1" applyBorder="1" applyAlignment="1" applyProtection="1">
      <alignment horizontal="right"/>
      <protection locked="0"/>
    </xf>
    <xf numFmtId="9" fontId="8" fillId="0" borderId="21" xfId="1" applyFont="1" applyBorder="1" applyAlignment="1" applyProtection="1">
      <alignment horizontal="right"/>
      <protection locked="0"/>
    </xf>
    <xf numFmtId="9" fontId="8" fillId="0" borderId="11" xfId="1" applyFont="1" applyBorder="1" applyAlignment="1" applyProtection="1">
      <alignment horizontal="right"/>
      <protection locked="0"/>
    </xf>
    <xf numFmtId="0" fontId="8" fillId="0" borderId="21" xfId="0" applyFont="1" applyBorder="1" applyAlignment="1" applyProtection="1">
      <alignment horizontal="right"/>
      <protection locked="0"/>
    </xf>
    <xf numFmtId="0" fontId="8" fillId="0" borderId="11" xfId="0" applyFont="1" applyBorder="1" applyAlignment="1" applyProtection="1">
      <alignment horizontal="right"/>
      <protection locked="0"/>
    </xf>
    <xf numFmtId="170" fontId="8" fillId="0" borderId="21" xfId="1" applyNumberFormat="1" applyFont="1" applyBorder="1" applyAlignment="1" applyProtection="1">
      <alignment horizontal="right" wrapText="1"/>
      <protection locked="0"/>
    </xf>
    <xf numFmtId="170" fontId="8" fillId="0" borderId="11" xfId="1" applyNumberFormat="1" applyFont="1" applyBorder="1" applyAlignment="1" applyProtection="1">
      <alignment horizontal="right" wrapText="1"/>
      <protection locked="0"/>
    </xf>
    <xf numFmtId="1" fontId="8" fillId="0" borderId="22" xfId="1" applyNumberFormat="1" applyFont="1" applyBorder="1" applyAlignment="1" applyProtection="1">
      <alignment horizontal="right"/>
      <protection locked="0"/>
    </xf>
    <xf numFmtId="1" fontId="8" fillId="0" borderId="12" xfId="1" applyNumberFormat="1" applyFont="1" applyBorder="1" applyAlignment="1" applyProtection="1">
      <alignment horizontal="right"/>
      <protection locked="0"/>
    </xf>
    <xf numFmtId="1" fontId="8" fillId="0" borderId="20" xfId="1" applyNumberFormat="1" applyFont="1" applyBorder="1" applyAlignment="1" applyProtection="1">
      <alignment horizontal="right"/>
      <protection locked="0"/>
    </xf>
    <xf numFmtId="1" fontId="8" fillId="0" borderId="9" xfId="1" applyNumberFormat="1" applyFont="1" applyBorder="1" applyAlignment="1" applyProtection="1">
      <alignment horizontal="right"/>
      <protection locked="0"/>
    </xf>
    <xf numFmtId="1" fontId="8" fillId="0" borderId="21" xfId="1" applyNumberFormat="1" applyFont="1" applyBorder="1" applyAlignment="1" applyProtection="1">
      <alignment horizontal="right"/>
      <protection locked="0"/>
    </xf>
    <xf numFmtId="1" fontId="8" fillId="0" borderId="11" xfId="1" applyNumberFormat="1" applyFont="1" applyBorder="1" applyAlignment="1" applyProtection="1">
      <alignment horizontal="right"/>
      <protection locked="0"/>
    </xf>
    <xf numFmtId="0" fontId="8" fillId="0" borderId="22" xfId="0" applyFont="1" applyBorder="1" applyAlignment="1" applyProtection="1">
      <alignment horizontal="right"/>
      <protection locked="0"/>
    </xf>
    <xf numFmtId="0" fontId="8" fillId="0" borderId="18" xfId="0" applyFont="1" applyBorder="1" applyAlignment="1" applyProtection="1">
      <alignment horizontal="right"/>
      <protection locked="0"/>
    </xf>
    <xf numFmtId="0" fontId="8" fillId="0" borderId="12" xfId="0" applyFont="1" applyBorder="1" applyAlignment="1" applyProtection="1">
      <alignment horizontal="right"/>
      <protection locked="0"/>
    </xf>
    <xf numFmtId="171" fontId="8" fillId="0" borderId="20" xfId="0" applyNumberFormat="1" applyFont="1" applyBorder="1" applyAlignment="1" applyProtection="1">
      <alignment horizontal="right"/>
      <protection locked="0"/>
    </xf>
    <xf numFmtId="171" fontId="8" fillId="0" borderId="19" xfId="0" applyNumberFormat="1" applyFont="1" applyBorder="1" applyAlignment="1" applyProtection="1">
      <alignment horizontal="right"/>
      <protection locked="0"/>
    </xf>
    <xf numFmtId="171" fontId="8" fillId="0" borderId="9" xfId="0" applyNumberFormat="1" applyFont="1" applyBorder="1" applyAlignment="1" applyProtection="1">
      <alignment horizontal="right"/>
      <protection locked="0"/>
    </xf>
    <xf numFmtId="10" fontId="8" fillId="0" borderId="21" xfId="0" applyNumberFormat="1" applyFont="1" applyBorder="1" applyAlignment="1" applyProtection="1">
      <alignment horizontal="right"/>
      <protection locked="0"/>
    </xf>
    <xf numFmtId="10" fontId="8" fillId="0" borderId="0" xfId="0" applyNumberFormat="1" applyFont="1" applyBorder="1" applyAlignment="1" applyProtection="1">
      <alignment horizontal="right"/>
      <protection locked="0"/>
    </xf>
    <xf numFmtId="10" fontId="8" fillId="0" borderId="11" xfId="0" applyNumberFormat="1" applyFont="1" applyBorder="1" applyAlignment="1" applyProtection="1">
      <alignment horizontal="right"/>
      <protection locked="0"/>
    </xf>
    <xf numFmtId="10" fontId="8" fillId="0" borderId="21" xfId="0" applyNumberFormat="1" applyFont="1" applyBorder="1" applyAlignment="1" applyProtection="1">
      <alignment horizontal="right" wrapText="1"/>
      <protection locked="0"/>
    </xf>
    <xf numFmtId="10" fontId="8" fillId="0" borderId="0" xfId="0" applyNumberFormat="1" applyFont="1" applyBorder="1" applyAlignment="1" applyProtection="1">
      <alignment horizontal="right" wrapText="1"/>
      <protection locked="0"/>
    </xf>
    <xf numFmtId="10" fontId="8" fillId="0" borderId="11" xfId="0" applyNumberFormat="1" applyFont="1" applyBorder="1" applyAlignment="1" applyProtection="1">
      <alignment horizontal="right" wrapText="1"/>
      <protection locked="0"/>
    </xf>
    <xf numFmtId="170" fontId="8" fillId="0" borderId="22" xfId="1" applyNumberFormat="1" applyFont="1" applyBorder="1" applyAlignment="1" applyProtection="1">
      <alignment horizontal="right"/>
      <protection locked="0"/>
    </xf>
    <xf numFmtId="170" fontId="8" fillId="0" borderId="12" xfId="1" applyNumberFormat="1" applyFont="1" applyBorder="1" applyAlignment="1" applyProtection="1">
      <alignment horizontal="right"/>
      <protection locked="0"/>
    </xf>
    <xf numFmtId="0" fontId="2" fillId="0" borderId="4" xfId="0" applyFont="1" applyBorder="1" applyAlignment="1" applyProtection="1">
      <alignment horizontal="center"/>
      <protection hidden="1"/>
    </xf>
    <xf numFmtId="0" fontId="2" fillId="0" borderId="10" xfId="0" applyFont="1" applyBorder="1" applyAlignment="1" applyProtection="1">
      <alignment horizontal="center"/>
      <protection hidden="1"/>
    </xf>
    <xf numFmtId="0" fontId="2" fillId="0" borderId="5" xfId="0" applyFont="1" applyBorder="1" applyAlignment="1" applyProtection="1">
      <alignment horizontal="center"/>
      <protection hidden="1"/>
    </xf>
  </cellXfs>
  <cellStyles count="7">
    <cellStyle name="Comma" xfId="2" builtinId="3"/>
    <cellStyle name="Comma 2" xfId="6"/>
    <cellStyle name="Comma 4" xfId="4"/>
    <cellStyle name="Normal" xfId="0" builtinId="0"/>
    <cellStyle name="Normal 2" xfId="5"/>
    <cellStyle name="Normal 6" xfId="3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'xVA Calculations'!$U$29</c:f>
              <c:strCache>
                <c:ptCount val="1"/>
                <c:pt idx="0">
                  <c:v>EE</c:v>
                </c:pt>
              </c:strCache>
            </c:strRef>
          </c:tx>
          <c:marker>
            <c:symbol val="none"/>
          </c:marker>
          <c:xVal>
            <c:numRef>
              <c:f>'xVA Calculations'!$N$30:$N$430</c:f>
              <c:numCache>
                <c:formatCode>0.00</c:formatCode>
                <c:ptCount val="401"/>
                <c:pt idx="0">
                  <c:v>8.7500000000000008E-3</c:v>
                </c:pt>
                <c:pt idx="1">
                  <c:v>1.7500000000000002E-2</c:v>
                </c:pt>
                <c:pt idx="2">
                  <c:v>3.5000000000000003E-2</c:v>
                </c:pt>
                <c:pt idx="3">
                  <c:v>5.2500000000000005E-2</c:v>
                </c:pt>
                <c:pt idx="4">
                  <c:v>7.0000000000000007E-2</c:v>
                </c:pt>
                <c:pt idx="5">
                  <c:v>8.7500000000000008E-2</c:v>
                </c:pt>
                <c:pt idx="6">
                  <c:v>0.10500000000000001</c:v>
                </c:pt>
                <c:pt idx="7">
                  <c:v>0.12250000000000001</c:v>
                </c:pt>
                <c:pt idx="8">
                  <c:v>0.14000000000000001</c:v>
                </c:pt>
                <c:pt idx="9">
                  <c:v>0.15750000000000003</c:v>
                </c:pt>
                <c:pt idx="10">
                  <c:v>0.17500000000000004</c:v>
                </c:pt>
                <c:pt idx="11">
                  <c:v>0.19250000000000006</c:v>
                </c:pt>
                <c:pt idx="12">
                  <c:v>0.21000000000000008</c:v>
                </c:pt>
                <c:pt idx="13">
                  <c:v>0.22750000000000009</c:v>
                </c:pt>
                <c:pt idx="14">
                  <c:v>0.24500000000000011</c:v>
                </c:pt>
                <c:pt idx="15">
                  <c:v>0.26250000000000012</c:v>
                </c:pt>
                <c:pt idx="16">
                  <c:v>0.28000000000000014</c:v>
                </c:pt>
                <c:pt idx="17">
                  <c:v>0.29750000000000015</c:v>
                </c:pt>
                <c:pt idx="18">
                  <c:v>0.31500000000000017</c:v>
                </c:pt>
                <c:pt idx="19">
                  <c:v>0.33250000000000018</c:v>
                </c:pt>
                <c:pt idx="20">
                  <c:v>0.3500000000000002</c:v>
                </c:pt>
                <c:pt idx="21">
                  <c:v>0.36750000000000022</c:v>
                </c:pt>
                <c:pt idx="22">
                  <c:v>0.38500000000000023</c:v>
                </c:pt>
                <c:pt idx="23">
                  <c:v>0.40250000000000025</c:v>
                </c:pt>
                <c:pt idx="24">
                  <c:v>0.42000000000000026</c:v>
                </c:pt>
                <c:pt idx="25">
                  <c:v>0.43750000000000028</c:v>
                </c:pt>
                <c:pt idx="26">
                  <c:v>0.45500000000000029</c:v>
                </c:pt>
                <c:pt idx="27">
                  <c:v>0.47250000000000031</c:v>
                </c:pt>
                <c:pt idx="28">
                  <c:v>0.49000000000000032</c:v>
                </c:pt>
                <c:pt idx="29">
                  <c:v>0.50750000000000028</c:v>
                </c:pt>
                <c:pt idx="30">
                  <c:v>0.52500000000000024</c:v>
                </c:pt>
                <c:pt idx="31">
                  <c:v>0.5425000000000002</c:v>
                </c:pt>
                <c:pt idx="32">
                  <c:v>0.56000000000000016</c:v>
                </c:pt>
                <c:pt idx="33">
                  <c:v>0.57750000000000012</c:v>
                </c:pt>
                <c:pt idx="34">
                  <c:v>0.59500000000000008</c:v>
                </c:pt>
                <c:pt idx="35">
                  <c:v>0.61250000000000004</c:v>
                </c:pt>
                <c:pt idx="36">
                  <c:v>0.63</c:v>
                </c:pt>
                <c:pt idx="37">
                  <c:v>0.64749999999999996</c:v>
                </c:pt>
                <c:pt idx="38">
                  <c:v>0.66499999999999992</c:v>
                </c:pt>
                <c:pt idx="39">
                  <c:v>0.68249999999999988</c:v>
                </c:pt>
                <c:pt idx="40">
                  <c:v>0.69999999999999984</c:v>
                </c:pt>
                <c:pt idx="41">
                  <c:v>0.7174999999999998</c:v>
                </c:pt>
                <c:pt idx="42">
                  <c:v>0.73499999999999976</c:v>
                </c:pt>
                <c:pt idx="43">
                  <c:v>0.75249999999999972</c:v>
                </c:pt>
                <c:pt idx="44">
                  <c:v>0.76999999999999968</c:v>
                </c:pt>
                <c:pt idx="45">
                  <c:v>0.78749999999999964</c:v>
                </c:pt>
                <c:pt idx="46">
                  <c:v>0.8049999999999996</c:v>
                </c:pt>
                <c:pt idx="47">
                  <c:v>0.82249999999999956</c:v>
                </c:pt>
                <c:pt idx="48">
                  <c:v>0.83999999999999952</c:v>
                </c:pt>
                <c:pt idx="49">
                  <c:v>0.85749999999999948</c:v>
                </c:pt>
                <c:pt idx="50">
                  <c:v>0.87499999999999944</c:v>
                </c:pt>
                <c:pt idx="51">
                  <c:v>0.8924999999999994</c:v>
                </c:pt>
                <c:pt idx="52">
                  <c:v>0.90999999999999936</c:v>
                </c:pt>
                <c:pt idx="53">
                  <c:v>0.92749999999999932</c:v>
                </c:pt>
                <c:pt idx="54">
                  <c:v>0.94499999999999929</c:v>
                </c:pt>
                <c:pt idx="55">
                  <c:v>0.96249999999999925</c:v>
                </c:pt>
                <c:pt idx="56">
                  <c:v>0.97999999999999921</c:v>
                </c:pt>
                <c:pt idx="57">
                  <c:v>0.99749999999999917</c:v>
                </c:pt>
                <c:pt idx="58">
                  <c:v>1.0149999999999992</c:v>
                </c:pt>
                <c:pt idx="59">
                  <c:v>1.0324999999999993</c:v>
                </c:pt>
                <c:pt idx="60">
                  <c:v>1.0499999999999994</c:v>
                </c:pt>
                <c:pt idx="61">
                  <c:v>1.0674999999999994</c:v>
                </c:pt>
                <c:pt idx="62">
                  <c:v>1.0849999999999995</c:v>
                </c:pt>
                <c:pt idx="63">
                  <c:v>1.1024999999999996</c:v>
                </c:pt>
                <c:pt idx="64">
                  <c:v>1.1199999999999997</c:v>
                </c:pt>
                <c:pt idx="65">
                  <c:v>1.1374999999999997</c:v>
                </c:pt>
                <c:pt idx="66">
                  <c:v>1.1549999999999998</c:v>
                </c:pt>
                <c:pt idx="67">
                  <c:v>1.1724999999999999</c:v>
                </c:pt>
                <c:pt idx="68">
                  <c:v>1.19</c:v>
                </c:pt>
                <c:pt idx="69">
                  <c:v>1.2075</c:v>
                </c:pt>
                <c:pt idx="70">
                  <c:v>1.2250000000000001</c:v>
                </c:pt>
                <c:pt idx="71">
                  <c:v>1.2425000000000002</c:v>
                </c:pt>
                <c:pt idx="72">
                  <c:v>1.2600000000000002</c:v>
                </c:pt>
                <c:pt idx="73">
                  <c:v>1.2775000000000003</c:v>
                </c:pt>
                <c:pt idx="74">
                  <c:v>1.2950000000000004</c:v>
                </c:pt>
                <c:pt idx="75">
                  <c:v>1.3125000000000004</c:v>
                </c:pt>
                <c:pt idx="76">
                  <c:v>1.3300000000000005</c:v>
                </c:pt>
                <c:pt idx="77">
                  <c:v>1.3475000000000006</c:v>
                </c:pt>
                <c:pt idx="78">
                  <c:v>1.3650000000000007</c:v>
                </c:pt>
                <c:pt idx="79">
                  <c:v>1.3825000000000007</c:v>
                </c:pt>
                <c:pt idx="80">
                  <c:v>1.4000000000000008</c:v>
                </c:pt>
                <c:pt idx="81">
                  <c:v>1.4175000000000009</c:v>
                </c:pt>
                <c:pt idx="82">
                  <c:v>1.4350000000000009</c:v>
                </c:pt>
                <c:pt idx="83">
                  <c:v>1.452500000000001</c:v>
                </c:pt>
                <c:pt idx="84">
                  <c:v>1.4700000000000011</c:v>
                </c:pt>
                <c:pt idx="85">
                  <c:v>1.4875000000000012</c:v>
                </c:pt>
                <c:pt idx="86">
                  <c:v>1.5050000000000012</c:v>
                </c:pt>
                <c:pt idx="87">
                  <c:v>1.5225000000000013</c:v>
                </c:pt>
                <c:pt idx="88">
                  <c:v>1.5400000000000014</c:v>
                </c:pt>
                <c:pt idx="89">
                  <c:v>1.5575000000000014</c:v>
                </c:pt>
                <c:pt idx="90">
                  <c:v>1.5750000000000015</c:v>
                </c:pt>
                <c:pt idx="91">
                  <c:v>1.5925000000000016</c:v>
                </c:pt>
                <c:pt idx="92">
                  <c:v>1.6100000000000017</c:v>
                </c:pt>
                <c:pt idx="93">
                  <c:v>1.6275000000000017</c:v>
                </c:pt>
                <c:pt idx="94">
                  <c:v>1.6450000000000018</c:v>
                </c:pt>
                <c:pt idx="95">
                  <c:v>1.6625000000000019</c:v>
                </c:pt>
                <c:pt idx="96">
                  <c:v>1.6800000000000019</c:v>
                </c:pt>
                <c:pt idx="97">
                  <c:v>1.697500000000002</c:v>
                </c:pt>
                <c:pt idx="98">
                  <c:v>1.7150000000000021</c:v>
                </c:pt>
                <c:pt idx="99">
                  <c:v>1.7325000000000021</c:v>
                </c:pt>
                <c:pt idx="100">
                  <c:v>1.7500000000000022</c:v>
                </c:pt>
                <c:pt idx="101">
                  <c:v>1.7675000000000023</c:v>
                </c:pt>
                <c:pt idx="102">
                  <c:v>1.7850000000000024</c:v>
                </c:pt>
                <c:pt idx="103">
                  <c:v>1.8025000000000024</c:v>
                </c:pt>
                <c:pt idx="104">
                  <c:v>1.8200000000000025</c:v>
                </c:pt>
                <c:pt idx="105">
                  <c:v>1.8375000000000026</c:v>
                </c:pt>
                <c:pt idx="106">
                  <c:v>1.8550000000000026</c:v>
                </c:pt>
                <c:pt idx="107">
                  <c:v>1.8725000000000027</c:v>
                </c:pt>
                <c:pt idx="108">
                  <c:v>1.8900000000000028</c:v>
                </c:pt>
                <c:pt idx="109">
                  <c:v>1.9075000000000029</c:v>
                </c:pt>
                <c:pt idx="110">
                  <c:v>1.9250000000000029</c:v>
                </c:pt>
                <c:pt idx="111">
                  <c:v>1.942500000000003</c:v>
                </c:pt>
                <c:pt idx="112">
                  <c:v>1.9600000000000031</c:v>
                </c:pt>
                <c:pt idx="113">
                  <c:v>1.9775000000000031</c:v>
                </c:pt>
                <c:pt idx="114">
                  <c:v>1.9950000000000032</c:v>
                </c:pt>
                <c:pt idx="115">
                  <c:v>2.0125000000000033</c:v>
                </c:pt>
                <c:pt idx="116">
                  <c:v>2.0300000000000034</c:v>
                </c:pt>
                <c:pt idx="117">
                  <c:v>2.0475000000000034</c:v>
                </c:pt>
                <c:pt idx="118">
                  <c:v>2.0650000000000035</c:v>
                </c:pt>
                <c:pt idx="119">
                  <c:v>2.0825000000000036</c:v>
                </c:pt>
                <c:pt idx="120">
                  <c:v>2.1000000000000036</c:v>
                </c:pt>
                <c:pt idx="121">
                  <c:v>2.1175000000000037</c:v>
                </c:pt>
                <c:pt idx="122">
                  <c:v>2.1350000000000038</c:v>
                </c:pt>
                <c:pt idx="123">
                  <c:v>2.1525000000000039</c:v>
                </c:pt>
                <c:pt idx="124">
                  <c:v>2.1700000000000039</c:v>
                </c:pt>
                <c:pt idx="125">
                  <c:v>2.187500000000004</c:v>
                </c:pt>
                <c:pt idx="126">
                  <c:v>2.2050000000000041</c:v>
                </c:pt>
                <c:pt idx="127">
                  <c:v>2.2225000000000041</c:v>
                </c:pt>
                <c:pt idx="128">
                  <c:v>2.2400000000000042</c:v>
                </c:pt>
                <c:pt idx="129">
                  <c:v>2.2575000000000043</c:v>
                </c:pt>
                <c:pt idx="130">
                  <c:v>2.2750000000000044</c:v>
                </c:pt>
                <c:pt idx="131">
                  <c:v>2.2925000000000044</c:v>
                </c:pt>
                <c:pt idx="132">
                  <c:v>2.3100000000000045</c:v>
                </c:pt>
                <c:pt idx="133">
                  <c:v>2.3275000000000046</c:v>
                </c:pt>
                <c:pt idx="134">
                  <c:v>2.3450000000000046</c:v>
                </c:pt>
                <c:pt idx="135">
                  <c:v>2.3625000000000047</c:v>
                </c:pt>
                <c:pt idx="136">
                  <c:v>2.3800000000000048</c:v>
                </c:pt>
                <c:pt idx="137">
                  <c:v>2.3975000000000048</c:v>
                </c:pt>
                <c:pt idx="138">
                  <c:v>2.4150000000000049</c:v>
                </c:pt>
                <c:pt idx="139">
                  <c:v>2.432500000000005</c:v>
                </c:pt>
                <c:pt idx="140">
                  <c:v>2.4500000000000051</c:v>
                </c:pt>
                <c:pt idx="141">
                  <c:v>2.4675000000000051</c:v>
                </c:pt>
                <c:pt idx="142">
                  <c:v>2.4850000000000052</c:v>
                </c:pt>
                <c:pt idx="143">
                  <c:v>2.5025000000000053</c:v>
                </c:pt>
                <c:pt idx="144">
                  <c:v>2.5200000000000053</c:v>
                </c:pt>
                <c:pt idx="145">
                  <c:v>2.5375000000000054</c:v>
                </c:pt>
                <c:pt idx="146">
                  <c:v>2.5550000000000055</c:v>
                </c:pt>
                <c:pt idx="147">
                  <c:v>2.5725000000000056</c:v>
                </c:pt>
                <c:pt idx="148">
                  <c:v>2.5900000000000056</c:v>
                </c:pt>
                <c:pt idx="149">
                  <c:v>2.6075000000000057</c:v>
                </c:pt>
                <c:pt idx="150">
                  <c:v>2.6250000000000058</c:v>
                </c:pt>
                <c:pt idx="151">
                  <c:v>2.6425000000000058</c:v>
                </c:pt>
                <c:pt idx="152">
                  <c:v>2.6600000000000059</c:v>
                </c:pt>
                <c:pt idx="153">
                  <c:v>2.677500000000006</c:v>
                </c:pt>
                <c:pt idx="154">
                  <c:v>2.6950000000000061</c:v>
                </c:pt>
                <c:pt idx="155">
                  <c:v>2.7125000000000061</c:v>
                </c:pt>
                <c:pt idx="156">
                  <c:v>2.7300000000000062</c:v>
                </c:pt>
                <c:pt idx="157">
                  <c:v>2.7475000000000063</c:v>
                </c:pt>
                <c:pt idx="158">
                  <c:v>2.7650000000000063</c:v>
                </c:pt>
                <c:pt idx="159">
                  <c:v>2.7825000000000064</c:v>
                </c:pt>
                <c:pt idx="160">
                  <c:v>2.8000000000000065</c:v>
                </c:pt>
                <c:pt idx="161">
                  <c:v>2.8175000000000066</c:v>
                </c:pt>
                <c:pt idx="162">
                  <c:v>2.8350000000000066</c:v>
                </c:pt>
                <c:pt idx="163">
                  <c:v>2.8525000000000067</c:v>
                </c:pt>
                <c:pt idx="164">
                  <c:v>2.8700000000000068</c:v>
                </c:pt>
                <c:pt idx="165">
                  <c:v>2.8875000000000068</c:v>
                </c:pt>
                <c:pt idx="166">
                  <c:v>2.9050000000000069</c:v>
                </c:pt>
                <c:pt idx="167">
                  <c:v>2.922500000000007</c:v>
                </c:pt>
                <c:pt idx="168">
                  <c:v>2.9400000000000071</c:v>
                </c:pt>
                <c:pt idx="169">
                  <c:v>2.9575000000000071</c:v>
                </c:pt>
                <c:pt idx="170">
                  <c:v>2.9750000000000072</c:v>
                </c:pt>
                <c:pt idx="171">
                  <c:v>2.9925000000000073</c:v>
                </c:pt>
                <c:pt idx="172">
                  <c:v>3.0100000000000073</c:v>
                </c:pt>
                <c:pt idx="173">
                  <c:v>3.0275000000000074</c:v>
                </c:pt>
                <c:pt idx="174">
                  <c:v>3.0450000000000075</c:v>
                </c:pt>
                <c:pt idx="175">
                  <c:v>3.0625000000000075</c:v>
                </c:pt>
                <c:pt idx="176">
                  <c:v>3.0800000000000076</c:v>
                </c:pt>
                <c:pt idx="177">
                  <c:v>3.0975000000000077</c:v>
                </c:pt>
                <c:pt idx="178">
                  <c:v>3.1150000000000078</c:v>
                </c:pt>
                <c:pt idx="179">
                  <c:v>3.1325000000000078</c:v>
                </c:pt>
                <c:pt idx="180">
                  <c:v>3.1500000000000079</c:v>
                </c:pt>
                <c:pt idx="181">
                  <c:v>3.167500000000008</c:v>
                </c:pt>
                <c:pt idx="182">
                  <c:v>3.185000000000008</c:v>
                </c:pt>
                <c:pt idx="183">
                  <c:v>3.2025000000000081</c:v>
                </c:pt>
                <c:pt idx="184">
                  <c:v>3.2200000000000082</c:v>
                </c:pt>
                <c:pt idx="185">
                  <c:v>3.2375000000000083</c:v>
                </c:pt>
                <c:pt idx="186">
                  <c:v>3.2550000000000083</c:v>
                </c:pt>
                <c:pt idx="187">
                  <c:v>3.2725000000000084</c:v>
                </c:pt>
                <c:pt idx="188">
                  <c:v>3.2900000000000085</c:v>
                </c:pt>
                <c:pt idx="189">
                  <c:v>3.3075000000000085</c:v>
                </c:pt>
                <c:pt idx="190">
                  <c:v>3.3250000000000086</c:v>
                </c:pt>
                <c:pt idx="191">
                  <c:v>3.3425000000000087</c:v>
                </c:pt>
                <c:pt idx="192">
                  <c:v>3.3600000000000088</c:v>
                </c:pt>
                <c:pt idx="193">
                  <c:v>3.3775000000000088</c:v>
                </c:pt>
                <c:pt idx="194">
                  <c:v>3.3950000000000089</c:v>
                </c:pt>
                <c:pt idx="195">
                  <c:v>3.412500000000009</c:v>
                </c:pt>
                <c:pt idx="196">
                  <c:v>3.430000000000009</c:v>
                </c:pt>
                <c:pt idx="197">
                  <c:v>3.4475000000000091</c:v>
                </c:pt>
                <c:pt idx="198">
                  <c:v>3.4650000000000092</c:v>
                </c:pt>
                <c:pt idx="199">
                  <c:v>3.4825000000000093</c:v>
                </c:pt>
                <c:pt idx="200">
                  <c:v>3.5000000000000093</c:v>
                </c:pt>
                <c:pt idx="201">
                  <c:v>3.5175000000000094</c:v>
                </c:pt>
                <c:pt idx="202">
                  <c:v>3.5350000000000095</c:v>
                </c:pt>
                <c:pt idx="203">
                  <c:v>3.5525000000000095</c:v>
                </c:pt>
                <c:pt idx="204">
                  <c:v>3.5700000000000096</c:v>
                </c:pt>
                <c:pt idx="205">
                  <c:v>3.5875000000000097</c:v>
                </c:pt>
                <c:pt idx="206">
                  <c:v>3.6050000000000098</c:v>
                </c:pt>
                <c:pt idx="207">
                  <c:v>3.6225000000000098</c:v>
                </c:pt>
                <c:pt idx="208">
                  <c:v>3.6400000000000099</c:v>
                </c:pt>
                <c:pt idx="209">
                  <c:v>3.65750000000001</c:v>
                </c:pt>
                <c:pt idx="210">
                  <c:v>3.67500000000001</c:v>
                </c:pt>
                <c:pt idx="211">
                  <c:v>3.6925000000000101</c:v>
                </c:pt>
                <c:pt idx="212">
                  <c:v>3.7100000000000102</c:v>
                </c:pt>
                <c:pt idx="213">
                  <c:v>3.7275000000000102</c:v>
                </c:pt>
                <c:pt idx="214">
                  <c:v>3.7450000000000103</c:v>
                </c:pt>
                <c:pt idx="215">
                  <c:v>3.7625000000000104</c:v>
                </c:pt>
                <c:pt idx="216">
                  <c:v>3.7800000000000105</c:v>
                </c:pt>
                <c:pt idx="217">
                  <c:v>3.7975000000000105</c:v>
                </c:pt>
                <c:pt idx="218">
                  <c:v>3.8150000000000106</c:v>
                </c:pt>
                <c:pt idx="219">
                  <c:v>3.8325000000000107</c:v>
                </c:pt>
                <c:pt idx="220">
                  <c:v>3.8500000000000107</c:v>
                </c:pt>
                <c:pt idx="221">
                  <c:v>3.8675000000000108</c:v>
                </c:pt>
                <c:pt idx="222">
                  <c:v>3.8850000000000109</c:v>
                </c:pt>
                <c:pt idx="223">
                  <c:v>3.902500000000011</c:v>
                </c:pt>
                <c:pt idx="224">
                  <c:v>3.920000000000011</c:v>
                </c:pt>
                <c:pt idx="225">
                  <c:v>3.9375000000000111</c:v>
                </c:pt>
                <c:pt idx="226">
                  <c:v>3.9550000000000112</c:v>
                </c:pt>
                <c:pt idx="227">
                  <c:v>3.9725000000000112</c:v>
                </c:pt>
                <c:pt idx="228">
                  <c:v>3.9900000000000113</c:v>
                </c:pt>
                <c:pt idx="229">
                  <c:v>4.0075000000000109</c:v>
                </c:pt>
                <c:pt idx="230">
                  <c:v>4.025000000000011</c:v>
                </c:pt>
                <c:pt idx="231">
                  <c:v>4.0425000000000111</c:v>
                </c:pt>
                <c:pt idx="232">
                  <c:v>4.0600000000000112</c:v>
                </c:pt>
                <c:pt idx="233">
                  <c:v>4.0775000000000112</c:v>
                </c:pt>
                <c:pt idx="234">
                  <c:v>4.0950000000000113</c:v>
                </c:pt>
                <c:pt idx="235">
                  <c:v>4.1125000000000114</c:v>
                </c:pt>
                <c:pt idx="236">
                  <c:v>4.1300000000000114</c:v>
                </c:pt>
                <c:pt idx="237">
                  <c:v>4.1475000000000115</c:v>
                </c:pt>
                <c:pt idx="238">
                  <c:v>4.1650000000000116</c:v>
                </c:pt>
                <c:pt idx="239">
                  <c:v>4.1825000000000117</c:v>
                </c:pt>
                <c:pt idx="240">
                  <c:v>4.2000000000000117</c:v>
                </c:pt>
                <c:pt idx="241">
                  <c:v>4.2175000000000118</c:v>
                </c:pt>
                <c:pt idx="242">
                  <c:v>4.2350000000000119</c:v>
                </c:pt>
                <c:pt idx="243">
                  <c:v>4.2525000000000119</c:v>
                </c:pt>
                <c:pt idx="244">
                  <c:v>4.270000000000012</c:v>
                </c:pt>
                <c:pt idx="245">
                  <c:v>4.2875000000000121</c:v>
                </c:pt>
                <c:pt idx="246">
                  <c:v>4.3050000000000122</c:v>
                </c:pt>
                <c:pt idx="247">
                  <c:v>4.3225000000000122</c:v>
                </c:pt>
                <c:pt idx="248">
                  <c:v>4.3400000000000123</c:v>
                </c:pt>
                <c:pt idx="249">
                  <c:v>4.3575000000000124</c:v>
                </c:pt>
                <c:pt idx="250">
                  <c:v>4.3750000000000124</c:v>
                </c:pt>
                <c:pt idx="251">
                  <c:v>4.3925000000000125</c:v>
                </c:pt>
                <c:pt idx="252">
                  <c:v>4.4100000000000126</c:v>
                </c:pt>
                <c:pt idx="253">
                  <c:v>4.4275000000000126</c:v>
                </c:pt>
                <c:pt idx="254">
                  <c:v>4.4450000000000127</c:v>
                </c:pt>
                <c:pt idx="255">
                  <c:v>4.4625000000000128</c:v>
                </c:pt>
                <c:pt idx="256">
                  <c:v>4.4800000000000129</c:v>
                </c:pt>
                <c:pt idx="257">
                  <c:v>4.4975000000000129</c:v>
                </c:pt>
                <c:pt idx="258">
                  <c:v>4.515000000000013</c:v>
                </c:pt>
                <c:pt idx="259">
                  <c:v>4.5325000000000131</c:v>
                </c:pt>
                <c:pt idx="260">
                  <c:v>4.5500000000000131</c:v>
                </c:pt>
                <c:pt idx="261">
                  <c:v>4.5675000000000132</c:v>
                </c:pt>
                <c:pt idx="262">
                  <c:v>4.5850000000000133</c:v>
                </c:pt>
                <c:pt idx="263">
                  <c:v>4.6025000000000134</c:v>
                </c:pt>
                <c:pt idx="264">
                  <c:v>4.6200000000000134</c:v>
                </c:pt>
                <c:pt idx="265">
                  <c:v>4.6375000000000135</c:v>
                </c:pt>
                <c:pt idx="266">
                  <c:v>4.6550000000000136</c:v>
                </c:pt>
                <c:pt idx="267">
                  <c:v>4.6725000000000136</c:v>
                </c:pt>
                <c:pt idx="268">
                  <c:v>4.6900000000000137</c:v>
                </c:pt>
                <c:pt idx="269">
                  <c:v>4.7075000000000138</c:v>
                </c:pt>
                <c:pt idx="270">
                  <c:v>4.7250000000000139</c:v>
                </c:pt>
                <c:pt idx="271">
                  <c:v>4.7425000000000139</c:v>
                </c:pt>
                <c:pt idx="272">
                  <c:v>4.760000000000014</c:v>
                </c:pt>
                <c:pt idx="273">
                  <c:v>4.7775000000000141</c:v>
                </c:pt>
                <c:pt idx="274">
                  <c:v>4.7950000000000141</c:v>
                </c:pt>
                <c:pt idx="275">
                  <c:v>4.8125000000000142</c:v>
                </c:pt>
                <c:pt idx="276">
                  <c:v>4.8300000000000143</c:v>
                </c:pt>
                <c:pt idx="277">
                  <c:v>4.8475000000000144</c:v>
                </c:pt>
                <c:pt idx="278">
                  <c:v>4.8650000000000144</c:v>
                </c:pt>
                <c:pt idx="279">
                  <c:v>4.8825000000000145</c:v>
                </c:pt>
                <c:pt idx="280">
                  <c:v>4.9000000000000146</c:v>
                </c:pt>
                <c:pt idx="281">
                  <c:v>4.9175000000000146</c:v>
                </c:pt>
                <c:pt idx="282">
                  <c:v>4.9350000000000147</c:v>
                </c:pt>
                <c:pt idx="283">
                  <c:v>4.9525000000000148</c:v>
                </c:pt>
                <c:pt idx="284">
                  <c:v>4.9700000000000149</c:v>
                </c:pt>
                <c:pt idx="285">
                  <c:v>4.9875000000000149</c:v>
                </c:pt>
                <c:pt idx="286">
                  <c:v>5.005000000000015</c:v>
                </c:pt>
                <c:pt idx="287">
                  <c:v>5.0225000000000151</c:v>
                </c:pt>
                <c:pt idx="288">
                  <c:v>5.0400000000000151</c:v>
                </c:pt>
                <c:pt idx="289">
                  <c:v>5.0575000000000152</c:v>
                </c:pt>
                <c:pt idx="290">
                  <c:v>5.0750000000000153</c:v>
                </c:pt>
                <c:pt idx="291">
                  <c:v>5.0925000000000153</c:v>
                </c:pt>
                <c:pt idx="292">
                  <c:v>5.1100000000000154</c:v>
                </c:pt>
                <c:pt idx="293">
                  <c:v>5.1275000000000155</c:v>
                </c:pt>
                <c:pt idx="294">
                  <c:v>5.1450000000000156</c:v>
                </c:pt>
                <c:pt idx="295">
                  <c:v>5.1625000000000156</c:v>
                </c:pt>
                <c:pt idx="296">
                  <c:v>5.1800000000000157</c:v>
                </c:pt>
                <c:pt idx="297">
                  <c:v>5.1975000000000158</c:v>
                </c:pt>
                <c:pt idx="298">
                  <c:v>5.2150000000000158</c:v>
                </c:pt>
                <c:pt idx="299">
                  <c:v>5.2325000000000159</c:v>
                </c:pt>
                <c:pt idx="300">
                  <c:v>5.250000000000016</c:v>
                </c:pt>
                <c:pt idx="301">
                  <c:v>5.2675000000000161</c:v>
                </c:pt>
                <c:pt idx="302">
                  <c:v>5.2850000000000161</c:v>
                </c:pt>
                <c:pt idx="303">
                  <c:v>5.3025000000000162</c:v>
                </c:pt>
                <c:pt idx="304">
                  <c:v>5.3200000000000163</c:v>
                </c:pt>
                <c:pt idx="305">
                  <c:v>5.3375000000000163</c:v>
                </c:pt>
                <c:pt idx="306">
                  <c:v>5.3550000000000164</c:v>
                </c:pt>
                <c:pt idx="307">
                  <c:v>5.3725000000000165</c:v>
                </c:pt>
                <c:pt idx="308">
                  <c:v>5.3900000000000166</c:v>
                </c:pt>
                <c:pt idx="309">
                  <c:v>5.4075000000000166</c:v>
                </c:pt>
                <c:pt idx="310">
                  <c:v>5.4250000000000167</c:v>
                </c:pt>
                <c:pt idx="311">
                  <c:v>5.4425000000000168</c:v>
                </c:pt>
                <c:pt idx="312">
                  <c:v>5.4600000000000168</c:v>
                </c:pt>
                <c:pt idx="313">
                  <c:v>5.4775000000000169</c:v>
                </c:pt>
                <c:pt idx="314">
                  <c:v>5.495000000000017</c:v>
                </c:pt>
                <c:pt idx="315">
                  <c:v>5.5125000000000171</c:v>
                </c:pt>
                <c:pt idx="316">
                  <c:v>5.5300000000000171</c:v>
                </c:pt>
                <c:pt idx="317">
                  <c:v>5.5475000000000172</c:v>
                </c:pt>
                <c:pt idx="318">
                  <c:v>5.5650000000000173</c:v>
                </c:pt>
                <c:pt idx="319">
                  <c:v>5.5825000000000173</c:v>
                </c:pt>
                <c:pt idx="320">
                  <c:v>5.6000000000000174</c:v>
                </c:pt>
                <c:pt idx="321">
                  <c:v>5.6175000000000175</c:v>
                </c:pt>
                <c:pt idx="322">
                  <c:v>5.6350000000000176</c:v>
                </c:pt>
                <c:pt idx="323">
                  <c:v>5.6525000000000176</c:v>
                </c:pt>
                <c:pt idx="324">
                  <c:v>5.6700000000000177</c:v>
                </c:pt>
                <c:pt idx="325">
                  <c:v>5.6875000000000178</c:v>
                </c:pt>
                <c:pt idx="326">
                  <c:v>5.7050000000000178</c:v>
                </c:pt>
                <c:pt idx="327">
                  <c:v>5.7225000000000179</c:v>
                </c:pt>
                <c:pt idx="328">
                  <c:v>5.740000000000018</c:v>
                </c:pt>
                <c:pt idx="329">
                  <c:v>5.757500000000018</c:v>
                </c:pt>
                <c:pt idx="330">
                  <c:v>5.7750000000000181</c:v>
                </c:pt>
                <c:pt idx="331">
                  <c:v>5.7925000000000182</c:v>
                </c:pt>
                <c:pt idx="332">
                  <c:v>5.8100000000000183</c:v>
                </c:pt>
                <c:pt idx="333">
                  <c:v>5.8275000000000183</c:v>
                </c:pt>
                <c:pt idx="334">
                  <c:v>5.8450000000000184</c:v>
                </c:pt>
                <c:pt idx="335">
                  <c:v>5.8625000000000185</c:v>
                </c:pt>
                <c:pt idx="336">
                  <c:v>5.8800000000000185</c:v>
                </c:pt>
                <c:pt idx="337">
                  <c:v>5.8975000000000186</c:v>
                </c:pt>
                <c:pt idx="338">
                  <c:v>5.9150000000000187</c:v>
                </c:pt>
                <c:pt idx="339">
                  <c:v>5.9325000000000188</c:v>
                </c:pt>
                <c:pt idx="340">
                  <c:v>5.9500000000000188</c:v>
                </c:pt>
                <c:pt idx="341">
                  <c:v>5.9675000000000189</c:v>
                </c:pt>
                <c:pt idx="342">
                  <c:v>5.985000000000019</c:v>
                </c:pt>
                <c:pt idx="343">
                  <c:v>6.002500000000019</c:v>
                </c:pt>
                <c:pt idx="344">
                  <c:v>6.0200000000000191</c:v>
                </c:pt>
                <c:pt idx="345">
                  <c:v>6.0375000000000192</c:v>
                </c:pt>
                <c:pt idx="346">
                  <c:v>6.0550000000000193</c:v>
                </c:pt>
                <c:pt idx="347">
                  <c:v>6.0725000000000193</c:v>
                </c:pt>
                <c:pt idx="348">
                  <c:v>6.0900000000000194</c:v>
                </c:pt>
                <c:pt idx="349">
                  <c:v>6.1075000000000195</c:v>
                </c:pt>
                <c:pt idx="350">
                  <c:v>6.1250000000000195</c:v>
                </c:pt>
                <c:pt idx="351">
                  <c:v>6.1425000000000196</c:v>
                </c:pt>
                <c:pt idx="352">
                  <c:v>6.1600000000000197</c:v>
                </c:pt>
                <c:pt idx="353">
                  <c:v>6.1775000000000198</c:v>
                </c:pt>
                <c:pt idx="354">
                  <c:v>6.1950000000000198</c:v>
                </c:pt>
                <c:pt idx="355">
                  <c:v>6.2125000000000199</c:v>
                </c:pt>
                <c:pt idx="356">
                  <c:v>6.23000000000002</c:v>
                </c:pt>
                <c:pt idx="357">
                  <c:v>6.24750000000002</c:v>
                </c:pt>
                <c:pt idx="358">
                  <c:v>6.2650000000000201</c:v>
                </c:pt>
                <c:pt idx="359">
                  <c:v>6.2825000000000202</c:v>
                </c:pt>
                <c:pt idx="360">
                  <c:v>6.3000000000000203</c:v>
                </c:pt>
                <c:pt idx="361">
                  <c:v>6.3175000000000203</c:v>
                </c:pt>
                <c:pt idx="362">
                  <c:v>6.3350000000000204</c:v>
                </c:pt>
                <c:pt idx="363">
                  <c:v>6.3525000000000205</c:v>
                </c:pt>
                <c:pt idx="364">
                  <c:v>6.3700000000000205</c:v>
                </c:pt>
                <c:pt idx="365">
                  <c:v>6.3875000000000206</c:v>
                </c:pt>
                <c:pt idx="366">
                  <c:v>6.4050000000000207</c:v>
                </c:pt>
                <c:pt idx="367">
                  <c:v>6.4225000000000207</c:v>
                </c:pt>
                <c:pt idx="368">
                  <c:v>6.4400000000000208</c:v>
                </c:pt>
                <c:pt idx="369">
                  <c:v>6.4575000000000209</c:v>
                </c:pt>
                <c:pt idx="370">
                  <c:v>6.475000000000021</c:v>
                </c:pt>
                <c:pt idx="371">
                  <c:v>6.492500000000021</c:v>
                </c:pt>
                <c:pt idx="372">
                  <c:v>6.5100000000000211</c:v>
                </c:pt>
                <c:pt idx="373">
                  <c:v>6.5275000000000212</c:v>
                </c:pt>
                <c:pt idx="374">
                  <c:v>6.5450000000000212</c:v>
                </c:pt>
                <c:pt idx="375">
                  <c:v>6.5625000000000213</c:v>
                </c:pt>
                <c:pt idx="376">
                  <c:v>6.5800000000000214</c:v>
                </c:pt>
                <c:pt idx="377">
                  <c:v>6.5975000000000215</c:v>
                </c:pt>
                <c:pt idx="378">
                  <c:v>6.6150000000000215</c:v>
                </c:pt>
                <c:pt idx="379">
                  <c:v>6.6325000000000216</c:v>
                </c:pt>
                <c:pt idx="380">
                  <c:v>6.6500000000000217</c:v>
                </c:pt>
                <c:pt idx="381">
                  <c:v>6.6675000000000217</c:v>
                </c:pt>
                <c:pt idx="382">
                  <c:v>6.6850000000000218</c:v>
                </c:pt>
                <c:pt idx="383">
                  <c:v>6.7025000000000219</c:v>
                </c:pt>
                <c:pt idx="384">
                  <c:v>6.720000000000022</c:v>
                </c:pt>
                <c:pt idx="385">
                  <c:v>6.737500000000022</c:v>
                </c:pt>
                <c:pt idx="386">
                  <c:v>6.7550000000000221</c:v>
                </c:pt>
                <c:pt idx="387">
                  <c:v>6.7725000000000222</c:v>
                </c:pt>
                <c:pt idx="388">
                  <c:v>6.7900000000000222</c:v>
                </c:pt>
                <c:pt idx="389">
                  <c:v>6.8075000000000223</c:v>
                </c:pt>
                <c:pt idx="390">
                  <c:v>6.8250000000000224</c:v>
                </c:pt>
                <c:pt idx="391">
                  <c:v>6.8425000000000225</c:v>
                </c:pt>
                <c:pt idx="392">
                  <c:v>6.8600000000000225</c:v>
                </c:pt>
                <c:pt idx="393">
                  <c:v>6.8775000000000226</c:v>
                </c:pt>
                <c:pt idx="394">
                  <c:v>6.8950000000000227</c:v>
                </c:pt>
                <c:pt idx="395">
                  <c:v>6.9125000000000227</c:v>
                </c:pt>
                <c:pt idx="396">
                  <c:v>6.9300000000000228</c:v>
                </c:pt>
                <c:pt idx="397">
                  <c:v>6.9475000000000229</c:v>
                </c:pt>
                <c:pt idx="398">
                  <c:v>6.965000000000023</c:v>
                </c:pt>
                <c:pt idx="399">
                  <c:v>6.982500000000023</c:v>
                </c:pt>
                <c:pt idx="400">
                  <c:v>7.0000000000000231</c:v>
                </c:pt>
              </c:numCache>
            </c:numRef>
          </c:xVal>
          <c:yVal>
            <c:numRef>
              <c:f>'xVA Calculations'!$U$30:$U$430</c:f>
              <c:numCache>
                <c:formatCode>0.000%</c:formatCode>
                <c:ptCount val="401"/>
                <c:pt idx="0">
                  <c:v>2.3535354050408679E-3</c:v>
                </c:pt>
                <c:pt idx="1">
                  <c:v>3.3246570818005893E-3</c:v>
                </c:pt>
                <c:pt idx="2">
                  <c:v>4.6911796145467028E-3</c:v>
                </c:pt>
                <c:pt idx="3">
                  <c:v>5.7325145493496077E-3</c:v>
                </c:pt>
                <c:pt idx="4">
                  <c:v>6.6043375654111953E-3</c:v>
                </c:pt>
                <c:pt idx="5">
                  <c:v>7.3670944752363861E-3</c:v>
                </c:pt>
                <c:pt idx="6">
                  <c:v>8.0518570947484581E-3</c:v>
                </c:pt>
                <c:pt idx="7">
                  <c:v>8.6771251554965539E-3</c:v>
                </c:pt>
                <c:pt idx="8">
                  <c:v>9.2549790825738748E-3</c:v>
                </c:pt>
                <c:pt idx="9">
                  <c:v>9.7938284566896367E-3</c:v>
                </c:pt>
                <c:pt idx="10">
                  <c:v>1.0299809623720641E-2</c:v>
                </c:pt>
                <c:pt idx="11">
                  <c:v>1.0777565081091288E-2</c:v>
                </c:pt>
                <c:pt idx="12">
                  <c:v>1.1230709363096975E-2</c:v>
                </c:pt>
                <c:pt idx="13">
                  <c:v>1.1662123078311857E-2</c:v>
                </c:pt>
                <c:pt idx="14">
                  <c:v>1.2074146788580776E-2</c:v>
                </c:pt>
                <c:pt idx="15">
                  <c:v>1.2468713538602828E-2</c:v>
                </c:pt>
                <c:pt idx="16">
                  <c:v>1.2847442229491714E-2</c:v>
                </c:pt>
                <c:pt idx="17">
                  <c:v>1.3211705119936792E-2</c:v>
                </c:pt>
                <c:pt idx="18">
                  <c:v>1.3562677718308788E-2</c:v>
                </c:pt>
                <c:pt idx="19">
                  <c:v>1.3901376378896985E-2</c:v>
                </c:pt>
                <c:pt idx="20">
                  <c:v>1.4228687117984317E-2</c:v>
                </c:pt>
                <c:pt idx="21">
                  <c:v>1.4545388035297924E-2</c:v>
                </c:pt>
                <c:pt idx="22">
                  <c:v>1.4852166995871422E-2</c:v>
                </c:pt>
                <c:pt idx="23">
                  <c:v>1.5149635743486352E-2</c:v>
                </c:pt>
                <c:pt idx="24">
                  <c:v>1.5438341289281069E-2</c:v>
                </c:pt>
                <c:pt idx="25">
                  <c:v>1.5718775192952016E-2</c:v>
                </c:pt>
                <c:pt idx="26">
                  <c:v>1.5991381195037905E-2</c:v>
                </c:pt>
                <c:pt idx="27">
                  <c:v>1.6256561545276594E-2</c:v>
                </c:pt>
                <c:pt idx="28">
                  <c:v>1.6514682289773059E-2</c:v>
                </c:pt>
                <c:pt idx="29">
                  <c:v>1.6766077719304794E-2</c:v>
                </c:pt>
                <c:pt idx="30">
                  <c:v>1.7011054136168338E-2</c:v>
                </c:pt>
                <c:pt idx="31">
                  <c:v>1.7249893063183738E-2</c:v>
                </c:pt>
                <c:pt idx="32">
                  <c:v>1.7482853992792226E-2</c:v>
                </c:pt>
                <c:pt idx="33">
                  <c:v>1.7710176754470969E-2</c:v>
                </c:pt>
                <c:pt idx="34">
                  <c:v>1.7932083563419514E-2</c:v>
                </c:pt>
                <c:pt idx="35">
                  <c:v>1.8148780801545524E-2</c:v>
                </c:pt>
                <c:pt idx="36">
                  <c:v>1.8360460572384427E-2</c:v>
                </c:pt>
                <c:pt idx="37">
                  <c:v>1.8567302064137221E-2</c:v>
                </c:pt>
                <c:pt idx="38">
                  <c:v>1.8769472749057561E-2</c:v>
                </c:pt>
                <c:pt idx="39">
                  <c:v>1.8967129442632562E-2</c:v>
                </c:pt>
                <c:pt idx="40">
                  <c:v>1.9160419242128562E-2</c:v>
                </c:pt>
                <c:pt idx="41">
                  <c:v>1.9349480360919713E-2</c:v>
                </c:pt>
                <c:pt idx="42">
                  <c:v>1.9534442872437361E-2</c:v>
                </c:pt>
                <c:pt idx="43">
                  <c:v>1.9715429375454875E-2</c:v>
                </c:pt>
                <c:pt idx="44">
                  <c:v>1.9892555590666664E-2</c:v>
                </c:pt>
                <c:pt idx="45">
                  <c:v>2.0065930897062004E-2</c:v>
                </c:pt>
                <c:pt idx="46">
                  <c:v>2.023565881537652E-2</c:v>
                </c:pt>
                <c:pt idx="47">
                  <c:v>2.0401837444884031E-2</c:v>
                </c:pt>
                <c:pt idx="48">
                  <c:v>2.0564559858932647E-2</c:v>
                </c:pt>
                <c:pt idx="49">
                  <c:v>2.0723914463903668E-2</c:v>
                </c:pt>
                <c:pt idx="50">
                  <c:v>2.0879985325656058E-2</c:v>
                </c:pt>
                <c:pt idx="51">
                  <c:v>2.1032852466996238E-2</c:v>
                </c:pt>
                <c:pt idx="52">
                  <c:v>2.1182592139264992E-2</c:v>
                </c:pt>
                <c:pt idx="53">
                  <c:v>2.1329277070750611E-2</c:v>
                </c:pt>
                <c:pt idx="54">
                  <c:v>2.1472976694307679E-2</c:v>
                </c:pt>
                <c:pt idx="55">
                  <c:v>2.1613757356277147E-2</c:v>
                </c:pt>
                <c:pt idx="56">
                  <c:v>2.1751682508557614E-2</c:v>
                </c:pt>
                <c:pt idx="57">
                  <c:v>2.1886812885465012E-2</c:v>
                </c:pt>
                <c:pt idx="58">
                  <c:v>2.201920666683272E-2</c:v>
                </c:pt>
                <c:pt idx="59">
                  <c:v>2.2148919628642849E-2</c:v>
                </c:pt>
                <c:pt idx="60">
                  <c:v>2.2276005282338418E-2</c:v>
                </c:pt>
                <c:pt idx="61">
                  <c:v>2.2400515003842748E-2</c:v>
                </c:pt>
                <c:pt idx="62">
                  <c:v>2.2522498153203806E-2</c:v>
                </c:pt>
                <c:pt idx="63">
                  <c:v>2.264200218568636E-2</c:v>
                </c:pt>
                <c:pt idx="64">
                  <c:v>2.2759072755049684E-2</c:v>
                </c:pt>
                <c:pt idx="65">
                  <c:v>2.2873753809675566E-2</c:v>
                </c:pt>
                <c:pt idx="66">
                  <c:v>2.2986087682144336E-2</c:v>
                </c:pt>
                <c:pt idx="67">
                  <c:v>2.3096115172798838E-2</c:v>
                </c:pt>
                <c:pt idx="68">
                  <c:v>2.3203875627784504E-2</c:v>
                </c:pt>
                <c:pt idx="69">
                  <c:v>2.3309407012006907E-2</c:v>
                </c:pt>
                <c:pt idx="70">
                  <c:v>2.3412745977407518E-2</c:v>
                </c:pt>
                <c:pt idx="71">
                  <c:v>2.3513927926921127E-2</c:v>
                </c:pt>
                <c:pt idx="72">
                  <c:v>2.3612987074445563E-2</c:v>
                </c:pt>
                <c:pt idx="73">
                  <c:v>2.3709956501124806E-2</c:v>
                </c:pt>
                <c:pt idx="74">
                  <c:v>2.3804868208220076E-2</c:v>
                </c:pt>
                <c:pt idx="75">
                  <c:v>2.3897753166819215E-2</c:v>
                </c:pt>
                <c:pt idx="76">
                  <c:v>2.3988641364613799E-2</c:v>
                </c:pt>
                <c:pt idx="77">
                  <c:v>2.4077561849953247E-2</c:v>
                </c:pt>
                <c:pt idx="78">
                  <c:v>2.4164542773368537E-2</c:v>
                </c:pt>
                <c:pt idx="79">
                  <c:v>2.4249611426741344E-2</c:v>
                </c:pt>
                <c:pt idx="80">
                  <c:v>2.4332794280280848E-2</c:v>
                </c:pt>
                <c:pt idx="81">
                  <c:v>2.4414117017456785E-2</c:v>
                </c:pt>
                <c:pt idx="82">
                  <c:v>2.4493604568026166E-2</c:v>
                </c:pt>
                <c:pt idx="83">
                  <c:v>2.4571281139279536E-2</c:v>
                </c:pt>
                <c:pt idx="84">
                  <c:v>2.4647170245623524E-2</c:v>
                </c:pt>
                <c:pt idx="85">
                  <c:v>2.4721294736607249E-2</c:v>
                </c:pt>
                <c:pt idx="86">
                  <c:v>2.4793676823491716E-2</c:v>
                </c:pt>
                <c:pt idx="87">
                  <c:v>2.4864338104454674E-2</c:v>
                </c:pt>
                <c:pt idx="88">
                  <c:v>2.4933299588515489E-2</c:v>
                </c:pt>
                <c:pt idx="89">
                  <c:v>2.5000581718259585E-2</c:v>
                </c:pt>
                <c:pt idx="90">
                  <c:v>2.5066204391435244E-2</c:v>
                </c:pt>
                <c:pt idx="91">
                  <c:v>2.5130186981490905E-2</c:v>
                </c:pt>
                <c:pt idx="92">
                  <c:v>2.519254835711621E-2</c:v>
                </c:pt>
                <c:pt idx="93">
                  <c:v>2.5253306900845617E-2</c:v>
                </c:pt>
                <c:pt idx="94">
                  <c:v>2.5312480526778904E-2</c:v>
                </c:pt>
                <c:pt idx="95">
                  <c:v>2.537008669747012E-2</c:v>
                </c:pt>
                <c:pt idx="96">
                  <c:v>2.5426142440031923E-2</c:v>
                </c:pt>
                <c:pt idx="97">
                  <c:v>2.548066436150007E-2</c:v>
                </c:pt>
                <c:pt idx="98">
                  <c:v>2.5533668663499116E-2</c:v>
                </c:pt>
                <c:pt idx="99">
                  <c:v>2.5585171156248171E-2</c:v>
                </c:pt>
                <c:pt idx="100">
                  <c:v>2.5635187271942798E-2</c:v>
                </c:pt>
                <c:pt idx="101">
                  <c:v>2.5683732077546966E-2</c:v>
                </c:pt>
                <c:pt idx="102">
                  <c:v>2.5730820287026699E-2</c:v>
                </c:pt>
                <c:pt idx="103">
                  <c:v>2.5776466273054924E-2</c:v>
                </c:pt>
                <c:pt idx="104">
                  <c:v>2.5820684078215653E-2</c:v>
                </c:pt>
                <c:pt idx="105">
                  <c:v>2.5863487425733439E-2</c:v>
                </c:pt>
                <c:pt idx="106">
                  <c:v>2.5904889729752498E-2</c:v>
                </c:pt>
                <c:pt idx="107">
                  <c:v>2.5944904105188776E-2</c:v>
                </c:pt>
                <c:pt idx="108">
                  <c:v>2.5983543377176427E-2</c:v>
                </c:pt>
                <c:pt idx="109">
                  <c:v>2.6020820090129022E-2</c:v>
                </c:pt>
                <c:pt idx="110">
                  <c:v>2.6056746516434918E-2</c:v>
                </c:pt>
                <c:pt idx="111">
                  <c:v>2.6091334664804202E-2</c:v>
                </c:pt>
                <c:pt idx="112">
                  <c:v>2.6124596288285069E-2</c:v>
                </c:pt>
                <c:pt idx="113">
                  <c:v>2.6156542891964896E-2</c:v>
                </c:pt>
                <c:pt idx="114">
                  <c:v>2.6187185740371349E-2</c:v>
                </c:pt>
                <c:pt idx="115">
                  <c:v>2.621653586458806E-2</c:v>
                </c:pt>
                <c:pt idx="116">
                  <c:v>2.6244604069097909E-2</c:v>
                </c:pt>
                <c:pt idx="117">
                  <c:v>2.6271400938366701E-2</c:v>
                </c:pt>
                <c:pt idx="118">
                  <c:v>2.6296936843179689E-2</c:v>
                </c:pt>
                <c:pt idx="119">
                  <c:v>2.6321221946741497E-2</c:v>
                </c:pt>
                <c:pt idx="120">
                  <c:v>2.6344266210551012E-2</c:v>
                </c:pt>
                <c:pt idx="121">
                  <c:v>2.6366079400060888E-2</c:v>
                </c:pt>
                <c:pt idx="122">
                  <c:v>2.6386671090131368E-2</c:v>
                </c:pt>
                <c:pt idx="123">
                  <c:v>2.6406050670287822E-2</c:v>
                </c:pt>
                <c:pt idx="124">
                  <c:v>2.6424227349790191E-2</c:v>
                </c:pt>
                <c:pt idx="125">
                  <c:v>2.644121016252305E-2</c:v>
                </c:pt>
                <c:pt idx="126">
                  <c:v>2.6457007971713568E-2</c:v>
                </c:pt>
                <c:pt idx="127">
                  <c:v>2.6471629474485212E-2</c:v>
                </c:pt>
                <c:pt idx="128">
                  <c:v>2.6485083206253687E-2</c:v>
                </c:pt>
                <c:pt idx="129">
                  <c:v>2.6497377544972313E-2</c:v>
                </c:pt>
                <c:pt idx="130">
                  <c:v>2.6508520715232811E-2</c:v>
                </c:pt>
                <c:pt idx="131">
                  <c:v>2.6518520792227503E-2</c:v>
                </c:pt>
                <c:pt idx="132">
                  <c:v>2.6527385705578849E-2</c:v>
                </c:pt>
                <c:pt idx="133">
                  <c:v>2.653512324304165E-2</c:v>
                </c:pt>
                <c:pt idx="134">
                  <c:v>2.6541741054082964E-2</c:v>
                </c:pt>
                <c:pt idx="135">
                  <c:v>2.6547246653345024E-2</c:v>
                </c:pt>
                <c:pt idx="136">
                  <c:v>2.6551647423995395E-2</c:v>
                </c:pt>
                <c:pt idx="137">
                  <c:v>2.6554950620969121E-2</c:v>
                </c:pt>
                <c:pt idx="138">
                  <c:v>2.6557163374107254E-2</c:v>
                </c:pt>
                <c:pt idx="139">
                  <c:v>2.6558292691195282E-2</c:v>
                </c:pt>
                <c:pt idx="140">
                  <c:v>2.6558345460906185E-2</c:v>
                </c:pt>
                <c:pt idx="141">
                  <c:v>2.6557328455650807E-2</c:v>
                </c:pt>
                <c:pt idx="142">
                  <c:v>2.655524833434009E-2</c:v>
                </c:pt>
                <c:pt idx="143">
                  <c:v>2.6552111645061636E-2</c:v>
                </c:pt>
                <c:pt idx="144">
                  <c:v>2.6547924827674544E-2</c:v>
                </c:pt>
                <c:pt idx="145">
                  <c:v>2.6542694216325172E-2</c:v>
                </c:pt>
                <c:pt idx="146">
                  <c:v>2.6536426041886822E-2</c:v>
                </c:pt>
                <c:pt idx="147">
                  <c:v>2.652912643432628E-2</c:v>
                </c:pt>
                <c:pt idx="148">
                  <c:v>2.652080142499989E-2</c:v>
                </c:pt>
                <c:pt idx="149">
                  <c:v>2.6511456948881667E-2</c:v>
                </c:pt>
                <c:pt idx="150">
                  <c:v>2.6501098846725753E-2</c:v>
                </c:pt>
                <c:pt idx="151">
                  <c:v>2.648973286716607E-2</c:v>
                </c:pt>
                <c:pt idx="152">
                  <c:v>2.6477364668754833E-2</c:v>
                </c:pt>
                <c:pt idx="153">
                  <c:v>2.646399982194246E-2</c:v>
                </c:pt>
                <c:pt idx="154">
                  <c:v>2.6449643811000817E-2</c:v>
                </c:pt>
                <c:pt idx="155">
                  <c:v>2.6434302035891942E-2</c:v>
                </c:pt>
                <c:pt idx="156">
                  <c:v>2.6417979814083833E-2</c:v>
                </c:pt>
                <c:pt idx="157">
                  <c:v>2.6400682382315337E-2</c:v>
                </c:pt>
                <c:pt idx="158">
                  <c:v>2.6382414898312039E-2</c:v>
                </c:pt>
                <c:pt idx="159">
                  <c:v>2.6363182442454499E-2</c:v>
                </c:pt>
                <c:pt idx="160">
                  <c:v>2.634299001940062E-2</c:v>
                </c:pt>
                <c:pt idx="161">
                  <c:v>2.6321842559663675E-2</c:v>
                </c:pt>
                <c:pt idx="162">
                  <c:v>2.6299744921147658E-2</c:v>
                </c:pt>
                <c:pt idx="163">
                  <c:v>2.6276701890640831E-2</c:v>
                </c:pt>
                <c:pt idx="164">
                  <c:v>2.6252718185269659E-2</c:v>
                </c:pt>
                <c:pt idx="165">
                  <c:v>2.6227798453913667E-2</c:v>
                </c:pt>
                <c:pt idx="166">
                  <c:v>2.6201947278583024E-2</c:v>
                </c:pt>
                <c:pt idx="167">
                  <c:v>2.6175169175759707E-2</c:v>
                </c:pt>
                <c:pt idx="168">
                  <c:v>2.6147468597703821E-2</c:v>
                </c:pt>
                <c:pt idx="169">
                  <c:v>2.6118849933725648E-2</c:v>
                </c:pt>
                <c:pt idx="170">
                  <c:v>2.6089317511425087E-2</c:v>
                </c:pt>
                <c:pt idx="171">
                  <c:v>2.605887559789909E-2</c:v>
                </c:pt>
                <c:pt idx="172">
                  <c:v>2.60275284009184E-2</c:v>
                </c:pt>
                <c:pt idx="173">
                  <c:v>2.59952800700743E-2</c:v>
                </c:pt>
                <c:pt idx="174">
                  <c:v>2.596213469789645E-2</c:v>
                </c:pt>
                <c:pt idx="175">
                  <c:v>2.5928096320942822E-2</c:v>
                </c:pt>
                <c:pt idx="176">
                  <c:v>2.58931689208622E-2</c:v>
                </c:pt>
                <c:pt idx="177">
                  <c:v>2.5857356425430626E-2</c:v>
                </c:pt>
                <c:pt idx="178">
                  <c:v>2.5820662709562039E-2</c:v>
                </c:pt>
                <c:pt idx="179">
                  <c:v>2.5783091596294348E-2</c:v>
                </c:pt>
                <c:pt idx="180">
                  <c:v>2.5744646857751352E-2</c:v>
                </c:pt>
                <c:pt idx="181">
                  <c:v>2.5705332216081418E-2</c:v>
                </c:pt>
                <c:pt idx="182">
                  <c:v>2.5665151344373478E-2</c:v>
                </c:pt>
                <c:pt idx="183">
                  <c:v>2.562410786755116E-2</c:v>
                </c:pt>
                <c:pt idx="184">
                  <c:v>2.5582205363245649E-2</c:v>
                </c:pt>
                <c:pt idx="185">
                  <c:v>2.553944736264762E-2</c:v>
                </c:pt>
                <c:pt idx="186">
                  <c:v>2.5495837351339451E-2</c:v>
                </c:pt>
                <c:pt idx="187">
                  <c:v>2.5451378770107731E-2</c:v>
                </c:pt>
                <c:pt idx="188">
                  <c:v>2.5406075015736825E-2</c:v>
                </c:pt>
                <c:pt idx="189">
                  <c:v>2.5359929441784126E-2</c:v>
                </c:pt>
                <c:pt idx="190">
                  <c:v>2.5312945359337476E-2</c:v>
                </c:pt>
                <c:pt idx="191">
                  <c:v>2.5265126037755069E-2</c:v>
                </c:pt>
                <c:pt idx="192">
                  <c:v>2.5216474705388511E-2</c:v>
                </c:pt>
                <c:pt idx="193">
                  <c:v>2.5166994550289794E-2</c:v>
                </c:pt>
                <c:pt idx="194">
                  <c:v>2.511668872090175E-2</c:v>
                </c:pt>
                <c:pt idx="195">
                  <c:v>2.5065560326733551E-2</c:v>
                </c:pt>
                <c:pt idx="196">
                  <c:v>2.5013612439020845E-2</c:v>
                </c:pt>
                <c:pt idx="197">
                  <c:v>2.4960848091371245E-2</c:v>
                </c:pt>
                <c:pt idx="198">
                  <c:v>2.4907270280395653E-2</c:v>
                </c:pt>
                <c:pt idx="199">
                  <c:v>2.4852881966325697E-2</c:v>
                </c:pt>
                <c:pt idx="200">
                  <c:v>2.47976860736175E-2</c:v>
                </c:pt>
                <c:pt idx="201">
                  <c:v>2.4741685491542594E-2</c:v>
                </c:pt>
                <c:pt idx="202">
                  <c:v>2.4684883074765903E-2</c:v>
                </c:pt>
                <c:pt idx="203">
                  <c:v>2.4627281643911116E-2</c:v>
                </c:pt>
                <c:pt idx="204">
                  <c:v>2.4568883986114273E-2</c:v>
                </c:pt>
                <c:pt idx="205">
                  <c:v>2.4509692855565344E-2</c:v>
                </c:pt>
                <c:pt idx="206">
                  <c:v>2.4449710974038377E-2</c:v>
                </c:pt>
                <c:pt idx="207">
                  <c:v>2.4388941031410351E-2</c:v>
                </c:pt>
                <c:pt idx="208">
                  <c:v>2.4327385686169444E-2</c:v>
                </c:pt>
                <c:pt idx="209">
                  <c:v>2.426504756591219E-2</c:v>
                </c:pt>
                <c:pt idx="210">
                  <c:v>2.4201929267830841E-2</c:v>
                </c:pt>
                <c:pt idx="211">
                  <c:v>2.4138033359190195E-2</c:v>
                </c:pt>
                <c:pt idx="212">
                  <c:v>2.4073362377794918E-2</c:v>
                </c:pt>
                <c:pt idx="213">
                  <c:v>2.4007918832447048E-2</c:v>
                </c:pt>
                <c:pt idx="214">
                  <c:v>2.3941705203394337E-2</c:v>
                </c:pt>
                <c:pt idx="215">
                  <c:v>2.3874723942769526E-2</c:v>
                </c:pt>
                <c:pt idx="216">
                  <c:v>2.3806977475020506E-2</c:v>
                </c:pt>
                <c:pt idx="217">
                  <c:v>2.3738468197332045E-2</c:v>
                </c:pt>
                <c:pt idx="218">
                  <c:v>2.3669198480039118E-2</c:v>
                </c:pt>
                <c:pt idx="219">
                  <c:v>2.3599170667031724E-2</c:v>
                </c:pt>
                <c:pt idx="220">
                  <c:v>2.3528387076152069E-2</c:v>
                </c:pt>
                <c:pt idx="221">
                  <c:v>2.3456849999583539E-2</c:v>
                </c:pt>
                <c:pt idx="222">
                  <c:v>2.3384561704232282E-2</c:v>
                </c:pt>
                <c:pt idx="223">
                  <c:v>2.3311524432101213E-2</c:v>
                </c:pt>
                <c:pt idx="224">
                  <c:v>2.3237740400656924E-2</c:v>
                </c:pt>
                <c:pt idx="225">
                  <c:v>2.3163211803189063E-2</c:v>
                </c:pt>
                <c:pt idx="226">
                  <c:v>2.3087940809163376E-2</c:v>
                </c:pt>
                <c:pt idx="227">
                  <c:v>2.301192956456747E-2</c:v>
                </c:pt>
                <c:pt idx="228">
                  <c:v>2.2935180192250198E-2</c:v>
                </c:pt>
                <c:pt idx="229">
                  <c:v>2.2857694792254652E-2</c:v>
                </c:pt>
                <c:pt idx="230">
                  <c:v>2.2779475442144655E-2</c:v>
                </c:pt>
                <c:pt idx="231">
                  <c:v>2.270052419732526E-2</c:v>
                </c:pt>
                <c:pt idx="232">
                  <c:v>2.2620843091357059E-2</c:v>
                </c:pt>
                <c:pt idx="233">
                  <c:v>2.2540434136264994E-2</c:v>
                </c:pt>
                <c:pt idx="234">
                  <c:v>2.245929932284085E-2</c:v>
                </c:pt>
                <c:pt idx="235">
                  <c:v>2.2377440620940707E-2</c:v>
                </c:pt>
                <c:pt idx="236">
                  <c:v>2.2294859979776527E-2</c:v>
                </c:pt>
                <c:pt idx="237">
                  <c:v>2.221155932820261E-2</c:v>
                </c:pt>
                <c:pt idx="238">
                  <c:v>2.2127540574996676E-2</c:v>
                </c:pt>
                <c:pt idx="239">
                  <c:v>2.2042805609135921E-2</c:v>
                </c:pt>
                <c:pt idx="240">
                  <c:v>2.1957356300067978E-2</c:v>
                </c:pt>
                <c:pt idx="241">
                  <c:v>2.1871194497977097E-2</c:v>
                </c:pt>
                <c:pt idx="242">
                  <c:v>2.1784322034045497E-2</c:v>
                </c:pt>
                <c:pt idx="243">
                  <c:v>2.1696740720710015E-2</c:v>
                </c:pt>
                <c:pt idx="244">
                  <c:v>2.1608452351914189E-2</c:v>
                </c:pt>
                <c:pt idx="245">
                  <c:v>2.1519458703355882E-2</c:v>
                </c:pt>
                <c:pt idx="246">
                  <c:v>2.1429761532730591E-2</c:v>
                </c:pt>
                <c:pt idx="247">
                  <c:v>2.1339362579970385E-2</c:v>
                </c:pt>
                <c:pt idx="248">
                  <c:v>2.1248263567478689E-2</c:v>
                </c:pt>
                <c:pt idx="249">
                  <c:v>2.1156466200360907E-2</c:v>
                </c:pt>
                <c:pt idx="250">
                  <c:v>2.1063972166651245E-2</c:v>
                </c:pt>
                <c:pt idx="251">
                  <c:v>2.0970783137535358E-2</c:v>
                </c:pt>
                <c:pt idx="252">
                  <c:v>2.0876900767569317E-2</c:v>
                </c:pt>
                <c:pt idx="253">
                  <c:v>2.0782326694894757E-2</c:v>
                </c:pt>
                <c:pt idx="254">
                  <c:v>2.0687062541450356E-2</c:v>
                </c:pt>
                <c:pt idx="255">
                  <c:v>2.0591109913179705E-2</c:v>
                </c:pt>
                <c:pt idx="256">
                  <c:v>2.0494470400235769E-2</c:v>
                </c:pt>
                <c:pt idx="257">
                  <c:v>2.0397145577181693E-2</c:v>
                </c:pt>
                <c:pt idx="258">
                  <c:v>2.0299137003188306E-2</c:v>
                </c:pt>
                <c:pt idx="259">
                  <c:v>2.020044622222843E-2</c:v>
                </c:pt>
                <c:pt idx="260">
                  <c:v>2.0101074763267862E-2</c:v>
                </c:pt>
                <c:pt idx="261">
                  <c:v>2.0001024140453117E-2</c:v>
                </c:pt>
                <c:pt idx="262">
                  <c:v>1.9900295853296134E-2</c:v>
                </c:pt>
                <c:pt idx="263">
                  <c:v>1.9798891386855991E-2</c:v>
                </c:pt>
                <c:pt idx="264">
                  <c:v>1.969681221191746E-2</c:v>
                </c:pt>
                <c:pt idx="265">
                  <c:v>1.9594059785166901E-2</c:v>
                </c:pt>
                <c:pt idx="266">
                  <c:v>1.9490635549365004E-2</c:v>
                </c:pt>
                <c:pt idx="267">
                  <c:v>1.938654093351691E-2</c:v>
                </c:pt>
                <c:pt idx="268">
                  <c:v>1.9281777353039608E-2</c:v>
                </c:pt>
                <c:pt idx="269">
                  <c:v>1.9176346209926417E-2</c:v>
                </c:pt>
                <c:pt idx="270">
                  <c:v>1.9070248892909088E-2</c:v>
                </c:pt>
                <c:pt idx="271">
                  <c:v>1.896348677761717E-2</c:v>
                </c:pt>
                <c:pt idx="272">
                  <c:v>1.8856061226734836E-2</c:v>
                </c:pt>
                <c:pt idx="273">
                  <c:v>1.8747973590155235E-2</c:v>
                </c:pt>
                <c:pt idx="274">
                  <c:v>1.8639225205132559E-2</c:v>
                </c:pt>
                <c:pt idx="275">
                  <c:v>1.8529817396431329E-2</c:v>
                </c:pt>
                <c:pt idx="276">
                  <c:v>1.841975147647382E-2</c:v>
                </c:pt>
                <c:pt idx="277">
                  <c:v>1.8309028745484832E-2</c:v>
                </c:pt>
                <c:pt idx="278">
                  <c:v>1.8197650491634323E-2</c:v>
                </c:pt>
                <c:pt idx="279">
                  <c:v>1.8085617991177839E-2</c:v>
                </c:pt>
                <c:pt idx="280">
                  <c:v>1.7972932508594774E-2</c:v>
                </c:pt>
                <c:pt idx="281">
                  <c:v>1.7859595296724512E-2</c:v>
                </c:pt>
                <c:pt idx="282">
                  <c:v>1.774560759690038E-2</c:v>
                </c:pt>
                <c:pt idx="283">
                  <c:v>1.7630970639081631E-2</c:v>
                </c:pt>
                <c:pt idx="284">
                  <c:v>1.7515685641983518E-2</c:v>
                </c:pt>
                <c:pt idx="285">
                  <c:v>1.7399753813205212E-2</c:v>
                </c:pt>
                <c:pt idx="286">
                  <c:v>1.7283176349355802E-2</c:v>
                </c:pt>
                <c:pt idx="287">
                  <c:v>1.7165954436178642E-2</c:v>
                </c:pt>
                <c:pt idx="288">
                  <c:v>1.7048089248673352E-2</c:v>
                </c:pt>
                <c:pt idx="289">
                  <c:v>1.6929581951216657E-2</c:v>
                </c:pt>
                <c:pt idx="290">
                  <c:v>1.6810433697680701E-2</c:v>
                </c:pt>
                <c:pt idx="291">
                  <c:v>1.669064563155016E-2</c:v>
                </c:pt>
                <c:pt idx="292">
                  <c:v>1.6570218886037401E-2</c:v>
                </c:pt>
                <c:pt idx="293">
                  <c:v>1.6449154584195866E-2</c:v>
                </c:pt>
                <c:pt idx="294">
                  <c:v>1.6327453839031978E-2</c:v>
                </c:pt>
                <c:pt idx="295">
                  <c:v>1.6205117753615206E-2</c:v>
                </c:pt>
                <c:pt idx="296">
                  <c:v>1.6082147421186778E-2</c:v>
                </c:pt>
                <c:pt idx="297">
                  <c:v>1.5958543925266491E-2</c:v>
                </c:pt>
                <c:pt idx="298">
                  <c:v>1.5834308339758251E-2</c:v>
                </c:pt>
                <c:pt idx="299">
                  <c:v>1.5709441729053995E-2</c:v>
                </c:pt>
                <c:pt idx="300">
                  <c:v>1.5583945148136031E-2</c:v>
                </c:pt>
                <c:pt idx="301">
                  <c:v>1.5457819642677978E-2</c:v>
                </c:pt>
                <c:pt idx="302">
                  <c:v>1.5331066249144338E-2</c:v>
                </c:pt>
                <c:pt idx="303">
                  <c:v>1.5203685994888538E-2</c:v>
                </c:pt>
                <c:pt idx="304">
                  <c:v>1.507567989824962E-2</c:v>
                </c:pt>
                <c:pt idx="305">
                  <c:v>1.4947048968647502E-2</c:v>
                </c:pt>
                <c:pt idx="306">
                  <c:v>1.4817794206677089E-2</c:v>
                </c:pt>
                <c:pt idx="307">
                  <c:v>1.4687916604200775E-2</c:v>
                </c:pt>
                <c:pt idx="308">
                  <c:v>1.4557417144439888E-2</c:v>
                </c:pt>
                <c:pt idx="309">
                  <c:v>1.4426296802064791E-2</c:v>
                </c:pt>
                <c:pt idx="310">
                  <c:v>1.4294556543283571E-2</c:v>
                </c:pt>
                <c:pt idx="311">
                  <c:v>1.4162197325929786E-2</c:v>
                </c:pt>
                <c:pt idx="312">
                  <c:v>1.402922009954876E-2</c:v>
                </c:pt>
                <c:pt idx="313">
                  <c:v>1.3895625805482854E-2</c:v>
                </c:pt>
                <c:pt idx="314">
                  <c:v>1.3761415376955376E-2</c:v>
                </c:pt>
                <c:pt idx="315">
                  <c:v>1.362658973915346E-2</c:v>
                </c:pt>
                <c:pt idx="316">
                  <c:v>1.349114980930999E-2</c:v>
                </c:pt>
                <c:pt idx="317">
                  <c:v>1.3355096496783896E-2</c:v>
                </c:pt>
                <c:pt idx="318">
                  <c:v>1.3218430703140041E-2</c:v>
                </c:pt>
                <c:pt idx="319">
                  <c:v>1.3081153322227481E-2</c:v>
                </c:pt>
                <c:pt idx="320">
                  <c:v>1.2943265240256813E-2</c:v>
                </c:pt>
                <c:pt idx="321">
                  <c:v>1.2804767335876745E-2</c:v>
                </c:pt>
                <c:pt idx="322">
                  <c:v>1.2665660480249251E-2</c:v>
                </c:pt>
                <c:pt idx="323">
                  <c:v>1.2525945537123951E-2</c:v>
                </c:pt>
                <c:pt idx="324">
                  <c:v>1.2385623362911598E-2</c:v>
                </c:pt>
                <c:pt idx="325">
                  <c:v>1.2244694806756169E-2</c:v>
                </c:pt>
                <c:pt idx="326">
                  <c:v>1.2103160710606565E-2</c:v>
                </c:pt>
                <c:pt idx="327">
                  <c:v>1.1961021909286931E-2</c:v>
                </c:pt>
                <c:pt idx="328">
                  <c:v>1.1818279230566249E-2</c:v>
                </c:pt>
                <c:pt idx="329">
                  <c:v>1.1674933495226957E-2</c:v>
                </c:pt>
                <c:pt idx="330">
                  <c:v>1.1530985517132736E-2</c:v>
                </c:pt>
                <c:pt idx="331">
                  <c:v>1.1386436103295329E-2</c:v>
                </c:pt>
                <c:pt idx="332">
                  <c:v>1.1241286053940525E-2</c:v>
                </c:pt>
                <c:pt idx="333">
                  <c:v>1.1095536162573399E-2</c:v>
                </c:pt>
                <c:pt idx="334">
                  <c:v>1.0949187216042456E-2</c:v>
                </c:pt>
                <c:pt idx="335">
                  <c:v>1.0802239994603245E-2</c:v>
                </c:pt>
                <c:pt idx="336">
                  <c:v>1.0654695271980997E-2</c:v>
                </c:pt>
                <c:pt idx="337">
                  <c:v>1.0506553815432381E-2</c:v>
                </c:pt>
                <c:pt idx="338">
                  <c:v>1.0357816385806736E-2</c:v>
                </c:pt>
                <c:pt idx="339">
                  <c:v>1.0208483737606277E-2</c:v>
                </c:pt>
                <c:pt idx="340">
                  <c:v>1.0058556619045601E-2</c:v>
                </c:pt>
                <c:pt idx="341">
                  <c:v>9.9080357721105499E-3</c:v>
                </c:pt>
                <c:pt idx="342">
                  <c:v>9.7569219326161926E-3</c:v>
                </c:pt>
                <c:pt idx="343">
                  <c:v>9.6052158302642153E-3</c:v>
                </c:pt>
                <c:pt idx="344">
                  <c:v>9.4529181886994652E-3</c:v>
                </c:pt>
                <c:pt idx="345">
                  <c:v>9.3000297255658275E-3</c:v>
                </c:pt>
                <c:pt idx="346">
                  <c:v>9.1465511525615061E-3</c:v>
                </c:pt>
                <c:pt idx="347">
                  <c:v>8.9924831754933671E-3</c:v>
                </c:pt>
                <c:pt idx="348">
                  <c:v>8.8378264943310882E-3</c:v>
                </c:pt>
                <c:pt idx="349">
                  <c:v>8.6825818032599793E-3</c:v>
                </c:pt>
                <c:pt idx="350">
                  <c:v>8.52674979073372E-3</c:v>
                </c:pt>
                <c:pt idx="351">
                  <c:v>8.3703311395262915E-3</c:v>
                </c:pt>
                <c:pt idx="352">
                  <c:v>8.2133265267829887E-3</c:v>
                </c:pt>
                <c:pt idx="353">
                  <c:v>8.0557366240712747E-3</c:v>
                </c:pt>
                <c:pt idx="354">
                  <c:v>7.8975620974307183E-3</c:v>
                </c:pt>
                <c:pt idx="355">
                  <c:v>7.7388036074222495E-3</c:v>
                </c:pt>
                <c:pt idx="356">
                  <c:v>7.5794618091772426E-3</c:v>
                </c:pt>
                <c:pt idx="357">
                  <c:v>7.4195373524455219E-3</c:v>
                </c:pt>
                <c:pt idx="358">
                  <c:v>7.2590308816430612E-3</c:v>
                </c:pt>
                <c:pt idx="359">
                  <c:v>7.0979430358990986E-3</c:v>
                </c:pt>
                <c:pt idx="360">
                  <c:v>6.9362744491025434E-3</c:v>
                </c:pt>
                <c:pt idx="361">
                  <c:v>6.7740257499481022E-3</c:v>
                </c:pt>
                <c:pt idx="362">
                  <c:v>6.6111975619815057E-3</c:v>
                </c:pt>
                <c:pt idx="363">
                  <c:v>6.4477905036444422E-3</c:v>
                </c:pt>
                <c:pt idx="364">
                  <c:v>6.2838051883189784E-3</c:v>
                </c:pt>
                <c:pt idx="365">
                  <c:v>6.1192422243712859E-3</c:v>
                </c:pt>
                <c:pt idx="366">
                  <c:v>5.9541022151950035E-3</c:v>
                </c:pt>
                <c:pt idx="367">
                  <c:v>5.7883857592539991E-3</c:v>
                </c:pt>
                <c:pt idx="368">
                  <c:v>5.6220934501246293E-3</c:v>
                </c:pt>
                <c:pt idx="369">
                  <c:v>5.455225876537728E-3</c:v>
                </c:pt>
                <c:pt idx="370">
                  <c:v>5.2877836224197328E-3</c:v>
                </c:pt>
                <c:pt idx="371">
                  <c:v>5.119767266933575E-3</c:v>
                </c:pt>
                <c:pt idx="372">
                  <c:v>4.9511773845191797E-3</c:v>
                </c:pt>
                <c:pt idx="373">
                  <c:v>4.7820145449331639E-3</c:v>
                </c:pt>
                <c:pt idx="374">
                  <c:v>4.6122793132885257E-3</c:v>
                </c:pt>
                <c:pt idx="375">
                  <c:v>4.4419722500934353E-3</c:v>
                </c:pt>
                <c:pt idx="376">
                  <c:v>4.2710939112898718E-3</c:v>
                </c:pt>
                <c:pt idx="377">
                  <c:v>4.0996448482917601E-3</c:v>
                </c:pt>
                <c:pt idx="378">
                  <c:v>3.9276256080226953E-3</c:v>
                </c:pt>
                <c:pt idx="379">
                  <c:v>3.7550367329530748E-3</c:v>
                </c:pt>
                <c:pt idx="380">
                  <c:v>3.5818787611370485E-3</c:v>
                </c:pt>
                <c:pt idx="381">
                  <c:v>3.4081522262487699E-3</c:v>
                </c:pt>
                <c:pt idx="382">
                  <c:v>3.2338576576187278E-3</c:v>
                </c:pt>
                <c:pt idx="383">
                  <c:v>3.0589955802689797E-3</c:v>
                </c:pt>
                <c:pt idx="384">
                  <c:v>2.8835665149486156E-3</c:v>
                </c:pt>
                <c:pt idx="385">
                  <c:v>2.7075709781685456E-3</c:v>
                </c:pt>
                <c:pt idx="386">
                  <c:v>2.531009482235792E-3</c:v>
                </c:pt>
                <c:pt idx="387">
                  <c:v>2.3538825352876725E-3</c:v>
                </c:pt>
                <c:pt idx="388">
                  <c:v>2.1761906413255237E-3</c:v>
                </c:pt>
                <c:pt idx="389">
                  <c:v>1.9979343002477865E-3</c:v>
                </c:pt>
                <c:pt idx="390">
                  <c:v>1.8191140078831136E-3</c:v>
                </c:pt>
                <c:pt idx="391">
                  <c:v>1.639730256022954E-3</c:v>
                </c:pt>
                <c:pt idx="392">
                  <c:v>1.4597835324537142E-3</c:v>
                </c:pt>
                <c:pt idx="393">
                  <c:v>1.2792743209885592E-3</c:v>
                </c:pt>
                <c:pt idx="394">
                  <c:v>1.0982031014991039E-3</c:v>
                </c:pt>
                <c:pt idx="395">
                  <c:v>9.165703499464503E-4</c:v>
                </c:pt>
                <c:pt idx="396">
                  <c:v>7.3437653841204348E-4</c:v>
                </c:pt>
                <c:pt idx="397">
                  <c:v>5.5162213512834979E-4</c:v>
                </c:pt>
                <c:pt idx="398">
                  <c:v>3.6830760450873995E-4</c:v>
                </c:pt>
                <c:pt idx="399">
                  <c:v>1.8443340717759228E-4</c:v>
                </c:pt>
                <c:pt idx="400">
                  <c:v>3.9894228040143271E-11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'xVA Calculations'!$V$29</c:f>
              <c:strCache>
                <c:ptCount val="1"/>
                <c:pt idx="0">
                  <c:v>NEE</c:v>
                </c:pt>
              </c:strCache>
            </c:strRef>
          </c:tx>
          <c:marker>
            <c:symbol val="none"/>
          </c:marker>
          <c:xVal>
            <c:numRef>
              <c:f>'xVA Calculations'!$N$30:$N$430</c:f>
              <c:numCache>
                <c:formatCode>0.00</c:formatCode>
                <c:ptCount val="401"/>
                <c:pt idx="0">
                  <c:v>8.7500000000000008E-3</c:v>
                </c:pt>
                <c:pt idx="1">
                  <c:v>1.7500000000000002E-2</c:v>
                </c:pt>
                <c:pt idx="2">
                  <c:v>3.5000000000000003E-2</c:v>
                </c:pt>
                <c:pt idx="3">
                  <c:v>5.2500000000000005E-2</c:v>
                </c:pt>
                <c:pt idx="4">
                  <c:v>7.0000000000000007E-2</c:v>
                </c:pt>
                <c:pt idx="5">
                  <c:v>8.7500000000000008E-2</c:v>
                </c:pt>
                <c:pt idx="6">
                  <c:v>0.10500000000000001</c:v>
                </c:pt>
                <c:pt idx="7">
                  <c:v>0.12250000000000001</c:v>
                </c:pt>
                <c:pt idx="8">
                  <c:v>0.14000000000000001</c:v>
                </c:pt>
                <c:pt idx="9">
                  <c:v>0.15750000000000003</c:v>
                </c:pt>
                <c:pt idx="10">
                  <c:v>0.17500000000000004</c:v>
                </c:pt>
                <c:pt idx="11">
                  <c:v>0.19250000000000006</c:v>
                </c:pt>
                <c:pt idx="12">
                  <c:v>0.21000000000000008</c:v>
                </c:pt>
                <c:pt idx="13">
                  <c:v>0.22750000000000009</c:v>
                </c:pt>
                <c:pt idx="14">
                  <c:v>0.24500000000000011</c:v>
                </c:pt>
                <c:pt idx="15">
                  <c:v>0.26250000000000012</c:v>
                </c:pt>
                <c:pt idx="16">
                  <c:v>0.28000000000000014</c:v>
                </c:pt>
                <c:pt idx="17">
                  <c:v>0.29750000000000015</c:v>
                </c:pt>
                <c:pt idx="18">
                  <c:v>0.31500000000000017</c:v>
                </c:pt>
                <c:pt idx="19">
                  <c:v>0.33250000000000018</c:v>
                </c:pt>
                <c:pt idx="20">
                  <c:v>0.3500000000000002</c:v>
                </c:pt>
                <c:pt idx="21">
                  <c:v>0.36750000000000022</c:v>
                </c:pt>
                <c:pt idx="22">
                  <c:v>0.38500000000000023</c:v>
                </c:pt>
                <c:pt idx="23">
                  <c:v>0.40250000000000025</c:v>
                </c:pt>
                <c:pt idx="24">
                  <c:v>0.42000000000000026</c:v>
                </c:pt>
                <c:pt idx="25">
                  <c:v>0.43750000000000028</c:v>
                </c:pt>
                <c:pt idx="26">
                  <c:v>0.45500000000000029</c:v>
                </c:pt>
                <c:pt idx="27">
                  <c:v>0.47250000000000031</c:v>
                </c:pt>
                <c:pt idx="28">
                  <c:v>0.49000000000000032</c:v>
                </c:pt>
                <c:pt idx="29">
                  <c:v>0.50750000000000028</c:v>
                </c:pt>
                <c:pt idx="30">
                  <c:v>0.52500000000000024</c:v>
                </c:pt>
                <c:pt idx="31">
                  <c:v>0.5425000000000002</c:v>
                </c:pt>
                <c:pt idx="32">
                  <c:v>0.56000000000000016</c:v>
                </c:pt>
                <c:pt idx="33">
                  <c:v>0.57750000000000012</c:v>
                </c:pt>
                <c:pt idx="34">
                  <c:v>0.59500000000000008</c:v>
                </c:pt>
                <c:pt idx="35">
                  <c:v>0.61250000000000004</c:v>
                </c:pt>
                <c:pt idx="36">
                  <c:v>0.63</c:v>
                </c:pt>
                <c:pt idx="37">
                  <c:v>0.64749999999999996</c:v>
                </c:pt>
                <c:pt idx="38">
                  <c:v>0.66499999999999992</c:v>
                </c:pt>
                <c:pt idx="39">
                  <c:v>0.68249999999999988</c:v>
                </c:pt>
                <c:pt idx="40">
                  <c:v>0.69999999999999984</c:v>
                </c:pt>
                <c:pt idx="41">
                  <c:v>0.7174999999999998</c:v>
                </c:pt>
                <c:pt idx="42">
                  <c:v>0.73499999999999976</c:v>
                </c:pt>
                <c:pt idx="43">
                  <c:v>0.75249999999999972</c:v>
                </c:pt>
                <c:pt idx="44">
                  <c:v>0.76999999999999968</c:v>
                </c:pt>
                <c:pt idx="45">
                  <c:v>0.78749999999999964</c:v>
                </c:pt>
                <c:pt idx="46">
                  <c:v>0.8049999999999996</c:v>
                </c:pt>
                <c:pt idx="47">
                  <c:v>0.82249999999999956</c:v>
                </c:pt>
                <c:pt idx="48">
                  <c:v>0.83999999999999952</c:v>
                </c:pt>
                <c:pt idx="49">
                  <c:v>0.85749999999999948</c:v>
                </c:pt>
                <c:pt idx="50">
                  <c:v>0.87499999999999944</c:v>
                </c:pt>
                <c:pt idx="51">
                  <c:v>0.8924999999999994</c:v>
                </c:pt>
                <c:pt idx="52">
                  <c:v>0.90999999999999936</c:v>
                </c:pt>
                <c:pt idx="53">
                  <c:v>0.92749999999999932</c:v>
                </c:pt>
                <c:pt idx="54">
                  <c:v>0.94499999999999929</c:v>
                </c:pt>
                <c:pt idx="55">
                  <c:v>0.96249999999999925</c:v>
                </c:pt>
                <c:pt idx="56">
                  <c:v>0.97999999999999921</c:v>
                </c:pt>
                <c:pt idx="57">
                  <c:v>0.99749999999999917</c:v>
                </c:pt>
                <c:pt idx="58">
                  <c:v>1.0149999999999992</c:v>
                </c:pt>
                <c:pt idx="59">
                  <c:v>1.0324999999999993</c:v>
                </c:pt>
                <c:pt idx="60">
                  <c:v>1.0499999999999994</c:v>
                </c:pt>
                <c:pt idx="61">
                  <c:v>1.0674999999999994</c:v>
                </c:pt>
                <c:pt idx="62">
                  <c:v>1.0849999999999995</c:v>
                </c:pt>
                <c:pt idx="63">
                  <c:v>1.1024999999999996</c:v>
                </c:pt>
                <c:pt idx="64">
                  <c:v>1.1199999999999997</c:v>
                </c:pt>
                <c:pt idx="65">
                  <c:v>1.1374999999999997</c:v>
                </c:pt>
                <c:pt idx="66">
                  <c:v>1.1549999999999998</c:v>
                </c:pt>
                <c:pt idx="67">
                  <c:v>1.1724999999999999</c:v>
                </c:pt>
                <c:pt idx="68">
                  <c:v>1.19</c:v>
                </c:pt>
                <c:pt idx="69">
                  <c:v>1.2075</c:v>
                </c:pt>
                <c:pt idx="70">
                  <c:v>1.2250000000000001</c:v>
                </c:pt>
                <c:pt idx="71">
                  <c:v>1.2425000000000002</c:v>
                </c:pt>
                <c:pt idx="72">
                  <c:v>1.2600000000000002</c:v>
                </c:pt>
                <c:pt idx="73">
                  <c:v>1.2775000000000003</c:v>
                </c:pt>
                <c:pt idx="74">
                  <c:v>1.2950000000000004</c:v>
                </c:pt>
                <c:pt idx="75">
                  <c:v>1.3125000000000004</c:v>
                </c:pt>
                <c:pt idx="76">
                  <c:v>1.3300000000000005</c:v>
                </c:pt>
                <c:pt idx="77">
                  <c:v>1.3475000000000006</c:v>
                </c:pt>
                <c:pt idx="78">
                  <c:v>1.3650000000000007</c:v>
                </c:pt>
                <c:pt idx="79">
                  <c:v>1.3825000000000007</c:v>
                </c:pt>
                <c:pt idx="80">
                  <c:v>1.4000000000000008</c:v>
                </c:pt>
                <c:pt idx="81">
                  <c:v>1.4175000000000009</c:v>
                </c:pt>
                <c:pt idx="82">
                  <c:v>1.4350000000000009</c:v>
                </c:pt>
                <c:pt idx="83">
                  <c:v>1.452500000000001</c:v>
                </c:pt>
                <c:pt idx="84">
                  <c:v>1.4700000000000011</c:v>
                </c:pt>
                <c:pt idx="85">
                  <c:v>1.4875000000000012</c:v>
                </c:pt>
                <c:pt idx="86">
                  <c:v>1.5050000000000012</c:v>
                </c:pt>
                <c:pt idx="87">
                  <c:v>1.5225000000000013</c:v>
                </c:pt>
                <c:pt idx="88">
                  <c:v>1.5400000000000014</c:v>
                </c:pt>
                <c:pt idx="89">
                  <c:v>1.5575000000000014</c:v>
                </c:pt>
                <c:pt idx="90">
                  <c:v>1.5750000000000015</c:v>
                </c:pt>
                <c:pt idx="91">
                  <c:v>1.5925000000000016</c:v>
                </c:pt>
                <c:pt idx="92">
                  <c:v>1.6100000000000017</c:v>
                </c:pt>
                <c:pt idx="93">
                  <c:v>1.6275000000000017</c:v>
                </c:pt>
                <c:pt idx="94">
                  <c:v>1.6450000000000018</c:v>
                </c:pt>
                <c:pt idx="95">
                  <c:v>1.6625000000000019</c:v>
                </c:pt>
                <c:pt idx="96">
                  <c:v>1.6800000000000019</c:v>
                </c:pt>
                <c:pt idx="97">
                  <c:v>1.697500000000002</c:v>
                </c:pt>
                <c:pt idx="98">
                  <c:v>1.7150000000000021</c:v>
                </c:pt>
                <c:pt idx="99">
                  <c:v>1.7325000000000021</c:v>
                </c:pt>
                <c:pt idx="100">
                  <c:v>1.7500000000000022</c:v>
                </c:pt>
                <c:pt idx="101">
                  <c:v>1.7675000000000023</c:v>
                </c:pt>
                <c:pt idx="102">
                  <c:v>1.7850000000000024</c:v>
                </c:pt>
                <c:pt idx="103">
                  <c:v>1.8025000000000024</c:v>
                </c:pt>
                <c:pt idx="104">
                  <c:v>1.8200000000000025</c:v>
                </c:pt>
                <c:pt idx="105">
                  <c:v>1.8375000000000026</c:v>
                </c:pt>
                <c:pt idx="106">
                  <c:v>1.8550000000000026</c:v>
                </c:pt>
                <c:pt idx="107">
                  <c:v>1.8725000000000027</c:v>
                </c:pt>
                <c:pt idx="108">
                  <c:v>1.8900000000000028</c:v>
                </c:pt>
                <c:pt idx="109">
                  <c:v>1.9075000000000029</c:v>
                </c:pt>
                <c:pt idx="110">
                  <c:v>1.9250000000000029</c:v>
                </c:pt>
                <c:pt idx="111">
                  <c:v>1.942500000000003</c:v>
                </c:pt>
                <c:pt idx="112">
                  <c:v>1.9600000000000031</c:v>
                </c:pt>
                <c:pt idx="113">
                  <c:v>1.9775000000000031</c:v>
                </c:pt>
                <c:pt idx="114">
                  <c:v>1.9950000000000032</c:v>
                </c:pt>
                <c:pt idx="115">
                  <c:v>2.0125000000000033</c:v>
                </c:pt>
                <c:pt idx="116">
                  <c:v>2.0300000000000034</c:v>
                </c:pt>
                <c:pt idx="117">
                  <c:v>2.0475000000000034</c:v>
                </c:pt>
                <c:pt idx="118">
                  <c:v>2.0650000000000035</c:v>
                </c:pt>
                <c:pt idx="119">
                  <c:v>2.0825000000000036</c:v>
                </c:pt>
                <c:pt idx="120">
                  <c:v>2.1000000000000036</c:v>
                </c:pt>
                <c:pt idx="121">
                  <c:v>2.1175000000000037</c:v>
                </c:pt>
                <c:pt idx="122">
                  <c:v>2.1350000000000038</c:v>
                </c:pt>
                <c:pt idx="123">
                  <c:v>2.1525000000000039</c:v>
                </c:pt>
                <c:pt idx="124">
                  <c:v>2.1700000000000039</c:v>
                </c:pt>
                <c:pt idx="125">
                  <c:v>2.187500000000004</c:v>
                </c:pt>
                <c:pt idx="126">
                  <c:v>2.2050000000000041</c:v>
                </c:pt>
                <c:pt idx="127">
                  <c:v>2.2225000000000041</c:v>
                </c:pt>
                <c:pt idx="128">
                  <c:v>2.2400000000000042</c:v>
                </c:pt>
                <c:pt idx="129">
                  <c:v>2.2575000000000043</c:v>
                </c:pt>
                <c:pt idx="130">
                  <c:v>2.2750000000000044</c:v>
                </c:pt>
                <c:pt idx="131">
                  <c:v>2.2925000000000044</c:v>
                </c:pt>
                <c:pt idx="132">
                  <c:v>2.3100000000000045</c:v>
                </c:pt>
                <c:pt idx="133">
                  <c:v>2.3275000000000046</c:v>
                </c:pt>
                <c:pt idx="134">
                  <c:v>2.3450000000000046</c:v>
                </c:pt>
                <c:pt idx="135">
                  <c:v>2.3625000000000047</c:v>
                </c:pt>
                <c:pt idx="136">
                  <c:v>2.3800000000000048</c:v>
                </c:pt>
                <c:pt idx="137">
                  <c:v>2.3975000000000048</c:v>
                </c:pt>
                <c:pt idx="138">
                  <c:v>2.4150000000000049</c:v>
                </c:pt>
                <c:pt idx="139">
                  <c:v>2.432500000000005</c:v>
                </c:pt>
                <c:pt idx="140">
                  <c:v>2.4500000000000051</c:v>
                </c:pt>
                <c:pt idx="141">
                  <c:v>2.4675000000000051</c:v>
                </c:pt>
                <c:pt idx="142">
                  <c:v>2.4850000000000052</c:v>
                </c:pt>
                <c:pt idx="143">
                  <c:v>2.5025000000000053</c:v>
                </c:pt>
                <c:pt idx="144">
                  <c:v>2.5200000000000053</c:v>
                </c:pt>
                <c:pt idx="145">
                  <c:v>2.5375000000000054</c:v>
                </c:pt>
                <c:pt idx="146">
                  <c:v>2.5550000000000055</c:v>
                </c:pt>
                <c:pt idx="147">
                  <c:v>2.5725000000000056</c:v>
                </c:pt>
                <c:pt idx="148">
                  <c:v>2.5900000000000056</c:v>
                </c:pt>
                <c:pt idx="149">
                  <c:v>2.6075000000000057</c:v>
                </c:pt>
                <c:pt idx="150">
                  <c:v>2.6250000000000058</c:v>
                </c:pt>
                <c:pt idx="151">
                  <c:v>2.6425000000000058</c:v>
                </c:pt>
                <c:pt idx="152">
                  <c:v>2.6600000000000059</c:v>
                </c:pt>
                <c:pt idx="153">
                  <c:v>2.677500000000006</c:v>
                </c:pt>
                <c:pt idx="154">
                  <c:v>2.6950000000000061</c:v>
                </c:pt>
                <c:pt idx="155">
                  <c:v>2.7125000000000061</c:v>
                </c:pt>
                <c:pt idx="156">
                  <c:v>2.7300000000000062</c:v>
                </c:pt>
                <c:pt idx="157">
                  <c:v>2.7475000000000063</c:v>
                </c:pt>
                <c:pt idx="158">
                  <c:v>2.7650000000000063</c:v>
                </c:pt>
                <c:pt idx="159">
                  <c:v>2.7825000000000064</c:v>
                </c:pt>
                <c:pt idx="160">
                  <c:v>2.8000000000000065</c:v>
                </c:pt>
                <c:pt idx="161">
                  <c:v>2.8175000000000066</c:v>
                </c:pt>
                <c:pt idx="162">
                  <c:v>2.8350000000000066</c:v>
                </c:pt>
                <c:pt idx="163">
                  <c:v>2.8525000000000067</c:v>
                </c:pt>
                <c:pt idx="164">
                  <c:v>2.8700000000000068</c:v>
                </c:pt>
                <c:pt idx="165">
                  <c:v>2.8875000000000068</c:v>
                </c:pt>
                <c:pt idx="166">
                  <c:v>2.9050000000000069</c:v>
                </c:pt>
                <c:pt idx="167">
                  <c:v>2.922500000000007</c:v>
                </c:pt>
                <c:pt idx="168">
                  <c:v>2.9400000000000071</c:v>
                </c:pt>
                <c:pt idx="169">
                  <c:v>2.9575000000000071</c:v>
                </c:pt>
                <c:pt idx="170">
                  <c:v>2.9750000000000072</c:v>
                </c:pt>
                <c:pt idx="171">
                  <c:v>2.9925000000000073</c:v>
                </c:pt>
                <c:pt idx="172">
                  <c:v>3.0100000000000073</c:v>
                </c:pt>
                <c:pt idx="173">
                  <c:v>3.0275000000000074</c:v>
                </c:pt>
                <c:pt idx="174">
                  <c:v>3.0450000000000075</c:v>
                </c:pt>
                <c:pt idx="175">
                  <c:v>3.0625000000000075</c:v>
                </c:pt>
                <c:pt idx="176">
                  <c:v>3.0800000000000076</c:v>
                </c:pt>
                <c:pt idx="177">
                  <c:v>3.0975000000000077</c:v>
                </c:pt>
                <c:pt idx="178">
                  <c:v>3.1150000000000078</c:v>
                </c:pt>
                <c:pt idx="179">
                  <c:v>3.1325000000000078</c:v>
                </c:pt>
                <c:pt idx="180">
                  <c:v>3.1500000000000079</c:v>
                </c:pt>
                <c:pt idx="181">
                  <c:v>3.167500000000008</c:v>
                </c:pt>
                <c:pt idx="182">
                  <c:v>3.185000000000008</c:v>
                </c:pt>
                <c:pt idx="183">
                  <c:v>3.2025000000000081</c:v>
                </c:pt>
                <c:pt idx="184">
                  <c:v>3.2200000000000082</c:v>
                </c:pt>
                <c:pt idx="185">
                  <c:v>3.2375000000000083</c:v>
                </c:pt>
                <c:pt idx="186">
                  <c:v>3.2550000000000083</c:v>
                </c:pt>
                <c:pt idx="187">
                  <c:v>3.2725000000000084</c:v>
                </c:pt>
                <c:pt idx="188">
                  <c:v>3.2900000000000085</c:v>
                </c:pt>
                <c:pt idx="189">
                  <c:v>3.3075000000000085</c:v>
                </c:pt>
                <c:pt idx="190">
                  <c:v>3.3250000000000086</c:v>
                </c:pt>
                <c:pt idx="191">
                  <c:v>3.3425000000000087</c:v>
                </c:pt>
                <c:pt idx="192">
                  <c:v>3.3600000000000088</c:v>
                </c:pt>
                <c:pt idx="193">
                  <c:v>3.3775000000000088</c:v>
                </c:pt>
                <c:pt idx="194">
                  <c:v>3.3950000000000089</c:v>
                </c:pt>
                <c:pt idx="195">
                  <c:v>3.412500000000009</c:v>
                </c:pt>
                <c:pt idx="196">
                  <c:v>3.430000000000009</c:v>
                </c:pt>
                <c:pt idx="197">
                  <c:v>3.4475000000000091</c:v>
                </c:pt>
                <c:pt idx="198">
                  <c:v>3.4650000000000092</c:v>
                </c:pt>
                <c:pt idx="199">
                  <c:v>3.4825000000000093</c:v>
                </c:pt>
                <c:pt idx="200">
                  <c:v>3.5000000000000093</c:v>
                </c:pt>
                <c:pt idx="201">
                  <c:v>3.5175000000000094</c:v>
                </c:pt>
                <c:pt idx="202">
                  <c:v>3.5350000000000095</c:v>
                </c:pt>
                <c:pt idx="203">
                  <c:v>3.5525000000000095</c:v>
                </c:pt>
                <c:pt idx="204">
                  <c:v>3.5700000000000096</c:v>
                </c:pt>
                <c:pt idx="205">
                  <c:v>3.5875000000000097</c:v>
                </c:pt>
                <c:pt idx="206">
                  <c:v>3.6050000000000098</c:v>
                </c:pt>
                <c:pt idx="207">
                  <c:v>3.6225000000000098</c:v>
                </c:pt>
                <c:pt idx="208">
                  <c:v>3.6400000000000099</c:v>
                </c:pt>
                <c:pt idx="209">
                  <c:v>3.65750000000001</c:v>
                </c:pt>
                <c:pt idx="210">
                  <c:v>3.67500000000001</c:v>
                </c:pt>
                <c:pt idx="211">
                  <c:v>3.6925000000000101</c:v>
                </c:pt>
                <c:pt idx="212">
                  <c:v>3.7100000000000102</c:v>
                </c:pt>
                <c:pt idx="213">
                  <c:v>3.7275000000000102</c:v>
                </c:pt>
                <c:pt idx="214">
                  <c:v>3.7450000000000103</c:v>
                </c:pt>
                <c:pt idx="215">
                  <c:v>3.7625000000000104</c:v>
                </c:pt>
                <c:pt idx="216">
                  <c:v>3.7800000000000105</c:v>
                </c:pt>
                <c:pt idx="217">
                  <c:v>3.7975000000000105</c:v>
                </c:pt>
                <c:pt idx="218">
                  <c:v>3.8150000000000106</c:v>
                </c:pt>
                <c:pt idx="219">
                  <c:v>3.8325000000000107</c:v>
                </c:pt>
                <c:pt idx="220">
                  <c:v>3.8500000000000107</c:v>
                </c:pt>
                <c:pt idx="221">
                  <c:v>3.8675000000000108</c:v>
                </c:pt>
                <c:pt idx="222">
                  <c:v>3.8850000000000109</c:v>
                </c:pt>
                <c:pt idx="223">
                  <c:v>3.902500000000011</c:v>
                </c:pt>
                <c:pt idx="224">
                  <c:v>3.920000000000011</c:v>
                </c:pt>
                <c:pt idx="225">
                  <c:v>3.9375000000000111</c:v>
                </c:pt>
                <c:pt idx="226">
                  <c:v>3.9550000000000112</c:v>
                </c:pt>
                <c:pt idx="227">
                  <c:v>3.9725000000000112</c:v>
                </c:pt>
                <c:pt idx="228">
                  <c:v>3.9900000000000113</c:v>
                </c:pt>
                <c:pt idx="229">
                  <c:v>4.0075000000000109</c:v>
                </c:pt>
                <c:pt idx="230">
                  <c:v>4.025000000000011</c:v>
                </c:pt>
                <c:pt idx="231">
                  <c:v>4.0425000000000111</c:v>
                </c:pt>
                <c:pt idx="232">
                  <c:v>4.0600000000000112</c:v>
                </c:pt>
                <c:pt idx="233">
                  <c:v>4.0775000000000112</c:v>
                </c:pt>
                <c:pt idx="234">
                  <c:v>4.0950000000000113</c:v>
                </c:pt>
                <c:pt idx="235">
                  <c:v>4.1125000000000114</c:v>
                </c:pt>
                <c:pt idx="236">
                  <c:v>4.1300000000000114</c:v>
                </c:pt>
                <c:pt idx="237">
                  <c:v>4.1475000000000115</c:v>
                </c:pt>
                <c:pt idx="238">
                  <c:v>4.1650000000000116</c:v>
                </c:pt>
                <c:pt idx="239">
                  <c:v>4.1825000000000117</c:v>
                </c:pt>
                <c:pt idx="240">
                  <c:v>4.2000000000000117</c:v>
                </c:pt>
                <c:pt idx="241">
                  <c:v>4.2175000000000118</c:v>
                </c:pt>
                <c:pt idx="242">
                  <c:v>4.2350000000000119</c:v>
                </c:pt>
                <c:pt idx="243">
                  <c:v>4.2525000000000119</c:v>
                </c:pt>
                <c:pt idx="244">
                  <c:v>4.270000000000012</c:v>
                </c:pt>
                <c:pt idx="245">
                  <c:v>4.2875000000000121</c:v>
                </c:pt>
                <c:pt idx="246">
                  <c:v>4.3050000000000122</c:v>
                </c:pt>
                <c:pt idx="247">
                  <c:v>4.3225000000000122</c:v>
                </c:pt>
                <c:pt idx="248">
                  <c:v>4.3400000000000123</c:v>
                </c:pt>
                <c:pt idx="249">
                  <c:v>4.3575000000000124</c:v>
                </c:pt>
                <c:pt idx="250">
                  <c:v>4.3750000000000124</c:v>
                </c:pt>
                <c:pt idx="251">
                  <c:v>4.3925000000000125</c:v>
                </c:pt>
                <c:pt idx="252">
                  <c:v>4.4100000000000126</c:v>
                </c:pt>
                <c:pt idx="253">
                  <c:v>4.4275000000000126</c:v>
                </c:pt>
                <c:pt idx="254">
                  <c:v>4.4450000000000127</c:v>
                </c:pt>
                <c:pt idx="255">
                  <c:v>4.4625000000000128</c:v>
                </c:pt>
                <c:pt idx="256">
                  <c:v>4.4800000000000129</c:v>
                </c:pt>
                <c:pt idx="257">
                  <c:v>4.4975000000000129</c:v>
                </c:pt>
                <c:pt idx="258">
                  <c:v>4.515000000000013</c:v>
                </c:pt>
                <c:pt idx="259">
                  <c:v>4.5325000000000131</c:v>
                </c:pt>
                <c:pt idx="260">
                  <c:v>4.5500000000000131</c:v>
                </c:pt>
                <c:pt idx="261">
                  <c:v>4.5675000000000132</c:v>
                </c:pt>
                <c:pt idx="262">
                  <c:v>4.5850000000000133</c:v>
                </c:pt>
                <c:pt idx="263">
                  <c:v>4.6025000000000134</c:v>
                </c:pt>
                <c:pt idx="264">
                  <c:v>4.6200000000000134</c:v>
                </c:pt>
                <c:pt idx="265">
                  <c:v>4.6375000000000135</c:v>
                </c:pt>
                <c:pt idx="266">
                  <c:v>4.6550000000000136</c:v>
                </c:pt>
                <c:pt idx="267">
                  <c:v>4.6725000000000136</c:v>
                </c:pt>
                <c:pt idx="268">
                  <c:v>4.6900000000000137</c:v>
                </c:pt>
                <c:pt idx="269">
                  <c:v>4.7075000000000138</c:v>
                </c:pt>
                <c:pt idx="270">
                  <c:v>4.7250000000000139</c:v>
                </c:pt>
                <c:pt idx="271">
                  <c:v>4.7425000000000139</c:v>
                </c:pt>
                <c:pt idx="272">
                  <c:v>4.760000000000014</c:v>
                </c:pt>
                <c:pt idx="273">
                  <c:v>4.7775000000000141</c:v>
                </c:pt>
                <c:pt idx="274">
                  <c:v>4.7950000000000141</c:v>
                </c:pt>
                <c:pt idx="275">
                  <c:v>4.8125000000000142</c:v>
                </c:pt>
                <c:pt idx="276">
                  <c:v>4.8300000000000143</c:v>
                </c:pt>
                <c:pt idx="277">
                  <c:v>4.8475000000000144</c:v>
                </c:pt>
                <c:pt idx="278">
                  <c:v>4.8650000000000144</c:v>
                </c:pt>
                <c:pt idx="279">
                  <c:v>4.8825000000000145</c:v>
                </c:pt>
                <c:pt idx="280">
                  <c:v>4.9000000000000146</c:v>
                </c:pt>
                <c:pt idx="281">
                  <c:v>4.9175000000000146</c:v>
                </c:pt>
                <c:pt idx="282">
                  <c:v>4.9350000000000147</c:v>
                </c:pt>
                <c:pt idx="283">
                  <c:v>4.9525000000000148</c:v>
                </c:pt>
                <c:pt idx="284">
                  <c:v>4.9700000000000149</c:v>
                </c:pt>
                <c:pt idx="285">
                  <c:v>4.9875000000000149</c:v>
                </c:pt>
                <c:pt idx="286">
                  <c:v>5.005000000000015</c:v>
                </c:pt>
                <c:pt idx="287">
                  <c:v>5.0225000000000151</c:v>
                </c:pt>
                <c:pt idx="288">
                  <c:v>5.0400000000000151</c:v>
                </c:pt>
                <c:pt idx="289">
                  <c:v>5.0575000000000152</c:v>
                </c:pt>
                <c:pt idx="290">
                  <c:v>5.0750000000000153</c:v>
                </c:pt>
                <c:pt idx="291">
                  <c:v>5.0925000000000153</c:v>
                </c:pt>
                <c:pt idx="292">
                  <c:v>5.1100000000000154</c:v>
                </c:pt>
                <c:pt idx="293">
                  <c:v>5.1275000000000155</c:v>
                </c:pt>
                <c:pt idx="294">
                  <c:v>5.1450000000000156</c:v>
                </c:pt>
                <c:pt idx="295">
                  <c:v>5.1625000000000156</c:v>
                </c:pt>
                <c:pt idx="296">
                  <c:v>5.1800000000000157</c:v>
                </c:pt>
                <c:pt idx="297">
                  <c:v>5.1975000000000158</c:v>
                </c:pt>
                <c:pt idx="298">
                  <c:v>5.2150000000000158</c:v>
                </c:pt>
                <c:pt idx="299">
                  <c:v>5.2325000000000159</c:v>
                </c:pt>
                <c:pt idx="300">
                  <c:v>5.250000000000016</c:v>
                </c:pt>
                <c:pt idx="301">
                  <c:v>5.2675000000000161</c:v>
                </c:pt>
                <c:pt idx="302">
                  <c:v>5.2850000000000161</c:v>
                </c:pt>
                <c:pt idx="303">
                  <c:v>5.3025000000000162</c:v>
                </c:pt>
                <c:pt idx="304">
                  <c:v>5.3200000000000163</c:v>
                </c:pt>
                <c:pt idx="305">
                  <c:v>5.3375000000000163</c:v>
                </c:pt>
                <c:pt idx="306">
                  <c:v>5.3550000000000164</c:v>
                </c:pt>
                <c:pt idx="307">
                  <c:v>5.3725000000000165</c:v>
                </c:pt>
                <c:pt idx="308">
                  <c:v>5.3900000000000166</c:v>
                </c:pt>
                <c:pt idx="309">
                  <c:v>5.4075000000000166</c:v>
                </c:pt>
                <c:pt idx="310">
                  <c:v>5.4250000000000167</c:v>
                </c:pt>
                <c:pt idx="311">
                  <c:v>5.4425000000000168</c:v>
                </c:pt>
                <c:pt idx="312">
                  <c:v>5.4600000000000168</c:v>
                </c:pt>
                <c:pt idx="313">
                  <c:v>5.4775000000000169</c:v>
                </c:pt>
                <c:pt idx="314">
                  <c:v>5.495000000000017</c:v>
                </c:pt>
                <c:pt idx="315">
                  <c:v>5.5125000000000171</c:v>
                </c:pt>
                <c:pt idx="316">
                  <c:v>5.5300000000000171</c:v>
                </c:pt>
                <c:pt idx="317">
                  <c:v>5.5475000000000172</c:v>
                </c:pt>
                <c:pt idx="318">
                  <c:v>5.5650000000000173</c:v>
                </c:pt>
                <c:pt idx="319">
                  <c:v>5.5825000000000173</c:v>
                </c:pt>
                <c:pt idx="320">
                  <c:v>5.6000000000000174</c:v>
                </c:pt>
                <c:pt idx="321">
                  <c:v>5.6175000000000175</c:v>
                </c:pt>
                <c:pt idx="322">
                  <c:v>5.6350000000000176</c:v>
                </c:pt>
                <c:pt idx="323">
                  <c:v>5.6525000000000176</c:v>
                </c:pt>
                <c:pt idx="324">
                  <c:v>5.6700000000000177</c:v>
                </c:pt>
                <c:pt idx="325">
                  <c:v>5.6875000000000178</c:v>
                </c:pt>
                <c:pt idx="326">
                  <c:v>5.7050000000000178</c:v>
                </c:pt>
                <c:pt idx="327">
                  <c:v>5.7225000000000179</c:v>
                </c:pt>
                <c:pt idx="328">
                  <c:v>5.740000000000018</c:v>
                </c:pt>
                <c:pt idx="329">
                  <c:v>5.757500000000018</c:v>
                </c:pt>
                <c:pt idx="330">
                  <c:v>5.7750000000000181</c:v>
                </c:pt>
                <c:pt idx="331">
                  <c:v>5.7925000000000182</c:v>
                </c:pt>
                <c:pt idx="332">
                  <c:v>5.8100000000000183</c:v>
                </c:pt>
                <c:pt idx="333">
                  <c:v>5.8275000000000183</c:v>
                </c:pt>
                <c:pt idx="334">
                  <c:v>5.8450000000000184</c:v>
                </c:pt>
                <c:pt idx="335">
                  <c:v>5.8625000000000185</c:v>
                </c:pt>
                <c:pt idx="336">
                  <c:v>5.8800000000000185</c:v>
                </c:pt>
                <c:pt idx="337">
                  <c:v>5.8975000000000186</c:v>
                </c:pt>
                <c:pt idx="338">
                  <c:v>5.9150000000000187</c:v>
                </c:pt>
                <c:pt idx="339">
                  <c:v>5.9325000000000188</c:v>
                </c:pt>
                <c:pt idx="340">
                  <c:v>5.9500000000000188</c:v>
                </c:pt>
                <c:pt idx="341">
                  <c:v>5.9675000000000189</c:v>
                </c:pt>
                <c:pt idx="342">
                  <c:v>5.985000000000019</c:v>
                </c:pt>
                <c:pt idx="343">
                  <c:v>6.002500000000019</c:v>
                </c:pt>
                <c:pt idx="344">
                  <c:v>6.0200000000000191</c:v>
                </c:pt>
                <c:pt idx="345">
                  <c:v>6.0375000000000192</c:v>
                </c:pt>
                <c:pt idx="346">
                  <c:v>6.0550000000000193</c:v>
                </c:pt>
                <c:pt idx="347">
                  <c:v>6.0725000000000193</c:v>
                </c:pt>
                <c:pt idx="348">
                  <c:v>6.0900000000000194</c:v>
                </c:pt>
                <c:pt idx="349">
                  <c:v>6.1075000000000195</c:v>
                </c:pt>
                <c:pt idx="350">
                  <c:v>6.1250000000000195</c:v>
                </c:pt>
                <c:pt idx="351">
                  <c:v>6.1425000000000196</c:v>
                </c:pt>
                <c:pt idx="352">
                  <c:v>6.1600000000000197</c:v>
                </c:pt>
                <c:pt idx="353">
                  <c:v>6.1775000000000198</c:v>
                </c:pt>
                <c:pt idx="354">
                  <c:v>6.1950000000000198</c:v>
                </c:pt>
                <c:pt idx="355">
                  <c:v>6.2125000000000199</c:v>
                </c:pt>
                <c:pt idx="356">
                  <c:v>6.23000000000002</c:v>
                </c:pt>
                <c:pt idx="357">
                  <c:v>6.24750000000002</c:v>
                </c:pt>
                <c:pt idx="358">
                  <c:v>6.2650000000000201</c:v>
                </c:pt>
                <c:pt idx="359">
                  <c:v>6.2825000000000202</c:v>
                </c:pt>
                <c:pt idx="360">
                  <c:v>6.3000000000000203</c:v>
                </c:pt>
                <c:pt idx="361">
                  <c:v>6.3175000000000203</c:v>
                </c:pt>
                <c:pt idx="362">
                  <c:v>6.3350000000000204</c:v>
                </c:pt>
                <c:pt idx="363">
                  <c:v>6.3525000000000205</c:v>
                </c:pt>
                <c:pt idx="364">
                  <c:v>6.3700000000000205</c:v>
                </c:pt>
                <c:pt idx="365">
                  <c:v>6.3875000000000206</c:v>
                </c:pt>
                <c:pt idx="366">
                  <c:v>6.4050000000000207</c:v>
                </c:pt>
                <c:pt idx="367">
                  <c:v>6.4225000000000207</c:v>
                </c:pt>
                <c:pt idx="368">
                  <c:v>6.4400000000000208</c:v>
                </c:pt>
                <c:pt idx="369">
                  <c:v>6.4575000000000209</c:v>
                </c:pt>
                <c:pt idx="370">
                  <c:v>6.475000000000021</c:v>
                </c:pt>
                <c:pt idx="371">
                  <c:v>6.492500000000021</c:v>
                </c:pt>
                <c:pt idx="372">
                  <c:v>6.5100000000000211</c:v>
                </c:pt>
                <c:pt idx="373">
                  <c:v>6.5275000000000212</c:v>
                </c:pt>
                <c:pt idx="374">
                  <c:v>6.5450000000000212</c:v>
                </c:pt>
                <c:pt idx="375">
                  <c:v>6.5625000000000213</c:v>
                </c:pt>
                <c:pt idx="376">
                  <c:v>6.5800000000000214</c:v>
                </c:pt>
                <c:pt idx="377">
                  <c:v>6.5975000000000215</c:v>
                </c:pt>
                <c:pt idx="378">
                  <c:v>6.6150000000000215</c:v>
                </c:pt>
                <c:pt idx="379">
                  <c:v>6.6325000000000216</c:v>
                </c:pt>
                <c:pt idx="380">
                  <c:v>6.6500000000000217</c:v>
                </c:pt>
                <c:pt idx="381">
                  <c:v>6.6675000000000217</c:v>
                </c:pt>
                <c:pt idx="382">
                  <c:v>6.6850000000000218</c:v>
                </c:pt>
                <c:pt idx="383">
                  <c:v>6.7025000000000219</c:v>
                </c:pt>
                <c:pt idx="384">
                  <c:v>6.720000000000022</c:v>
                </c:pt>
                <c:pt idx="385">
                  <c:v>6.737500000000022</c:v>
                </c:pt>
                <c:pt idx="386">
                  <c:v>6.7550000000000221</c:v>
                </c:pt>
                <c:pt idx="387">
                  <c:v>6.7725000000000222</c:v>
                </c:pt>
                <c:pt idx="388">
                  <c:v>6.7900000000000222</c:v>
                </c:pt>
                <c:pt idx="389">
                  <c:v>6.8075000000000223</c:v>
                </c:pt>
                <c:pt idx="390">
                  <c:v>6.8250000000000224</c:v>
                </c:pt>
                <c:pt idx="391">
                  <c:v>6.8425000000000225</c:v>
                </c:pt>
                <c:pt idx="392">
                  <c:v>6.8600000000000225</c:v>
                </c:pt>
                <c:pt idx="393">
                  <c:v>6.8775000000000226</c:v>
                </c:pt>
                <c:pt idx="394">
                  <c:v>6.8950000000000227</c:v>
                </c:pt>
                <c:pt idx="395">
                  <c:v>6.9125000000000227</c:v>
                </c:pt>
                <c:pt idx="396">
                  <c:v>6.9300000000000228</c:v>
                </c:pt>
                <c:pt idx="397">
                  <c:v>6.9475000000000229</c:v>
                </c:pt>
                <c:pt idx="398">
                  <c:v>6.965000000000023</c:v>
                </c:pt>
                <c:pt idx="399">
                  <c:v>6.982500000000023</c:v>
                </c:pt>
                <c:pt idx="400">
                  <c:v>7.0000000000000231</c:v>
                </c:pt>
              </c:numCache>
            </c:numRef>
          </c:xVal>
          <c:yVal>
            <c:numRef>
              <c:f>'xVA Calculations'!$V$30:$V$430</c:f>
              <c:numCache>
                <c:formatCode>0.000%</c:formatCode>
                <c:ptCount val="401"/>
                <c:pt idx="0">
                  <c:v>-2.3535354050408679E-3</c:v>
                </c:pt>
                <c:pt idx="1">
                  <c:v>-3.3246570818005893E-3</c:v>
                </c:pt>
                <c:pt idx="2">
                  <c:v>-4.6911796145467028E-3</c:v>
                </c:pt>
                <c:pt idx="3">
                  <c:v>-5.7325145493496077E-3</c:v>
                </c:pt>
                <c:pt idx="4">
                  <c:v>-6.6043375654111953E-3</c:v>
                </c:pt>
                <c:pt idx="5">
                  <c:v>-7.3670944752363861E-3</c:v>
                </c:pt>
                <c:pt idx="6">
                  <c:v>-8.0518570947484581E-3</c:v>
                </c:pt>
                <c:pt idx="7">
                  <c:v>-8.6771251554965539E-3</c:v>
                </c:pt>
                <c:pt idx="8">
                  <c:v>-9.2549790825738748E-3</c:v>
                </c:pt>
                <c:pt idx="9">
                  <c:v>-9.7938284566896367E-3</c:v>
                </c:pt>
                <c:pt idx="10">
                  <c:v>-1.0299809623720641E-2</c:v>
                </c:pt>
                <c:pt idx="11">
                  <c:v>-1.0777565081091288E-2</c:v>
                </c:pt>
                <c:pt idx="12">
                  <c:v>-1.1230709363096975E-2</c:v>
                </c:pt>
                <c:pt idx="13">
                  <c:v>-1.1662123078311857E-2</c:v>
                </c:pt>
                <c:pt idx="14">
                  <c:v>-1.2074146788580776E-2</c:v>
                </c:pt>
                <c:pt idx="15">
                  <c:v>-1.2468713538602828E-2</c:v>
                </c:pt>
                <c:pt idx="16">
                  <c:v>-1.2847442229491714E-2</c:v>
                </c:pt>
                <c:pt idx="17">
                  <c:v>-1.3211705119936792E-2</c:v>
                </c:pt>
                <c:pt idx="18">
                  <c:v>-1.3562677718308788E-2</c:v>
                </c:pt>
                <c:pt idx="19">
                  <c:v>-1.3901376378896985E-2</c:v>
                </c:pt>
                <c:pt idx="20">
                  <c:v>-1.4228687117984317E-2</c:v>
                </c:pt>
                <c:pt idx="21">
                  <c:v>-1.4545388035297924E-2</c:v>
                </c:pt>
                <c:pt idx="22">
                  <c:v>-1.4852166995871422E-2</c:v>
                </c:pt>
                <c:pt idx="23">
                  <c:v>-1.5149635743486352E-2</c:v>
                </c:pt>
                <c:pt idx="24">
                  <c:v>-1.5438341289281069E-2</c:v>
                </c:pt>
                <c:pt idx="25">
                  <c:v>-1.5718775192952016E-2</c:v>
                </c:pt>
                <c:pt idx="26">
                  <c:v>-1.5991381195037905E-2</c:v>
                </c:pt>
                <c:pt idx="27">
                  <c:v>-1.6256561545276594E-2</c:v>
                </c:pt>
                <c:pt idx="28">
                  <c:v>-1.6514682289773059E-2</c:v>
                </c:pt>
                <c:pt idx="29">
                  <c:v>-1.6766077719304794E-2</c:v>
                </c:pt>
                <c:pt idx="30">
                  <c:v>-1.7011054136168338E-2</c:v>
                </c:pt>
                <c:pt idx="31">
                  <c:v>-1.7249893063183738E-2</c:v>
                </c:pt>
                <c:pt idx="32">
                  <c:v>-1.7482853992792226E-2</c:v>
                </c:pt>
                <c:pt idx="33">
                  <c:v>-1.7710176754470969E-2</c:v>
                </c:pt>
                <c:pt idx="34">
                  <c:v>-1.7932083563419514E-2</c:v>
                </c:pt>
                <c:pt idx="35">
                  <c:v>-1.8148780801545524E-2</c:v>
                </c:pt>
                <c:pt idx="36">
                  <c:v>-1.8360460572384427E-2</c:v>
                </c:pt>
                <c:pt idx="37">
                  <c:v>-1.8567302064137221E-2</c:v>
                </c:pt>
                <c:pt idx="38">
                  <c:v>-1.8769472749057561E-2</c:v>
                </c:pt>
                <c:pt idx="39">
                  <c:v>-1.8967129442632562E-2</c:v>
                </c:pt>
                <c:pt idx="40">
                  <c:v>-1.9160419242128562E-2</c:v>
                </c:pt>
                <c:pt idx="41">
                  <c:v>-1.9349480360919713E-2</c:v>
                </c:pt>
                <c:pt idx="42">
                  <c:v>-1.9534442872437361E-2</c:v>
                </c:pt>
                <c:pt idx="43">
                  <c:v>-1.9715429375454875E-2</c:v>
                </c:pt>
                <c:pt idx="44">
                  <c:v>-1.9892555590666664E-2</c:v>
                </c:pt>
                <c:pt idx="45">
                  <c:v>-2.0065930897062004E-2</c:v>
                </c:pt>
                <c:pt idx="46">
                  <c:v>-2.023565881537652E-2</c:v>
                </c:pt>
                <c:pt idx="47">
                  <c:v>-2.0401837444884031E-2</c:v>
                </c:pt>
                <c:pt idx="48">
                  <c:v>-2.0564559858932647E-2</c:v>
                </c:pt>
                <c:pt idx="49">
                  <c:v>-2.0723914463903668E-2</c:v>
                </c:pt>
                <c:pt idx="50">
                  <c:v>-2.0879985325656058E-2</c:v>
                </c:pt>
                <c:pt idx="51">
                  <c:v>-2.1032852466996238E-2</c:v>
                </c:pt>
                <c:pt idx="52">
                  <c:v>-2.1182592139264992E-2</c:v>
                </c:pt>
                <c:pt idx="53">
                  <c:v>-2.1329277070750611E-2</c:v>
                </c:pt>
                <c:pt idx="54">
                  <c:v>-2.1472976694307679E-2</c:v>
                </c:pt>
                <c:pt idx="55">
                  <c:v>-2.1613757356277147E-2</c:v>
                </c:pt>
                <c:pt idx="56">
                  <c:v>-2.1751682508557614E-2</c:v>
                </c:pt>
                <c:pt idx="57">
                  <c:v>-2.1886812885465012E-2</c:v>
                </c:pt>
                <c:pt idx="58">
                  <c:v>-2.201920666683272E-2</c:v>
                </c:pt>
                <c:pt idx="59">
                  <c:v>-2.2148919628642849E-2</c:v>
                </c:pt>
                <c:pt idx="60">
                  <c:v>-2.2276005282338418E-2</c:v>
                </c:pt>
                <c:pt idx="61">
                  <c:v>-2.2400515003842748E-2</c:v>
                </c:pt>
                <c:pt idx="62">
                  <c:v>-2.2522498153203806E-2</c:v>
                </c:pt>
                <c:pt idx="63">
                  <c:v>-2.264200218568636E-2</c:v>
                </c:pt>
                <c:pt idx="64">
                  <c:v>-2.2759072755049684E-2</c:v>
                </c:pt>
                <c:pt idx="65">
                  <c:v>-2.2873753809675566E-2</c:v>
                </c:pt>
                <c:pt idx="66">
                  <c:v>-2.2986087682144336E-2</c:v>
                </c:pt>
                <c:pt idx="67">
                  <c:v>-2.3096115172798838E-2</c:v>
                </c:pt>
                <c:pt idx="68">
                  <c:v>-2.3203875627784504E-2</c:v>
                </c:pt>
                <c:pt idx="69">
                  <c:v>-2.3309407012006907E-2</c:v>
                </c:pt>
                <c:pt idx="70">
                  <c:v>-2.3412745977407518E-2</c:v>
                </c:pt>
                <c:pt idx="71">
                  <c:v>-2.3513927926921127E-2</c:v>
                </c:pt>
                <c:pt idx="72">
                  <c:v>-2.3612987074445563E-2</c:v>
                </c:pt>
                <c:pt idx="73">
                  <c:v>-2.3709956501124806E-2</c:v>
                </c:pt>
                <c:pt idx="74">
                  <c:v>-2.3804868208220076E-2</c:v>
                </c:pt>
                <c:pt idx="75">
                  <c:v>-2.3897753166819215E-2</c:v>
                </c:pt>
                <c:pt idx="76">
                  <c:v>-2.3988641364613799E-2</c:v>
                </c:pt>
                <c:pt idx="77">
                  <c:v>-2.4077561849953247E-2</c:v>
                </c:pt>
                <c:pt idx="78">
                  <c:v>-2.4164542773368537E-2</c:v>
                </c:pt>
                <c:pt idx="79">
                  <c:v>-2.4249611426741344E-2</c:v>
                </c:pt>
                <c:pt idx="80">
                  <c:v>-2.4332794280280848E-2</c:v>
                </c:pt>
                <c:pt idx="81">
                  <c:v>-2.4414117017456785E-2</c:v>
                </c:pt>
                <c:pt idx="82">
                  <c:v>-2.4493604568026166E-2</c:v>
                </c:pt>
                <c:pt idx="83">
                  <c:v>-2.4571281139279536E-2</c:v>
                </c:pt>
                <c:pt idx="84">
                  <c:v>-2.4647170245623524E-2</c:v>
                </c:pt>
                <c:pt idx="85">
                  <c:v>-2.4721294736607249E-2</c:v>
                </c:pt>
                <c:pt idx="86">
                  <c:v>-2.4793676823491716E-2</c:v>
                </c:pt>
                <c:pt idx="87">
                  <c:v>-2.4864338104454674E-2</c:v>
                </c:pt>
                <c:pt idx="88">
                  <c:v>-2.4933299588515489E-2</c:v>
                </c:pt>
                <c:pt idx="89">
                  <c:v>-2.5000581718259585E-2</c:v>
                </c:pt>
                <c:pt idx="90">
                  <c:v>-2.5066204391435244E-2</c:v>
                </c:pt>
                <c:pt idx="91">
                  <c:v>-2.5130186981490905E-2</c:v>
                </c:pt>
                <c:pt idx="92">
                  <c:v>-2.519254835711621E-2</c:v>
                </c:pt>
                <c:pt idx="93">
                  <c:v>-2.5253306900845617E-2</c:v>
                </c:pt>
                <c:pt idx="94">
                  <c:v>-2.5312480526778904E-2</c:v>
                </c:pt>
                <c:pt idx="95">
                  <c:v>-2.537008669747012E-2</c:v>
                </c:pt>
                <c:pt idx="96">
                  <c:v>-2.5426142440031923E-2</c:v>
                </c:pt>
                <c:pt idx="97">
                  <c:v>-2.548066436150007E-2</c:v>
                </c:pt>
                <c:pt idx="98">
                  <c:v>-2.5533668663499116E-2</c:v>
                </c:pt>
                <c:pt idx="99">
                  <c:v>-2.5585171156248171E-2</c:v>
                </c:pt>
                <c:pt idx="100">
                  <c:v>-2.5635187271942798E-2</c:v>
                </c:pt>
                <c:pt idx="101">
                  <c:v>-2.5683732077546966E-2</c:v>
                </c:pt>
                <c:pt idx="102">
                  <c:v>-2.5730820287026699E-2</c:v>
                </c:pt>
                <c:pt idx="103">
                  <c:v>-2.5776466273054924E-2</c:v>
                </c:pt>
                <c:pt idx="104">
                  <c:v>-2.5820684078215653E-2</c:v>
                </c:pt>
                <c:pt idx="105">
                  <c:v>-2.5863487425733439E-2</c:v>
                </c:pt>
                <c:pt idx="106">
                  <c:v>-2.5904889729752498E-2</c:v>
                </c:pt>
                <c:pt idx="107">
                  <c:v>-2.5944904105188776E-2</c:v>
                </c:pt>
                <c:pt idx="108">
                  <c:v>-2.5983543377176427E-2</c:v>
                </c:pt>
                <c:pt idx="109">
                  <c:v>-2.6020820090129022E-2</c:v>
                </c:pt>
                <c:pt idx="110">
                  <c:v>-2.6056746516434918E-2</c:v>
                </c:pt>
                <c:pt idx="111">
                  <c:v>-2.6091334664804202E-2</c:v>
                </c:pt>
                <c:pt idx="112">
                  <c:v>-2.6124596288285069E-2</c:v>
                </c:pt>
                <c:pt idx="113">
                  <c:v>-2.6156542891964896E-2</c:v>
                </c:pt>
                <c:pt idx="114">
                  <c:v>-2.6187185740371349E-2</c:v>
                </c:pt>
                <c:pt idx="115">
                  <c:v>-2.621653586458806E-2</c:v>
                </c:pt>
                <c:pt idx="116">
                  <c:v>-2.6244604069097909E-2</c:v>
                </c:pt>
                <c:pt idx="117">
                  <c:v>-2.6271400938366701E-2</c:v>
                </c:pt>
                <c:pt idx="118">
                  <c:v>-2.6296936843179689E-2</c:v>
                </c:pt>
                <c:pt idx="119">
                  <c:v>-2.6321221946741497E-2</c:v>
                </c:pt>
                <c:pt idx="120">
                  <c:v>-2.6344266210551012E-2</c:v>
                </c:pt>
                <c:pt idx="121">
                  <c:v>-2.6366079400060888E-2</c:v>
                </c:pt>
                <c:pt idx="122">
                  <c:v>-2.6386671090131368E-2</c:v>
                </c:pt>
                <c:pt idx="123">
                  <c:v>-2.6406050670287822E-2</c:v>
                </c:pt>
                <c:pt idx="124">
                  <c:v>-2.6424227349790191E-2</c:v>
                </c:pt>
                <c:pt idx="125">
                  <c:v>-2.644121016252305E-2</c:v>
                </c:pt>
                <c:pt idx="126">
                  <c:v>-2.6457007971713568E-2</c:v>
                </c:pt>
                <c:pt idx="127">
                  <c:v>-2.6471629474485212E-2</c:v>
                </c:pt>
                <c:pt idx="128">
                  <c:v>-2.6485083206253687E-2</c:v>
                </c:pt>
                <c:pt idx="129">
                  <c:v>-2.6497377544972313E-2</c:v>
                </c:pt>
                <c:pt idx="130">
                  <c:v>-2.6508520715232811E-2</c:v>
                </c:pt>
                <c:pt idx="131">
                  <c:v>-2.6518520792227503E-2</c:v>
                </c:pt>
                <c:pt idx="132">
                  <c:v>-2.6527385705578849E-2</c:v>
                </c:pt>
                <c:pt idx="133">
                  <c:v>-2.653512324304165E-2</c:v>
                </c:pt>
                <c:pt idx="134">
                  <c:v>-2.6541741054082964E-2</c:v>
                </c:pt>
                <c:pt idx="135">
                  <c:v>-2.6547246653345024E-2</c:v>
                </c:pt>
                <c:pt idx="136">
                  <c:v>-2.6551647423995395E-2</c:v>
                </c:pt>
                <c:pt idx="137">
                  <c:v>-2.6554950620969121E-2</c:v>
                </c:pt>
                <c:pt idx="138">
                  <c:v>-2.6557163374107254E-2</c:v>
                </c:pt>
                <c:pt idx="139">
                  <c:v>-2.6558292691195282E-2</c:v>
                </c:pt>
                <c:pt idx="140">
                  <c:v>-2.6558345460906185E-2</c:v>
                </c:pt>
                <c:pt idx="141">
                  <c:v>-2.6557328455650807E-2</c:v>
                </c:pt>
                <c:pt idx="142">
                  <c:v>-2.655524833434009E-2</c:v>
                </c:pt>
                <c:pt idx="143">
                  <c:v>-2.6552111645061636E-2</c:v>
                </c:pt>
                <c:pt idx="144">
                  <c:v>-2.6547924827674544E-2</c:v>
                </c:pt>
                <c:pt idx="145">
                  <c:v>-2.6542694216325172E-2</c:v>
                </c:pt>
                <c:pt idx="146">
                  <c:v>-2.6536426041886822E-2</c:v>
                </c:pt>
                <c:pt idx="147">
                  <c:v>-2.652912643432628E-2</c:v>
                </c:pt>
                <c:pt idx="148">
                  <c:v>-2.652080142499989E-2</c:v>
                </c:pt>
                <c:pt idx="149">
                  <c:v>-2.6511456948881667E-2</c:v>
                </c:pt>
                <c:pt idx="150">
                  <c:v>-2.6501098846725753E-2</c:v>
                </c:pt>
                <c:pt idx="151">
                  <c:v>-2.648973286716607E-2</c:v>
                </c:pt>
                <c:pt idx="152">
                  <c:v>-2.6477364668754833E-2</c:v>
                </c:pt>
                <c:pt idx="153">
                  <c:v>-2.646399982194246E-2</c:v>
                </c:pt>
                <c:pt idx="154">
                  <c:v>-2.6449643811000817E-2</c:v>
                </c:pt>
                <c:pt idx="155">
                  <c:v>-2.6434302035891942E-2</c:v>
                </c:pt>
                <c:pt idx="156">
                  <c:v>-2.6417979814083833E-2</c:v>
                </c:pt>
                <c:pt idx="157">
                  <c:v>-2.6400682382315337E-2</c:v>
                </c:pt>
                <c:pt idx="158">
                  <c:v>-2.6382414898312039E-2</c:v>
                </c:pt>
                <c:pt idx="159">
                  <c:v>-2.6363182442454499E-2</c:v>
                </c:pt>
                <c:pt idx="160">
                  <c:v>-2.634299001940062E-2</c:v>
                </c:pt>
                <c:pt idx="161">
                  <c:v>-2.6321842559663675E-2</c:v>
                </c:pt>
                <c:pt idx="162">
                  <c:v>-2.6299744921147658E-2</c:v>
                </c:pt>
                <c:pt idx="163">
                  <c:v>-2.6276701890640831E-2</c:v>
                </c:pt>
                <c:pt idx="164">
                  <c:v>-2.6252718185269659E-2</c:v>
                </c:pt>
                <c:pt idx="165">
                  <c:v>-2.6227798453913667E-2</c:v>
                </c:pt>
                <c:pt idx="166">
                  <c:v>-2.6201947278583024E-2</c:v>
                </c:pt>
                <c:pt idx="167">
                  <c:v>-2.6175169175759707E-2</c:v>
                </c:pt>
                <c:pt idx="168">
                  <c:v>-2.6147468597703821E-2</c:v>
                </c:pt>
                <c:pt idx="169">
                  <c:v>-2.6118849933725648E-2</c:v>
                </c:pt>
                <c:pt idx="170">
                  <c:v>-2.6089317511425087E-2</c:v>
                </c:pt>
                <c:pt idx="171">
                  <c:v>-2.605887559789909E-2</c:v>
                </c:pt>
                <c:pt idx="172">
                  <c:v>-2.60275284009184E-2</c:v>
                </c:pt>
                <c:pt idx="173">
                  <c:v>-2.59952800700743E-2</c:v>
                </c:pt>
                <c:pt idx="174">
                  <c:v>-2.596213469789645E-2</c:v>
                </c:pt>
                <c:pt idx="175">
                  <c:v>-2.5928096320942822E-2</c:v>
                </c:pt>
                <c:pt idx="176">
                  <c:v>-2.58931689208622E-2</c:v>
                </c:pt>
                <c:pt idx="177">
                  <c:v>-2.5857356425430626E-2</c:v>
                </c:pt>
                <c:pt idx="178">
                  <c:v>-2.5820662709562039E-2</c:v>
                </c:pt>
                <c:pt idx="179">
                  <c:v>-2.5783091596294348E-2</c:v>
                </c:pt>
                <c:pt idx="180">
                  <c:v>-2.5744646857751352E-2</c:v>
                </c:pt>
                <c:pt idx="181">
                  <c:v>-2.5705332216081418E-2</c:v>
                </c:pt>
                <c:pt idx="182">
                  <c:v>-2.5665151344373478E-2</c:v>
                </c:pt>
                <c:pt idx="183">
                  <c:v>-2.562410786755116E-2</c:v>
                </c:pt>
                <c:pt idx="184">
                  <c:v>-2.5582205363245649E-2</c:v>
                </c:pt>
                <c:pt idx="185">
                  <c:v>-2.553944736264762E-2</c:v>
                </c:pt>
                <c:pt idx="186">
                  <c:v>-2.5495837351339451E-2</c:v>
                </c:pt>
                <c:pt idx="187">
                  <c:v>-2.5451378770107731E-2</c:v>
                </c:pt>
                <c:pt idx="188">
                  <c:v>-2.5406075015736825E-2</c:v>
                </c:pt>
                <c:pt idx="189">
                  <c:v>-2.5359929441784126E-2</c:v>
                </c:pt>
                <c:pt idx="190">
                  <c:v>-2.5312945359337476E-2</c:v>
                </c:pt>
                <c:pt idx="191">
                  <c:v>-2.5265126037755069E-2</c:v>
                </c:pt>
                <c:pt idx="192">
                  <c:v>-2.5216474705388511E-2</c:v>
                </c:pt>
                <c:pt idx="193">
                  <c:v>-2.5166994550289794E-2</c:v>
                </c:pt>
                <c:pt idx="194">
                  <c:v>-2.511668872090175E-2</c:v>
                </c:pt>
                <c:pt idx="195">
                  <c:v>-2.5065560326733551E-2</c:v>
                </c:pt>
                <c:pt idx="196">
                  <c:v>-2.5013612439020845E-2</c:v>
                </c:pt>
                <c:pt idx="197">
                  <c:v>-2.4960848091371245E-2</c:v>
                </c:pt>
                <c:pt idx="198">
                  <c:v>-2.4907270280395653E-2</c:v>
                </c:pt>
                <c:pt idx="199">
                  <c:v>-2.4852881966325697E-2</c:v>
                </c:pt>
                <c:pt idx="200">
                  <c:v>-2.47976860736175E-2</c:v>
                </c:pt>
                <c:pt idx="201">
                  <c:v>-2.4741685491542594E-2</c:v>
                </c:pt>
                <c:pt idx="202">
                  <c:v>-2.4684883074765903E-2</c:v>
                </c:pt>
                <c:pt idx="203">
                  <c:v>-2.4627281643911116E-2</c:v>
                </c:pt>
                <c:pt idx="204">
                  <c:v>-2.4568883986114273E-2</c:v>
                </c:pt>
                <c:pt idx="205">
                  <c:v>-2.4509692855565344E-2</c:v>
                </c:pt>
                <c:pt idx="206">
                  <c:v>-2.4449710974038377E-2</c:v>
                </c:pt>
                <c:pt idx="207">
                  <c:v>-2.4388941031410351E-2</c:v>
                </c:pt>
                <c:pt idx="208">
                  <c:v>-2.4327385686169444E-2</c:v>
                </c:pt>
                <c:pt idx="209">
                  <c:v>-2.426504756591219E-2</c:v>
                </c:pt>
                <c:pt idx="210">
                  <c:v>-2.4201929267830841E-2</c:v>
                </c:pt>
                <c:pt idx="211">
                  <c:v>-2.4138033359190195E-2</c:v>
                </c:pt>
                <c:pt idx="212">
                  <c:v>-2.4073362377794918E-2</c:v>
                </c:pt>
                <c:pt idx="213">
                  <c:v>-2.4007918832447048E-2</c:v>
                </c:pt>
                <c:pt idx="214">
                  <c:v>-2.3941705203394337E-2</c:v>
                </c:pt>
                <c:pt idx="215">
                  <c:v>-2.3874723942769526E-2</c:v>
                </c:pt>
                <c:pt idx="216">
                  <c:v>-2.3806977475020506E-2</c:v>
                </c:pt>
                <c:pt idx="217">
                  <c:v>-2.3738468197332045E-2</c:v>
                </c:pt>
                <c:pt idx="218">
                  <c:v>-2.3669198480039118E-2</c:v>
                </c:pt>
                <c:pt idx="219">
                  <c:v>-2.3599170667031724E-2</c:v>
                </c:pt>
                <c:pt idx="220">
                  <c:v>-2.3528387076152069E-2</c:v>
                </c:pt>
                <c:pt idx="221">
                  <c:v>-2.3456849999583539E-2</c:v>
                </c:pt>
                <c:pt idx="222">
                  <c:v>-2.3384561704232282E-2</c:v>
                </c:pt>
                <c:pt idx="223">
                  <c:v>-2.3311524432101213E-2</c:v>
                </c:pt>
                <c:pt idx="224">
                  <c:v>-2.3237740400656924E-2</c:v>
                </c:pt>
                <c:pt idx="225">
                  <c:v>-2.3163211803189063E-2</c:v>
                </c:pt>
                <c:pt idx="226">
                  <c:v>-2.3087940809163376E-2</c:v>
                </c:pt>
                <c:pt idx="227">
                  <c:v>-2.301192956456747E-2</c:v>
                </c:pt>
                <c:pt idx="228">
                  <c:v>-2.2935180192250198E-2</c:v>
                </c:pt>
                <c:pt idx="229">
                  <c:v>-2.2857694792254652E-2</c:v>
                </c:pt>
                <c:pt idx="230">
                  <c:v>-2.2779475442144655E-2</c:v>
                </c:pt>
                <c:pt idx="231">
                  <c:v>-2.270052419732526E-2</c:v>
                </c:pt>
                <c:pt idx="232">
                  <c:v>-2.2620843091357059E-2</c:v>
                </c:pt>
                <c:pt idx="233">
                  <c:v>-2.2540434136264994E-2</c:v>
                </c:pt>
                <c:pt idx="234">
                  <c:v>-2.245929932284085E-2</c:v>
                </c:pt>
                <c:pt idx="235">
                  <c:v>-2.2377440620940707E-2</c:v>
                </c:pt>
                <c:pt idx="236">
                  <c:v>-2.2294859979776527E-2</c:v>
                </c:pt>
                <c:pt idx="237">
                  <c:v>-2.221155932820261E-2</c:v>
                </c:pt>
                <c:pt idx="238">
                  <c:v>-2.2127540574996676E-2</c:v>
                </c:pt>
                <c:pt idx="239">
                  <c:v>-2.2042805609135921E-2</c:v>
                </c:pt>
                <c:pt idx="240">
                  <c:v>-2.1957356300067978E-2</c:v>
                </c:pt>
                <c:pt idx="241">
                  <c:v>-2.1871194497977097E-2</c:v>
                </c:pt>
                <c:pt idx="242">
                  <c:v>-2.1784322034045497E-2</c:v>
                </c:pt>
                <c:pt idx="243">
                  <c:v>-2.1696740720710015E-2</c:v>
                </c:pt>
                <c:pt idx="244">
                  <c:v>-2.1608452351914189E-2</c:v>
                </c:pt>
                <c:pt idx="245">
                  <c:v>-2.1519458703355882E-2</c:v>
                </c:pt>
                <c:pt idx="246">
                  <c:v>-2.1429761532730591E-2</c:v>
                </c:pt>
                <c:pt idx="247">
                  <c:v>-2.1339362579970385E-2</c:v>
                </c:pt>
                <c:pt idx="248">
                  <c:v>-2.1248263567478689E-2</c:v>
                </c:pt>
                <c:pt idx="249">
                  <c:v>-2.1156466200360907E-2</c:v>
                </c:pt>
                <c:pt idx="250">
                  <c:v>-2.1063972166651245E-2</c:v>
                </c:pt>
                <c:pt idx="251">
                  <c:v>-2.0970783137535358E-2</c:v>
                </c:pt>
                <c:pt idx="252">
                  <c:v>-2.0876900767569317E-2</c:v>
                </c:pt>
                <c:pt idx="253">
                  <c:v>-2.0782326694894757E-2</c:v>
                </c:pt>
                <c:pt idx="254">
                  <c:v>-2.0687062541450356E-2</c:v>
                </c:pt>
                <c:pt idx="255">
                  <c:v>-2.0591109913179705E-2</c:v>
                </c:pt>
                <c:pt idx="256">
                  <c:v>-2.0494470400235769E-2</c:v>
                </c:pt>
                <c:pt idx="257">
                  <c:v>-2.0397145577181693E-2</c:v>
                </c:pt>
                <c:pt idx="258">
                  <c:v>-2.0299137003188306E-2</c:v>
                </c:pt>
                <c:pt idx="259">
                  <c:v>-2.020044622222843E-2</c:v>
                </c:pt>
                <c:pt idx="260">
                  <c:v>-2.0101074763267862E-2</c:v>
                </c:pt>
                <c:pt idx="261">
                  <c:v>-2.0001024140453117E-2</c:v>
                </c:pt>
                <c:pt idx="262">
                  <c:v>-1.9900295853296134E-2</c:v>
                </c:pt>
                <c:pt idx="263">
                  <c:v>-1.9798891386855991E-2</c:v>
                </c:pt>
                <c:pt idx="264">
                  <c:v>-1.969681221191746E-2</c:v>
                </c:pt>
                <c:pt idx="265">
                  <c:v>-1.9594059785166901E-2</c:v>
                </c:pt>
                <c:pt idx="266">
                  <c:v>-1.9490635549365004E-2</c:v>
                </c:pt>
                <c:pt idx="267">
                  <c:v>-1.938654093351691E-2</c:v>
                </c:pt>
                <c:pt idx="268">
                  <c:v>-1.9281777353039608E-2</c:v>
                </c:pt>
                <c:pt idx="269">
                  <c:v>-1.9176346209926417E-2</c:v>
                </c:pt>
                <c:pt idx="270">
                  <c:v>-1.9070248892909088E-2</c:v>
                </c:pt>
                <c:pt idx="271">
                  <c:v>-1.896348677761717E-2</c:v>
                </c:pt>
                <c:pt idx="272">
                  <c:v>-1.8856061226734836E-2</c:v>
                </c:pt>
                <c:pt idx="273">
                  <c:v>-1.8747973590155235E-2</c:v>
                </c:pt>
                <c:pt idx="274">
                  <c:v>-1.8639225205132559E-2</c:v>
                </c:pt>
                <c:pt idx="275">
                  <c:v>-1.8529817396431329E-2</c:v>
                </c:pt>
                <c:pt idx="276">
                  <c:v>-1.841975147647382E-2</c:v>
                </c:pt>
                <c:pt idx="277">
                  <c:v>-1.8309028745484832E-2</c:v>
                </c:pt>
                <c:pt idx="278">
                  <c:v>-1.8197650491634323E-2</c:v>
                </c:pt>
                <c:pt idx="279">
                  <c:v>-1.8085617991177839E-2</c:v>
                </c:pt>
                <c:pt idx="280">
                  <c:v>-1.7972932508594774E-2</c:v>
                </c:pt>
                <c:pt idx="281">
                  <c:v>-1.7859595296724512E-2</c:v>
                </c:pt>
                <c:pt idx="282">
                  <c:v>-1.774560759690038E-2</c:v>
                </c:pt>
                <c:pt idx="283">
                  <c:v>-1.7630970639081631E-2</c:v>
                </c:pt>
                <c:pt idx="284">
                  <c:v>-1.7515685641983518E-2</c:v>
                </c:pt>
                <c:pt idx="285">
                  <c:v>-1.7399753813205212E-2</c:v>
                </c:pt>
                <c:pt idx="286">
                  <c:v>-1.7283176349355802E-2</c:v>
                </c:pt>
                <c:pt idx="287">
                  <c:v>-1.7165954436178642E-2</c:v>
                </c:pt>
                <c:pt idx="288">
                  <c:v>-1.7048089248673352E-2</c:v>
                </c:pt>
                <c:pt idx="289">
                  <c:v>-1.6929581951216657E-2</c:v>
                </c:pt>
                <c:pt idx="290">
                  <c:v>-1.6810433697680701E-2</c:v>
                </c:pt>
                <c:pt idx="291">
                  <c:v>-1.669064563155016E-2</c:v>
                </c:pt>
                <c:pt idx="292">
                  <c:v>-1.6570218886037401E-2</c:v>
                </c:pt>
                <c:pt idx="293">
                  <c:v>-1.6449154584195866E-2</c:v>
                </c:pt>
                <c:pt idx="294">
                  <c:v>-1.6327453839031978E-2</c:v>
                </c:pt>
                <c:pt idx="295">
                  <c:v>-1.6205117753615206E-2</c:v>
                </c:pt>
                <c:pt idx="296">
                  <c:v>-1.6082147421186778E-2</c:v>
                </c:pt>
                <c:pt idx="297">
                  <c:v>-1.5958543925266491E-2</c:v>
                </c:pt>
                <c:pt idx="298">
                  <c:v>-1.5834308339758251E-2</c:v>
                </c:pt>
                <c:pt idx="299">
                  <c:v>-1.5709441729053995E-2</c:v>
                </c:pt>
                <c:pt idx="300">
                  <c:v>-1.5583945148136031E-2</c:v>
                </c:pt>
                <c:pt idx="301">
                  <c:v>-1.5457819642677978E-2</c:v>
                </c:pt>
                <c:pt idx="302">
                  <c:v>-1.5331066249144338E-2</c:v>
                </c:pt>
                <c:pt idx="303">
                  <c:v>-1.5203685994888538E-2</c:v>
                </c:pt>
                <c:pt idx="304">
                  <c:v>-1.507567989824962E-2</c:v>
                </c:pt>
                <c:pt idx="305">
                  <c:v>-1.4947048968647502E-2</c:v>
                </c:pt>
                <c:pt idx="306">
                  <c:v>-1.4817794206677089E-2</c:v>
                </c:pt>
                <c:pt idx="307">
                  <c:v>-1.4687916604200775E-2</c:v>
                </c:pt>
                <c:pt idx="308">
                  <c:v>-1.4557417144439888E-2</c:v>
                </c:pt>
                <c:pt idx="309">
                  <c:v>-1.4426296802064791E-2</c:v>
                </c:pt>
                <c:pt idx="310">
                  <c:v>-1.4294556543283571E-2</c:v>
                </c:pt>
                <c:pt idx="311">
                  <c:v>-1.4162197325929786E-2</c:v>
                </c:pt>
                <c:pt idx="312">
                  <c:v>-1.402922009954876E-2</c:v>
                </c:pt>
                <c:pt idx="313">
                  <c:v>-1.3895625805482854E-2</c:v>
                </c:pt>
                <c:pt idx="314">
                  <c:v>-1.3761415376955376E-2</c:v>
                </c:pt>
                <c:pt idx="315">
                  <c:v>-1.362658973915346E-2</c:v>
                </c:pt>
                <c:pt idx="316">
                  <c:v>-1.349114980930999E-2</c:v>
                </c:pt>
                <c:pt idx="317">
                  <c:v>-1.3355096496783896E-2</c:v>
                </c:pt>
                <c:pt idx="318">
                  <c:v>-1.3218430703140041E-2</c:v>
                </c:pt>
                <c:pt idx="319">
                  <c:v>-1.3081153322227481E-2</c:v>
                </c:pt>
                <c:pt idx="320">
                  <c:v>-1.2943265240256813E-2</c:v>
                </c:pt>
                <c:pt idx="321">
                  <c:v>-1.2804767335876745E-2</c:v>
                </c:pt>
                <c:pt idx="322">
                  <c:v>-1.2665660480249251E-2</c:v>
                </c:pt>
                <c:pt idx="323">
                  <c:v>-1.2525945537123951E-2</c:v>
                </c:pt>
                <c:pt idx="324">
                  <c:v>-1.2385623362911598E-2</c:v>
                </c:pt>
                <c:pt idx="325">
                  <c:v>-1.2244694806756169E-2</c:v>
                </c:pt>
                <c:pt idx="326">
                  <c:v>-1.2103160710606565E-2</c:v>
                </c:pt>
                <c:pt idx="327">
                  <c:v>-1.1961021909286931E-2</c:v>
                </c:pt>
                <c:pt idx="328">
                  <c:v>-1.1818279230566249E-2</c:v>
                </c:pt>
                <c:pt idx="329">
                  <c:v>-1.1674933495226957E-2</c:v>
                </c:pt>
                <c:pt idx="330">
                  <c:v>-1.1530985517132736E-2</c:v>
                </c:pt>
                <c:pt idx="331">
                  <c:v>-1.1386436103295329E-2</c:v>
                </c:pt>
                <c:pt idx="332">
                  <c:v>-1.1241286053940525E-2</c:v>
                </c:pt>
                <c:pt idx="333">
                  <c:v>-1.1095536162573399E-2</c:v>
                </c:pt>
                <c:pt idx="334">
                  <c:v>-1.0949187216042456E-2</c:v>
                </c:pt>
                <c:pt idx="335">
                  <c:v>-1.0802239994603245E-2</c:v>
                </c:pt>
                <c:pt idx="336">
                  <c:v>-1.0654695271980997E-2</c:v>
                </c:pt>
                <c:pt idx="337">
                  <c:v>-1.0506553815432381E-2</c:v>
                </c:pt>
                <c:pt idx="338">
                  <c:v>-1.0357816385806736E-2</c:v>
                </c:pt>
                <c:pt idx="339">
                  <c:v>-1.0208483737606277E-2</c:v>
                </c:pt>
                <c:pt idx="340">
                  <c:v>-1.0058556619045601E-2</c:v>
                </c:pt>
                <c:pt idx="341">
                  <c:v>-9.9080357721105499E-3</c:v>
                </c:pt>
                <c:pt idx="342">
                  <c:v>-9.7569219326161926E-3</c:v>
                </c:pt>
                <c:pt idx="343">
                  <c:v>-9.6052158302642153E-3</c:v>
                </c:pt>
                <c:pt idx="344">
                  <c:v>-9.4529181886994652E-3</c:v>
                </c:pt>
                <c:pt idx="345">
                  <c:v>-9.3000297255658275E-3</c:v>
                </c:pt>
                <c:pt idx="346">
                  <c:v>-9.1465511525615061E-3</c:v>
                </c:pt>
                <c:pt idx="347">
                  <c:v>-8.9924831754933671E-3</c:v>
                </c:pt>
                <c:pt idx="348">
                  <c:v>-8.8378264943310882E-3</c:v>
                </c:pt>
                <c:pt idx="349">
                  <c:v>-8.6825818032599793E-3</c:v>
                </c:pt>
                <c:pt idx="350">
                  <c:v>-8.52674979073372E-3</c:v>
                </c:pt>
                <c:pt idx="351">
                  <c:v>-8.3703311395262915E-3</c:v>
                </c:pt>
                <c:pt idx="352">
                  <c:v>-8.2133265267829887E-3</c:v>
                </c:pt>
                <c:pt idx="353">
                  <c:v>-8.0557366240712747E-3</c:v>
                </c:pt>
                <c:pt idx="354">
                  <c:v>-7.8975620974307183E-3</c:v>
                </c:pt>
                <c:pt idx="355">
                  <c:v>-7.7388036074222495E-3</c:v>
                </c:pt>
                <c:pt idx="356">
                  <c:v>-7.5794618091772426E-3</c:v>
                </c:pt>
                <c:pt idx="357">
                  <c:v>-7.4195373524455219E-3</c:v>
                </c:pt>
                <c:pt idx="358">
                  <c:v>-7.2590308816430612E-3</c:v>
                </c:pt>
                <c:pt idx="359">
                  <c:v>-7.0979430358990986E-3</c:v>
                </c:pt>
                <c:pt idx="360">
                  <c:v>-6.9362744491025434E-3</c:v>
                </c:pt>
                <c:pt idx="361">
                  <c:v>-6.7740257499481022E-3</c:v>
                </c:pt>
                <c:pt idx="362">
                  <c:v>-6.6111975619815057E-3</c:v>
                </c:pt>
                <c:pt idx="363">
                  <c:v>-6.4477905036444422E-3</c:v>
                </c:pt>
                <c:pt idx="364">
                  <c:v>-6.2838051883189784E-3</c:v>
                </c:pt>
                <c:pt idx="365">
                  <c:v>-6.1192422243712859E-3</c:v>
                </c:pt>
                <c:pt idx="366">
                  <c:v>-5.9541022151950035E-3</c:v>
                </c:pt>
                <c:pt idx="367">
                  <c:v>-5.7883857592539991E-3</c:v>
                </c:pt>
                <c:pt idx="368">
                  <c:v>-5.6220934501246293E-3</c:v>
                </c:pt>
                <c:pt idx="369">
                  <c:v>-5.455225876537728E-3</c:v>
                </c:pt>
                <c:pt idx="370">
                  <c:v>-5.2877836224197328E-3</c:v>
                </c:pt>
                <c:pt idx="371">
                  <c:v>-5.119767266933575E-3</c:v>
                </c:pt>
                <c:pt idx="372">
                  <c:v>-4.9511773845191797E-3</c:v>
                </c:pt>
                <c:pt idx="373">
                  <c:v>-4.7820145449331639E-3</c:v>
                </c:pt>
                <c:pt idx="374">
                  <c:v>-4.6122793132885257E-3</c:v>
                </c:pt>
                <c:pt idx="375">
                  <c:v>-4.4419722500934353E-3</c:v>
                </c:pt>
                <c:pt idx="376">
                  <c:v>-4.2710939112898718E-3</c:v>
                </c:pt>
                <c:pt idx="377">
                  <c:v>-4.0996448482917601E-3</c:v>
                </c:pt>
                <c:pt idx="378">
                  <c:v>-3.9276256080226953E-3</c:v>
                </c:pt>
                <c:pt idx="379">
                  <c:v>-3.7550367329530748E-3</c:v>
                </c:pt>
                <c:pt idx="380">
                  <c:v>-3.5818787611370485E-3</c:v>
                </c:pt>
                <c:pt idx="381">
                  <c:v>-3.4081522262487699E-3</c:v>
                </c:pt>
                <c:pt idx="382">
                  <c:v>-3.2338576576187278E-3</c:v>
                </c:pt>
                <c:pt idx="383">
                  <c:v>-3.0589955802689797E-3</c:v>
                </c:pt>
                <c:pt idx="384">
                  <c:v>-2.8835665149486156E-3</c:v>
                </c:pt>
                <c:pt idx="385">
                  <c:v>-2.7075709781685456E-3</c:v>
                </c:pt>
                <c:pt idx="386">
                  <c:v>-2.531009482235792E-3</c:v>
                </c:pt>
                <c:pt idx="387">
                  <c:v>-2.3538825352876725E-3</c:v>
                </c:pt>
                <c:pt idx="388">
                  <c:v>-2.1761906413255237E-3</c:v>
                </c:pt>
                <c:pt idx="389">
                  <c:v>-1.9979343002477865E-3</c:v>
                </c:pt>
                <c:pt idx="390">
                  <c:v>-1.8191140078831136E-3</c:v>
                </c:pt>
                <c:pt idx="391">
                  <c:v>-1.639730256022954E-3</c:v>
                </c:pt>
                <c:pt idx="392">
                  <c:v>-1.4597835324537142E-3</c:v>
                </c:pt>
                <c:pt idx="393">
                  <c:v>-1.2792743209885592E-3</c:v>
                </c:pt>
                <c:pt idx="394">
                  <c:v>-1.0982031014991039E-3</c:v>
                </c:pt>
                <c:pt idx="395">
                  <c:v>-9.165703499464503E-4</c:v>
                </c:pt>
                <c:pt idx="396">
                  <c:v>-7.3437653841204348E-4</c:v>
                </c:pt>
                <c:pt idx="397">
                  <c:v>-5.5162213512834979E-4</c:v>
                </c:pt>
                <c:pt idx="398">
                  <c:v>-3.6830760450873995E-4</c:v>
                </c:pt>
                <c:pt idx="399">
                  <c:v>-1.8443340717759228E-4</c:v>
                </c:pt>
                <c:pt idx="400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'xVA Calculations'!$W$29</c:f>
              <c:strCache>
                <c:ptCount val="1"/>
                <c:pt idx="0">
                  <c:v>EE (collateralised)</c:v>
                </c:pt>
              </c:strCache>
            </c:strRef>
          </c:tx>
          <c:marker>
            <c:symbol val="none"/>
          </c:marker>
          <c:xVal>
            <c:numRef>
              <c:f>'xVA Calculations'!$N$30:$N$430</c:f>
              <c:numCache>
                <c:formatCode>0.00</c:formatCode>
                <c:ptCount val="401"/>
                <c:pt idx="0">
                  <c:v>8.7500000000000008E-3</c:v>
                </c:pt>
                <c:pt idx="1">
                  <c:v>1.7500000000000002E-2</c:v>
                </c:pt>
                <c:pt idx="2">
                  <c:v>3.5000000000000003E-2</c:v>
                </c:pt>
                <c:pt idx="3">
                  <c:v>5.2500000000000005E-2</c:v>
                </c:pt>
                <c:pt idx="4">
                  <c:v>7.0000000000000007E-2</c:v>
                </c:pt>
                <c:pt idx="5">
                  <c:v>8.7500000000000008E-2</c:v>
                </c:pt>
                <c:pt idx="6">
                  <c:v>0.10500000000000001</c:v>
                </c:pt>
                <c:pt idx="7">
                  <c:v>0.12250000000000001</c:v>
                </c:pt>
                <c:pt idx="8">
                  <c:v>0.14000000000000001</c:v>
                </c:pt>
                <c:pt idx="9">
                  <c:v>0.15750000000000003</c:v>
                </c:pt>
                <c:pt idx="10">
                  <c:v>0.17500000000000004</c:v>
                </c:pt>
                <c:pt idx="11">
                  <c:v>0.19250000000000006</c:v>
                </c:pt>
                <c:pt idx="12">
                  <c:v>0.21000000000000008</c:v>
                </c:pt>
                <c:pt idx="13">
                  <c:v>0.22750000000000009</c:v>
                </c:pt>
                <c:pt idx="14">
                  <c:v>0.24500000000000011</c:v>
                </c:pt>
                <c:pt idx="15">
                  <c:v>0.26250000000000012</c:v>
                </c:pt>
                <c:pt idx="16">
                  <c:v>0.28000000000000014</c:v>
                </c:pt>
                <c:pt idx="17">
                  <c:v>0.29750000000000015</c:v>
                </c:pt>
                <c:pt idx="18">
                  <c:v>0.31500000000000017</c:v>
                </c:pt>
                <c:pt idx="19">
                  <c:v>0.33250000000000018</c:v>
                </c:pt>
                <c:pt idx="20">
                  <c:v>0.3500000000000002</c:v>
                </c:pt>
                <c:pt idx="21">
                  <c:v>0.36750000000000022</c:v>
                </c:pt>
                <c:pt idx="22">
                  <c:v>0.38500000000000023</c:v>
                </c:pt>
                <c:pt idx="23">
                  <c:v>0.40250000000000025</c:v>
                </c:pt>
                <c:pt idx="24">
                  <c:v>0.42000000000000026</c:v>
                </c:pt>
                <c:pt idx="25">
                  <c:v>0.43750000000000028</c:v>
                </c:pt>
                <c:pt idx="26">
                  <c:v>0.45500000000000029</c:v>
                </c:pt>
                <c:pt idx="27">
                  <c:v>0.47250000000000031</c:v>
                </c:pt>
                <c:pt idx="28">
                  <c:v>0.49000000000000032</c:v>
                </c:pt>
                <c:pt idx="29">
                  <c:v>0.50750000000000028</c:v>
                </c:pt>
                <c:pt idx="30">
                  <c:v>0.52500000000000024</c:v>
                </c:pt>
                <c:pt idx="31">
                  <c:v>0.5425000000000002</c:v>
                </c:pt>
                <c:pt idx="32">
                  <c:v>0.56000000000000016</c:v>
                </c:pt>
                <c:pt idx="33">
                  <c:v>0.57750000000000012</c:v>
                </c:pt>
                <c:pt idx="34">
                  <c:v>0.59500000000000008</c:v>
                </c:pt>
                <c:pt idx="35">
                  <c:v>0.61250000000000004</c:v>
                </c:pt>
                <c:pt idx="36">
                  <c:v>0.63</c:v>
                </c:pt>
                <c:pt idx="37">
                  <c:v>0.64749999999999996</c:v>
                </c:pt>
                <c:pt idx="38">
                  <c:v>0.66499999999999992</c:v>
                </c:pt>
                <c:pt idx="39">
                  <c:v>0.68249999999999988</c:v>
                </c:pt>
                <c:pt idx="40">
                  <c:v>0.69999999999999984</c:v>
                </c:pt>
                <c:pt idx="41">
                  <c:v>0.7174999999999998</c:v>
                </c:pt>
                <c:pt idx="42">
                  <c:v>0.73499999999999976</c:v>
                </c:pt>
                <c:pt idx="43">
                  <c:v>0.75249999999999972</c:v>
                </c:pt>
                <c:pt idx="44">
                  <c:v>0.76999999999999968</c:v>
                </c:pt>
                <c:pt idx="45">
                  <c:v>0.78749999999999964</c:v>
                </c:pt>
                <c:pt idx="46">
                  <c:v>0.8049999999999996</c:v>
                </c:pt>
                <c:pt idx="47">
                  <c:v>0.82249999999999956</c:v>
                </c:pt>
                <c:pt idx="48">
                  <c:v>0.83999999999999952</c:v>
                </c:pt>
                <c:pt idx="49">
                  <c:v>0.85749999999999948</c:v>
                </c:pt>
                <c:pt idx="50">
                  <c:v>0.87499999999999944</c:v>
                </c:pt>
                <c:pt idx="51">
                  <c:v>0.8924999999999994</c:v>
                </c:pt>
                <c:pt idx="52">
                  <c:v>0.90999999999999936</c:v>
                </c:pt>
                <c:pt idx="53">
                  <c:v>0.92749999999999932</c:v>
                </c:pt>
                <c:pt idx="54">
                  <c:v>0.94499999999999929</c:v>
                </c:pt>
                <c:pt idx="55">
                  <c:v>0.96249999999999925</c:v>
                </c:pt>
                <c:pt idx="56">
                  <c:v>0.97999999999999921</c:v>
                </c:pt>
                <c:pt idx="57">
                  <c:v>0.99749999999999917</c:v>
                </c:pt>
                <c:pt idx="58">
                  <c:v>1.0149999999999992</c:v>
                </c:pt>
                <c:pt idx="59">
                  <c:v>1.0324999999999993</c:v>
                </c:pt>
                <c:pt idx="60">
                  <c:v>1.0499999999999994</c:v>
                </c:pt>
                <c:pt idx="61">
                  <c:v>1.0674999999999994</c:v>
                </c:pt>
                <c:pt idx="62">
                  <c:v>1.0849999999999995</c:v>
                </c:pt>
                <c:pt idx="63">
                  <c:v>1.1024999999999996</c:v>
                </c:pt>
                <c:pt idx="64">
                  <c:v>1.1199999999999997</c:v>
                </c:pt>
                <c:pt idx="65">
                  <c:v>1.1374999999999997</c:v>
                </c:pt>
                <c:pt idx="66">
                  <c:v>1.1549999999999998</c:v>
                </c:pt>
                <c:pt idx="67">
                  <c:v>1.1724999999999999</c:v>
                </c:pt>
                <c:pt idx="68">
                  <c:v>1.19</c:v>
                </c:pt>
                <c:pt idx="69">
                  <c:v>1.2075</c:v>
                </c:pt>
                <c:pt idx="70">
                  <c:v>1.2250000000000001</c:v>
                </c:pt>
                <c:pt idx="71">
                  <c:v>1.2425000000000002</c:v>
                </c:pt>
                <c:pt idx="72">
                  <c:v>1.2600000000000002</c:v>
                </c:pt>
                <c:pt idx="73">
                  <c:v>1.2775000000000003</c:v>
                </c:pt>
                <c:pt idx="74">
                  <c:v>1.2950000000000004</c:v>
                </c:pt>
                <c:pt idx="75">
                  <c:v>1.3125000000000004</c:v>
                </c:pt>
                <c:pt idx="76">
                  <c:v>1.3300000000000005</c:v>
                </c:pt>
                <c:pt idx="77">
                  <c:v>1.3475000000000006</c:v>
                </c:pt>
                <c:pt idx="78">
                  <c:v>1.3650000000000007</c:v>
                </c:pt>
                <c:pt idx="79">
                  <c:v>1.3825000000000007</c:v>
                </c:pt>
                <c:pt idx="80">
                  <c:v>1.4000000000000008</c:v>
                </c:pt>
                <c:pt idx="81">
                  <c:v>1.4175000000000009</c:v>
                </c:pt>
                <c:pt idx="82">
                  <c:v>1.4350000000000009</c:v>
                </c:pt>
                <c:pt idx="83">
                  <c:v>1.452500000000001</c:v>
                </c:pt>
                <c:pt idx="84">
                  <c:v>1.4700000000000011</c:v>
                </c:pt>
                <c:pt idx="85">
                  <c:v>1.4875000000000012</c:v>
                </c:pt>
                <c:pt idx="86">
                  <c:v>1.5050000000000012</c:v>
                </c:pt>
                <c:pt idx="87">
                  <c:v>1.5225000000000013</c:v>
                </c:pt>
                <c:pt idx="88">
                  <c:v>1.5400000000000014</c:v>
                </c:pt>
                <c:pt idx="89">
                  <c:v>1.5575000000000014</c:v>
                </c:pt>
                <c:pt idx="90">
                  <c:v>1.5750000000000015</c:v>
                </c:pt>
                <c:pt idx="91">
                  <c:v>1.5925000000000016</c:v>
                </c:pt>
                <c:pt idx="92">
                  <c:v>1.6100000000000017</c:v>
                </c:pt>
                <c:pt idx="93">
                  <c:v>1.6275000000000017</c:v>
                </c:pt>
                <c:pt idx="94">
                  <c:v>1.6450000000000018</c:v>
                </c:pt>
                <c:pt idx="95">
                  <c:v>1.6625000000000019</c:v>
                </c:pt>
                <c:pt idx="96">
                  <c:v>1.6800000000000019</c:v>
                </c:pt>
                <c:pt idx="97">
                  <c:v>1.697500000000002</c:v>
                </c:pt>
                <c:pt idx="98">
                  <c:v>1.7150000000000021</c:v>
                </c:pt>
                <c:pt idx="99">
                  <c:v>1.7325000000000021</c:v>
                </c:pt>
                <c:pt idx="100">
                  <c:v>1.7500000000000022</c:v>
                </c:pt>
                <c:pt idx="101">
                  <c:v>1.7675000000000023</c:v>
                </c:pt>
                <c:pt idx="102">
                  <c:v>1.7850000000000024</c:v>
                </c:pt>
                <c:pt idx="103">
                  <c:v>1.8025000000000024</c:v>
                </c:pt>
                <c:pt idx="104">
                  <c:v>1.8200000000000025</c:v>
                </c:pt>
                <c:pt idx="105">
                  <c:v>1.8375000000000026</c:v>
                </c:pt>
                <c:pt idx="106">
                  <c:v>1.8550000000000026</c:v>
                </c:pt>
                <c:pt idx="107">
                  <c:v>1.8725000000000027</c:v>
                </c:pt>
                <c:pt idx="108">
                  <c:v>1.8900000000000028</c:v>
                </c:pt>
                <c:pt idx="109">
                  <c:v>1.9075000000000029</c:v>
                </c:pt>
                <c:pt idx="110">
                  <c:v>1.9250000000000029</c:v>
                </c:pt>
                <c:pt idx="111">
                  <c:v>1.942500000000003</c:v>
                </c:pt>
                <c:pt idx="112">
                  <c:v>1.9600000000000031</c:v>
                </c:pt>
                <c:pt idx="113">
                  <c:v>1.9775000000000031</c:v>
                </c:pt>
                <c:pt idx="114">
                  <c:v>1.9950000000000032</c:v>
                </c:pt>
                <c:pt idx="115">
                  <c:v>2.0125000000000033</c:v>
                </c:pt>
                <c:pt idx="116">
                  <c:v>2.0300000000000034</c:v>
                </c:pt>
                <c:pt idx="117">
                  <c:v>2.0475000000000034</c:v>
                </c:pt>
                <c:pt idx="118">
                  <c:v>2.0650000000000035</c:v>
                </c:pt>
                <c:pt idx="119">
                  <c:v>2.0825000000000036</c:v>
                </c:pt>
                <c:pt idx="120">
                  <c:v>2.1000000000000036</c:v>
                </c:pt>
                <c:pt idx="121">
                  <c:v>2.1175000000000037</c:v>
                </c:pt>
                <c:pt idx="122">
                  <c:v>2.1350000000000038</c:v>
                </c:pt>
                <c:pt idx="123">
                  <c:v>2.1525000000000039</c:v>
                </c:pt>
                <c:pt idx="124">
                  <c:v>2.1700000000000039</c:v>
                </c:pt>
                <c:pt idx="125">
                  <c:v>2.187500000000004</c:v>
                </c:pt>
                <c:pt idx="126">
                  <c:v>2.2050000000000041</c:v>
                </c:pt>
                <c:pt idx="127">
                  <c:v>2.2225000000000041</c:v>
                </c:pt>
                <c:pt idx="128">
                  <c:v>2.2400000000000042</c:v>
                </c:pt>
                <c:pt idx="129">
                  <c:v>2.2575000000000043</c:v>
                </c:pt>
                <c:pt idx="130">
                  <c:v>2.2750000000000044</c:v>
                </c:pt>
                <c:pt idx="131">
                  <c:v>2.2925000000000044</c:v>
                </c:pt>
                <c:pt idx="132">
                  <c:v>2.3100000000000045</c:v>
                </c:pt>
                <c:pt idx="133">
                  <c:v>2.3275000000000046</c:v>
                </c:pt>
                <c:pt idx="134">
                  <c:v>2.3450000000000046</c:v>
                </c:pt>
                <c:pt idx="135">
                  <c:v>2.3625000000000047</c:v>
                </c:pt>
                <c:pt idx="136">
                  <c:v>2.3800000000000048</c:v>
                </c:pt>
                <c:pt idx="137">
                  <c:v>2.3975000000000048</c:v>
                </c:pt>
                <c:pt idx="138">
                  <c:v>2.4150000000000049</c:v>
                </c:pt>
                <c:pt idx="139">
                  <c:v>2.432500000000005</c:v>
                </c:pt>
                <c:pt idx="140">
                  <c:v>2.4500000000000051</c:v>
                </c:pt>
                <c:pt idx="141">
                  <c:v>2.4675000000000051</c:v>
                </c:pt>
                <c:pt idx="142">
                  <c:v>2.4850000000000052</c:v>
                </c:pt>
                <c:pt idx="143">
                  <c:v>2.5025000000000053</c:v>
                </c:pt>
                <c:pt idx="144">
                  <c:v>2.5200000000000053</c:v>
                </c:pt>
                <c:pt idx="145">
                  <c:v>2.5375000000000054</c:v>
                </c:pt>
                <c:pt idx="146">
                  <c:v>2.5550000000000055</c:v>
                </c:pt>
                <c:pt idx="147">
                  <c:v>2.5725000000000056</c:v>
                </c:pt>
                <c:pt idx="148">
                  <c:v>2.5900000000000056</c:v>
                </c:pt>
                <c:pt idx="149">
                  <c:v>2.6075000000000057</c:v>
                </c:pt>
                <c:pt idx="150">
                  <c:v>2.6250000000000058</c:v>
                </c:pt>
                <c:pt idx="151">
                  <c:v>2.6425000000000058</c:v>
                </c:pt>
                <c:pt idx="152">
                  <c:v>2.6600000000000059</c:v>
                </c:pt>
                <c:pt idx="153">
                  <c:v>2.677500000000006</c:v>
                </c:pt>
                <c:pt idx="154">
                  <c:v>2.6950000000000061</c:v>
                </c:pt>
                <c:pt idx="155">
                  <c:v>2.7125000000000061</c:v>
                </c:pt>
                <c:pt idx="156">
                  <c:v>2.7300000000000062</c:v>
                </c:pt>
                <c:pt idx="157">
                  <c:v>2.7475000000000063</c:v>
                </c:pt>
                <c:pt idx="158">
                  <c:v>2.7650000000000063</c:v>
                </c:pt>
                <c:pt idx="159">
                  <c:v>2.7825000000000064</c:v>
                </c:pt>
                <c:pt idx="160">
                  <c:v>2.8000000000000065</c:v>
                </c:pt>
                <c:pt idx="161">
                  <c:v>2.8175000000000066</c:v>
                </c:pt>
                <c:pt idx="162">
                  <c:v>2.8350000000000066</c:v>
                </c:pt>
                <c:pt idx="163">
                  <c:v>2.8525000000000067</c:v>
                </c:pt>
                <c:pt idx="164">
                  <c:v>2.8700000000000068</c:v>
                </c:pt>
                <c:pt idx="165">
                  <c:v>2.8875000000000068</c:v>
                </c:pt>
                <c:pt idx="166">
                  <c:v>2.9050000000000069</c:v>
                </c:pt>
                <c:pt idx="167">
                  <c:v>2.922500000000007</c:v>
                </c:pt>
                <c:pt idx="168">
                  <c:v>2.9400000000000071</c:v>
                </c:pt>
                <c:pt idx="169">
                  <c:v>2.9575000000000071</c:v>
                </c:pt>
                <c:pt idx="170">
                  <c:v>2.9750000000000072</c:v>
                </c:pt>
                <c:pt idx="171">
                  <c:v>2.9925000000000073</c:v>
                </c:pt>
                <c:pt idx="172">
                  <c:v>3.0100000000000073</c:v>
                </c:pt>
                <c:pt idx="173">
                  <c:v>3.0275000000000074</c:v>
                </c:pt>
                <c:pt idx="174">
                  <c:v>3.0450000000000075</c:v>
                </c:pt>
                <c:pt idx="175">
                  <c:v>3.0625000000000075</c:v>
                </c:pt>
                <c:pt idx="176">
                  <c:v>3.0800000000000076</c:v>
                </c:pt>
                <c:pt idx="177">
                  <c:v>3.0975000000000077</c:v>
                </c:pt>
                <c:pt idx="178">
                  <c:v>3.1150000000000078</c:v>
                </c:pt>
                <c:pt idx="179">
                  <c:v>3.1325000000000078</c:v>
                </c:pt>
                <c:pt idx="180">
                  <c:v>3.1500000000000079</c:v>
                </c:pt>
                <c:pt idx="181">
                  <c:v>3.167500000000008</c:v>
                </c:pt>
                <c:pt idx="182">
                  <c:v>3.185000000000008</c:v>
                </c:pt>
                <c:pt idx="183">
                  <c:v>3.2025000000000081</c:v>
                </c:pt>
                <c:pt idx="184">
                  <c:v>3.2200000000000082</c:v>
                </c:pt>
                <c:pt idx="185">
                  <c:v>3.2375000000000083</c:v>
                </c:pt>
                <c:pt idx="186">
                  <c:v>3.2550000000000083</c:v>
                </c:pt>
                <c:pt idx="187">
                  <c:v>3.2725000000000084</c:v>
                </c:pt>
                <c:pt idx="188">
                  <c:v>3.2900000000000085</c:v>
                </c:pt>
                <c:pt idx="189">
                  <c:v>3.3075000000000085</c:v>
                </c:pt>
                <c:pt idx="190">
                  <c:v>3.3250000000000086</c:v>
                </c:pt>
                <c:pt idx="191">
                  <c:v>3.3425000000000087</c:v>
                </c:pt>
                <c:pt idx="192">
                  <c:v>3.3600000000000088</c:v>
                </c:pt>
                <c:pt idx="193">
                  <c:v>3.3775000000000088</c:v>
                </c:pt>
                <c:pt idx="194">
                  <c:v>3.3950000000000089</c:v>
                </c:pt>
                <c:pt idx="195">
                  <c:v>3.412500000000009</c:v>
                </c:pt>
                <c:pt idx="196">
                  <c:v>3.430000000000009</c:v>
                </c:pt>
                <c:pt idx="197">
                  <c:v>3.4475000000000091</c:v>
                </c:pt>
                <c:pt idx="198">
                  <c:v>3.4650000000000092</c:v>
                </c:pt>
                <c:pt idx="199">
                  <c:v>3.4825000000000093</c:v>
                </c:pt>
                <c:pt idx="200">
                  <c:v>3.5000000000000093</c:v>
                </c:pt>
                <c:pt idx="201">
                  <c:v>3.5175000000000094</c:v>
                </c:pt>
                <c:pt idx="202">
                  <c:v>3.5350000000000095</c:v>
                </c:pt>
                <c:pt idx="203">
                  <c:v>3.5525000000000095</c:v>
                </c:pt>
                <c:pt idx="204">
                  <c:v>3.5700000000000096</c:v>
                </c:pt>
                <c:pt idx="205">
                  <c:v>3.5875000000000097</c:v>
                </c:pt>
                <c:pt idx="206">
                  <c:v>3.6050000000000098</c:v>
                </c:pt>
                <c:pt idx="207">
                  <c:v>3.6225000000000098</c:v>
                </c:pt>
                <c:pt idx="208">
                  <c:v>3.6400000000000099</c:v>
                </c:pt>
                <c:pt idx="209">
                  <c:v>3.65750000000001</c:v>
                </c:pt>
                <c:pt idx="210">
                  <c:v>3.67500000000001</c:v>
                </c:pt>
                <c:pt idx="211">
                  <c:v>3.6925000000000101</c:v>
                </c:pt>
                <c:pt idx="212">
                  <c:v>3.7100000000000102</c:v>
                </c:pt>
                <c:pt idx="213">
                  <c:v>3.7275000000000102</c:v>
                </c:pt>
                <c:pt idx="214">
                  <c:v>3.7450000000000103</c:v>
                </c:pt>
                <c:pt idx="215">
                  <c:v>3.7625000000000104</c:v>
                </c:pt>
                <c:pt idx="216">
                  <c:v>3.7800000000000105</c:v>
                </c:pt>
                <c:pt idx="217">
                  <c:v>3.7975000000000105</c:v>
                </c:pt>
                <c:pt idx="218">
                  <c:v>3.8150000000000106</c:v>
                </c:pt>
                <c:pt idx="219">
                  <c:v>3.8325000000000107</c:v>
                </c:pt>
                <c:pt idx="220">
                  <c:v>3.8500000000000107</c:v>
                </c:pt>
                <c:pt idx="221">
                  <c:v>3.8675000000000108</c:v>
                </c:pt>
                <c:pt idx="222">
                  <c:v>3.8850000000000109</c:v>
                </c:pt>
                <c:pt idx="223">
                  <c:v>3.902500000000011</c:v>
                </c:pt>
                <c:pt idx="224">
                  <c:v>3.920000000000011</c:v>
                </c:pt>
                <c:pt idx="225">
                  <c:v>3.9375000000000111</c:v>
                </c:pt>
                <c:pt idx="226">
                  <c:v>3.9550000000000112</c:v>
                </c:pt>
                <c:pt idx="227">
                  <c:v>3.9725000000000112</c:v>
                </c:pt>
                <c:pt idx="228">
                  <c:v>3.9900000000000113</c:v>
                </c:pt>
                <c:pt idx="229">
                  <c:v>4.0075000000000109</c:v>
                </c:pt>
                <c:pt idx="230">
                  <c:v>4.025000000000011</c:v>
                </c:pt>
                <c:pt idx="231">
                  <c:v>4.0425000000000111</c:v>
                </c:pt>
                <c:pt idx="232">
                  <c:v>4.0600000000000112</c:v>
                </c:pt>
                <c:pt idx="233">
                  <c:v>4.0775000000000112</c:v>
                </c:pt>
                <c:pt idx="234">
                  <c:v>4.0950000000000113</c:v>
                </c:pt>
                <c:pt idx="235">
                  <c:v>4.1125000000000114</c:v>
                </c:pt>
                <c:pt idx="236">
                  <c:v>4.1300000000000114</c:v>
                </c:pt>
                <c:pt idx="237">
                  <c:v>4.1475000000000115</c:v>
                </c:pt>
                <c:pt idx="238">
                  <c:v>4.1650000000000116</c:v>
                </c:pt>
                <c:pt idx="239">
                  <c:v>4.1825000000000117</c:v>
                </c:pt>
                <c:pt idx="240">
                  <c:v>4.2000000000000117</c:v>
                </c:pt>
                <c:pt idx="241">
                  <c:v>4.2175000000000118</c:v>
                </c:pt>
                <c:pt idx="242">
                  <c:v>4.2350000000000119</c:v>
                </c:pt>
                <c:pt idx="243">
                  <c:v>4.2525000000000119</c:v>
                </c:pt>
                <c:pt idx="244">
                  <c:v>4.270000000000012</c:v>
                </c:pt>
                <c:pt idx="245">
                  <c:v>4.2875000000000121</c:v>
                </c:pt>
                <c:pt idx="246">
                  <c:v>4.3050000000000122</c:v>
                </c:pt>
                <c:pt idx="247">
                  <c:v>4.3225000000000122</c:v>
                </c:pt>
                <c:pt idx="248">
                  <c:v>4.3400000000000123</c:v>
                </c:pt>
                <c:pt idx="249">
                  <c:v>4.3575000000000124</c:v>
                </c:pt>
                <c:pt idx="250">
                  <c:v>4.3750000000000124</c:v>
                </c:pt>
                <c:pt idx="251">
                  <c:v>4.3925000000000125</c:v>
                </c:pt>
                <c:pt idx="252">
                  <c:v>4.4100000000000126</c:v>
                </c:pt>
                <c:pt idx="253">
                  <c:v>4.4275000000000126</c:v>
                </c:pt>
                <c:pt idx="254">
                  <c:v>4.4450000000000127</c:v>
                </c:pt>
                <c:pt idx="255">
                  <c:v>4.4625000000000128</c:v>
                </c:pt>
                <c:pt idx="256">
                  <c:v>4.4800000000000129</c:v>
                </c:pt>
                <c:pt idx="257">
                  <c:v>4.4975000000000129</c:v>
                </c:pt>
                <c:pt idx="258">
                  <c:v>4.515000000000013</c:v>
                </c:pt>
                <c:pt idx="259">
                  <c:v>4.5325000000000131</c:v>
                </c:pt>
                <c:pt idx="260">
                  <c:v>4.5500000000000131</c:v>
                </c:pt>
                <c:pt idx="261">
                  <c:v>4.5675000000000132</c:v>
                </c:pt>
                <c:pt idx="262">
                  <c:v>4.5850000000000133</c:v>
                </c:pt>
                <c:pt idx="263">
                  <c:v>4.6025000000000134</c:v>
                </c:pt>
                <c:pt idx="264">
                  <c:v>4.6200000000000134</c:v>
                </c:pt>
                <c:pt idx="265">
                  <c:v>4.6375000000000135</c:v>
                </c:pt>
                <c:pt idx="266">
                  <c:v>4.6550000000000136</c:v>
                </c:pt>
                <c:pt idx="267">
                  <c:v>4.6725000000000136</c:v>
                </c:pt>
                <c:pt idx="268">
                  <c:v>4.6900000000000137</c:v>
                </c:pt>
                <c:pt idx="269">
                  <c:v>4.7075000000000138</c:v>
                </c:pt>
                <c:pt idx="270">
                  <c:v>4.7250000000000139</c:v>
                </c:pt>
                <c:pt idx="271">
                  <c:v>4.7425000000000139</c:v>
                </c:pt>
                <c:pt idx="272">
                  <c:v>4.760000000000014</c:v>
                </c:pt>
                <c:pt idx="273">
                  <c:v>4.7775000000000141</c:v>
                </c:pt>
                <c:pt idx="274">
                  <c:v>4.7950000000000141</c:v>
                </c:pt>
                <c:pt idx="275">
                  <c:v>4.8125000000000142</c:v>
                </c:pt>
                <c:pt idx="276">
                  <c:v>4.8300000000000143</c:v>
                </c:pt>
                <c:pt idx="277">
                  <c:v>4.8475000000000144</c:v>
                </c:pt>
                <c:pt idx="278">
                  <c:v>4.8650000000000144</c:v>
                </c:pt>
                <c:pt idx="279">
                  <c:v>4.8825000000000145</c:v>
                </c:pt>
                <c:pt idx="280">
                  <c:v>4.9000000000000146</c:v>
                </c:pt>
                <c:pt idx="281">
                  <c:v>4.9175000000000146</c:v>
                </c:pt>
                <c:pt idx="282">
                  <c:v>4.9350000000000147</c:v>
                </c:pt>
                <c:pt idx="283">
                  <c:v>4.9525000000000148</c:v>
                </c:pt>
                <c:pt idx="284">
                  <c:v>4.9700000000000149</c:v>
                </c:pt>
                <c:pt idx="285">
                  <c:v>4.9875000000000149</c:v>
                </c:pt>
                <c:pt idx="286">
                  <c:v>5.005000000000015</c:v>
                </c:pt>
                <c:pt idx="287">
                  <c:v>5.0225000000000151</c:v>
                </c:pt>
                <c:pt idx="288">
                  <c:v>5.0400000000000151</c:v>
                </c:pt>
                <c:pt idx="289">
                  <c:v>5.0575000000000152</c:v>
                </c:pt>
                <c:pt idx="290">
                  <c:v>5.0750000000000153</c:v>
                </c:pt>
                <c:pt idx="291">
                  <c:v>5.0925000000000153</c:v>
                </c:pt>
                <c:pt idx="292">
                  <c:v>5.1100000000000154</c:v>
                </c:pt>
                <c:pt idx="293">
                  <c:v>5.1275000000000155</c:v>
                </c:pt>
                <c:pt idx="294">
                  <c:v>5.1450000000000156</c:v>
                </c:pt>
                <c:pt idx="295">
                  <c:v>5.1625000000000156</c:v>
                </c:pt>
                <c:pt idx="296">
                  <c:v>5.1800000000000157</c:v>
                </c:pt>
                <c:pt idx="297">
                  <c:v>5.1975000000000158</c:v>
                </c:pt>
                <c:pt idx="298">
                  <c:v>5.2150000000000158</c:v>
                </c:pt>
                <c:pt idx="299">
                  <c:v>5.2325000000000159</c:v>
                </c:pt>
                <c:pt idx="300">
                  <c:v>5.250000000000016</c:v>
                </c:pt>
                <c:pt idx="301">
                  <c:v>5.2675000000000161</c:v>
                </c:pt>
                <c:pt idx="302">
                  <c:v>5.2850000000000161</c:v>
                </c:pt>
                <c:pt idx="303">
                  <c:v>5.3025000000000162</c:v>
                </c:pt>
                <c:pt idx="304">
                  <c:v>5.3200000000000163</c:v>
                </c:pt>
                <c:pt idx="305">
                  <c:v>5.3375000000000163</c:v>
                </c:pt>
                <c:pt idx="306">
                  <c:v>5.3550000000000164</c:v>
                </c:pt>
                <c:pt idx="307">
                  <c:v>5.3725000000000165</c:v>
                </c:pt>
                <c:pt idx="308">
                  <c:v>5.3900000000000166</c:v>
                </c:pt>
                <c:pt idx="309">
                  <c:v>5.4075000000000166</c:v>
                </c:pt>
                <c:pt idx="310">
                  <c:v>5.4250000000000167</c:v>
                </c:pt>
                <c:pt idx="311">
                  <c:v>5.4425000000000168</c:v>
                </c:pt>
                <c:pt idx="312">
                  <c:v>5.4600000000000168</c:v>
                </c:pt>
                <c:pt idx="313">
                  <c:v>5.4775000000000169</c:v>
                </c:pt>
                <c:pt idx="314">
                  <c:v>5.495000000000017</c:v>
                </c:pt>
                <c:pt idx="315">
                  <c:v>5.5125000000000171</c:v>
                </c:pt>
                <c:pt idx="316">
                  <c:v>5.5300000000000171</c:v>
                </c:pt>
                <c:pt idx="317">
                  <c:v>5.5475000000000172</c:v>
                </c:pt>
                <c:pt idx="318">
                  <c:v>5.5650000000000173</c:v>
                </c:pt>
                <c:pt idx="319">
                  <c:v>5.5825000000000173</c:v>
                </c:pt>
                <c:pt idx="320">
                  <c:v>5.6000000000000174</c:v>
                </c:pt>
                <c:pt idx="321">
                  <c:v>5.6175000000000175</c:v>
                </c:pt>
                <c:pt idx="322">
                  <c:v>5.6350000000000176</c:v>
                </c:pt>
                <c:pt idx="323">
                  <c:v>5.6525000000000176</c:v>
                </c:pt>
                <c:pt idx="324">
                  <c:v>5.6700000000000177</c:v>
                </c:pt>
                <c:pt idx="325">
                  <c:v>5.6875000000000178</c:v>
                </c:pt>
                <c:pt idx="326">
                  <c:v>5.7050000000000178</c:v>
                </c:pt>
                <c:pt idx="327">
                  <c:v>5.7225000000000179</c:v>
                </c:pt>
                <c:pt idx="328">
                  <c:v>5.740000000000018</c:v>
                </c:pt>
                <c:pt idx="329">
                  <c:v>5.757500000000018</c:v>
                </c:pt>
                <c:pt idx="330">
                  <c:v>5.7750000000000181</c:v>
                </c:pt>
                <c:pt idx="331">
                  <c:v>5.7925000000000182</c:v>
                </c:pt>
                <c:pt idx="332">
                  <c:v>5.8100000000000183</c:v>
                </c:pt>
                <c:pt idx="333">
                  <c:v>5.8275000000000183</c:v>
                </c:pt>
                <c:pt idx="334">
                  <c:v>5.8450000000000184</c:v>
                </c:pt>
                <c:pt idx="335">
                  <c:v>5.8625000000000185</c:v>
                </c:pt>
                <c:pt idx="336">
                  <c:v>5.8800000000000185</c:v>
                </c:pt>
                <c:pt idx="337">
                  <c:v>5.8975000000000186</c:v>
                </c:pt>
                <c:pt idx="338">
                  <c:v>5.9150000000000187</c:v>
                </c:pt>
                <c:pt idx="339">
                  <c:v>5.9325000000000188</c:v>
                </c:pt>
                <c:pt idx="340">
                  <c:v>5.9500000000000188</c:v>
                </c:pt>
                <c:pt idx="341">
                  <c:v>5.9675000000000189</c:v>
                </c:pt>
                <c:pt idx="342">
                  <c:v>5.985000000000019</c:v>
                </c:pt>
                <c:pt idx="343">
                  <c:v>6.002500000000019</c:v>
                </c:pt>
                <c:pt idx="344">
                  <c:v>6.0200000000000191</c:v>
                </c:pt>
                <c:pt idx="345">
                  <c:v>6.0375000000000192</c:v>
                </c:pt>
                <c:pt idx="346">
                  <c:v>6.0550000000000193</c:v>
                </c:pt>
                <c:pt idx="347">
                  <c:v>6.0725000000000193</c:v>
                </c:pt>
                <c:pt idx="348">
                  <c:v>6.0900000000000194</c:v>
                </c:pt>
                <c:pt idx="349">
                  <c:v>6.1075000000000195</c:v>
                </c:pt>
                <c:pt idx="350">
                  <c:v>6.1250000000000195</c:v>
                </c:pt>
                <c:pt idx="351">
                  <c:v>6.1425000000000196</c:v>
                </c:pt>
                <c:pt idx="352">
                  <c:v>6.1600000000000197</c:v>
                </c:pt>
                <c:pt idx="353">
                  <c:v>6.1775000000000198</c:v>
                </c:pt>
                <c:pt idx="354">
                  <c:v>6.1950000000000198</c:v>
                </c:pt>
                <c:pt idx="355">
                  <c:v>6.2125000000000199</c:v>
                </c:pt>
                <c:pt idx="356">
                  <c:v>6.23000000000002</c:v>
                </c:pt>
                <c:pt idx="357">
                  <c:v>6.24750000000002</c:v>
                </c:pt>
                <c:pt idx="358">
                  <c:v>6.2650000000000201</c:v>
                </c:pt>
                <c:pt idx="359">
                  <c:v>6.2825000000000202</c:v>
                </c:pt>
                <c:pt idx="360">
                  <c:v>6.3000000000000203</c:v>
                </c:pt>
                <c:pt idx="361">
                  <c:v>6.3175000000000203</c:v>
                </c:pt>
                <c:pt idx="362">
                  <c:v>6.3350000000000204</c:v>
                </c:pt>
                <c:pt idx="363">
                  <c:v>6.3525000000000205</c:v>
                </c:pt>
                <c:pt idx="364">
                  <c:v>6.3700000000000205</c:v>
                </c:pt>
                <c:pt idx="365">
                  <c:v>6.3875000000000206</c:v>
                </c:pt>
                <c:pt idx="366">
                  <c:v>6.4050000000000207</c:v>
                </c:pt>
                <c:pt idx="367">
                  <c:v>6.4225000000000207</c:v>
                </c:pt>
                <c:pt idx="368">
                  <c:v>6.4400000000000208</c:v>
                </c:pt>
                <c:pt idx="369">
                  <c:v>6.4575000000000209</c:v>
                </c:pt>
                <c:pt idx="370">
                  <c:v>6.475000000000021</c:v>
                </c:pt>
                <c:pt idx="371">
                  <c:v>6.492500000000021</c:v>
                </c:pt>
                <c:pt idx="372">
                  <c:v>6.5100000000000211</c:v>
                </c:pt>
                <c:pt idx="373">
                  <c:v>6.5275000000000212</c:v>
                </c:pt>
                <c:pt idx="374">
                  <c:v>6.5450000000000212</c:v>
                </c:pt>
                <c:pt idx="375">
                  <c:v>6.5625000000000213</c:v>
                </c:pt>
                <c:pt idx="376">
                  <c:v>6.5800000000000214</c:v>
                </c:pt>
                <c:pt idx="377">
                  <c:v>6.5975000000000215</c:v>
                </c:pt>
                <c:pt idx="378">
                  <c:v>6.6150000000000215</c:v>
                </c:pt>
                <c:pt idx="379">
                  <c:v>6.6325000000000216</c:v>
                </c:pt>
                <c:pt idx="380">
                  <c:v>6.6500000000000217</c:v>
                </c:pt>
                <c:pt idx="381">
                  <c:v>6.6675000000000217</c:v>
                </c:pt>
                <c:pt idx="382">
                  <c:v>6.6850000000000218</c:v>
                </c:pt>
                <c:pt idx="383">
                  <c:v>6.7025000000000219</c:v>
                </c:pt>
                <c:pt idx="384">
                  <c:v>6.720000000000022</c:v>
                </c:pt>
                <c:pt idx="385">
                  <c:v>6.737500000000022</c:v>
                </c:pt>
                <c:pt idx="386">
                  <c:v>6.7550000000000221</c:v>
                </c:pt>
                <c:pt idx="387">
                  <c:v>6.7725000000000222</c:v>
                </c:pt>
                <c:pt idx="388">
                  <c:v>6.7900000000000222</c:v>
                </c:pt>
                <c:pt idx="389">
                  <c:v>6.8075000000000223</c:v>
                </c:pt>
                <c:pt idx="390">
                  <c:v>6.8250000000000224</c:v>
                </c:pt>
                <c:pt idx="391">
                  <c:v>6.8425000000000225</c:v>
                </c:pt>
                <c:pt idx="392">
                  <c:v>6.8600000000000225</c:v>
                </c:pt>
                <c:pt idx="393">
                  <c:v>6.8775000000000226</c:v>
                </c:pt>
                <c:pt idx="394">
                  <c:v>6.8950000000000227</c:v>
                </c:pt>
                <c:pt idx="395">
                  <c:v>6.9125000000000227</c:v>
                </c:pt>
                <c:pt idx="396">
                  <c:v>6.9300000000000228</c:v>
                </c:pt>
                <c:pt idx="397">
                  <c:v>6.9475000000000229</c:v>
                </c:pt>
                <c:pt idx="398">
                  <c:v>6.965000000000023</c:v>
                </c:pt>
                <c:pt idx="399">
                  <c:v>6.982500000000023</c:v>
                </c:pt>
                <c:pt idx="400">
                  <c:v>7.0000000000000231</c:v>
                </c:pt>
              </c:numCache>
            </c:numRef>
          </c:xVal>
          <c:yVal>
            <c:numRef>
              <c:f>'xVA Calculations'!$W$30:$W$430</c:f>
              <c:numCache>
                <c:formatCode>0.000%</c:formatCode>
                <c:ptCount val="401"/>
                <c:pt idx="0">
                  <c:v>2.3535354050408679E-3</c:v>
                </c:pt>
                <c:pt idx="1">
                  <c:v>3.3246570818005893E-3</c:v>
                </c:pt>
                <c:pt idx="2">
                  <c:v>4.6911796145467028E-3</c:v>
                </c:pt>
                <c:pt idx="3">
                  <c:v>5.7325145493496077E-3</c:v>
                </c:pt>
                <c:pt idx="4">
                  <c:v>6.6043375654111953E-3</c:v>
                </c:pt>
                <c:pt idx="5">
                  <c:v>7.3670944752363861E-3</c:v>
                </c:pt>
                <c:pt idx="6">
                  <c:v>8.0518570947484581E-3</c:v>
                </c:pt>
                <c:pt idx="7">
                  <c:v>8.6771251554965539E-3</c:v>
                </c:pt>
                <c:pt idx="8">
                  <c:v>9.2549790825738748E-3</c:v>
                </c:pt>
                <c:pt idx="9">
                  <c:v>9.7938284566896367E-3</c:v>
                </c:pt>
                <c:pt idx="10">
                  <c:v>1.0299809623720641E-2</c:v>
                </c:pt>
                <c:pt idx="11">
                  <c:v>1.0777565081091288E-2</c:v>
                </c:pt>
                <c:pt idx="12">
                  <c:v>1.1230709363096975E-2</c:v>
                </c:pt>
                <c:pt idx="13">
                  <c:v>1.1662123078311857E-2</c:v>
                </c:pt>
                <c:pt idx="14">
                  <c:v>1.2074146788580776E-2</c:v>
                </c:pt>
                <c:pt idx="15">
                  <c:v>1.2468713538602828E-2</c:v>
                </c:pt>
                <c:pt idx="16">
                  <c:v>1.2847442229491714E-2</c:v>
                </c:pt>
                <c:pt idx="17">
                  <c:v>1.3211705119936792E-2</c:v>
                </c:pt>
                <c:pt idx="18">
                  <c:v>1.3562677718308788E-2</c:v>
                </c:pt>
                <c:pt idx="19">
                  <c:v>1.3901376378896985E-2</c:v>
                </c:pt>
                <c:pt idx="20">
                  <c:v>1.4228687117984317E-2</c:v>
                </c:pt>
                <c:pt idx="21">
                  <c:v>1.4545388035297924E-2</c:v>
                </c:pt>
                <c:pt idx="22">
                  <c:v>1.4852166995871422E-2</c:v>
                </c:pt>
                <c:pt idx="23">
                  <c:v>1.5149635743486352E-2</c:v>
                </c:pt>
                <c:pt idx="24">
                  <c:v>1.5438341289281069E-2</c:v>
                </c:pt>
                <c:pt idx="25">
                  <c:v>1.5718775192952016E-2</c:v>
                </c:pt>
                <c:pt idx="26">
                  <c:v>1.5991381195037905E-2</c:v>
                </c:pt>
                <c:pt idx="27">
                  <c:v>1.6256561545276594E-2</c:v>
                </c:pt>
                <c:pt idx="28">
                  <c:v>1.6514682289773059E-2</c:v>
                </c:pt>
                <c:pt idx="29">
                  <c:v>1.6766077719304794E-2</c:v>
                </c:pt>
                <c:pt idx="30">
                  <c:v>1.7011054136168338E-2</c:v>
                </c:pt>
                <c:pt idx="31">
                  <c:v>1.7249893063183738E-2</c:v>
                </c:pt>
                <c:pt idx="32">
                  <c:v>1.7482853992792226E-2</c:v>
                </c:pt>
                <c:pt idx="33">
                  <c:v>1.7710176754470969E-2</c:v>
                </c:pt>
                <c:pt idx="34">
                  <c:v>1.7932083563419514E-2</c:v>
                </c:pt>
                <c:pt idx="35">
                  <c:v>1.8148780801545524E-2</c:v>
                </c:pt>
                <c:pt idx="36">
                  <c:v>1.8360460572384427E-2</c:v>
                </c:pt>
                <c:pt idx="37">
                  <c:v>1.8567302064137221E-2</c:v>
                </c:pt>
                <c:pt idx="38">
                  <c:v>1.8769472749057561E-2</c:v>
                </c:pt>
                <c:pt idx="39">
                  <c:v>1.8967129442632562E-2</c:v>
                </c:pt>
                <c:pt idx="40">
                  <c:v>1.9160419242128562E-2</c:v>
                </c:pt>
                <c:pt idx="41">
                  <c:v>1.9349480360919713E-2</c:v>
                </c:pt>
                <c:pt idx="42">
                  <c:v>1.9534442872437361E-2</c:v>
                </c:pt>
                <c:pt idx="43">
                  <c:v>1.9715429375454875E-2</c:v>
                </c:pt>
                <c:pt idx="44">
                  <c:v>1.9892555590666664E-2</c:v>
                </c:pt>
                <c:pt idx="45">
                  <c:v>2.0065930897062004E-2</c:v>
                </c:pt>
                <c:pt idx="46">
                  <c:v>2.023565881537652E-2</c:v>
                </c:pt>
                <c:pt idx="47">
                  <c:v>2.0401837444884031E-2</c:v>
                </c:pt>
                <c:pt idx="48">
                  <c:v>2.0564559858932647E-2</c:v>
                </c:pt>
                <c:pt idx="49">
                  <c:v>2.0723914463903668E-2</c:v>
                </c:pt>
                <c:pt idx="50">
                  <c:v>2.0879985325656058E-2</c:v>
                </c:pt>
                <c:pt idx="51">
                  <c:v>2.1032852466996238E-2</c:v>
                </c:pt>
                <c:pt idx="52">
                  <c:v>2.1182592139264992E-2</c:v>
                </c:pt>
                <c:pt idx="53">
                  <c:v>2.1329277070750611E-2</c:v>
                </c:pt>
                <c:pt idx="54">
                  <c:v>2.1472976694307679E-2</c:v>
                </c:pt>
                <c:pt idx="55">
                  <c:v>2.1613757356277147E-2</c:v>
                </c:pt>
                <c:pt idx="56">
                  <c:v>2.1751682508557614E-2</c:v>
                </c:pt>
                <c:pt idx="57">
                  <c:v>2.1886812885465012E-2</c:v>
                </c:pt>
                <c:pt idx="58">
                  <c:v>2.201920666683272E-2</c:v>
                </c:pt>
                <c:pt idx="59">
                  <c:v>2.2148919628642849E-2</c:v>
                </c:pt>
                <c:pt idx="60">
                  <c:v>2.2276005282338418E-2</c:v>
                </c:pt>
                <c:pt idx="61">
                  <c:v>2.2400515003842748E-2</c:v>
                </c:pt>
                <c:pt idx="62">
                  <c:v>2.2522498153203806E-2</c:v>
                </c:pt>
                <c:pt idx="63">
                  <c:v>2.264200218568636E-2</c:v>
                </c:pt>
                <c:pt idx="64">
                  <c:v>2.2759072755049684E-2</c:v>
                </c:pt>
                <c:pt idx="65">
                  <c:v>2.2873753809675566E-2</c:v>
                </c:pt>
                <c:pt idx="66">
                  <c:v>2.2986087682144336E-2</c:v>
                </c:pt>
                <c:pt idx="67">
                  <c:v>2.3096115172798838E-2</c:v>
                </c:pt>
                <c:pt idx="68">
                  <c:v>2.3203875627784504E-2</c:v>
                </c:pt>
                <c:pt idx="69">
                  <c:v>2.3309407012006907E-2</c:v>
                </c:pt>
                <c:pt idx="70">
                  <c:v>2.3412745977407518E-2</c:v>
                </c:pt>
                <c:pt idx="71">
                  <c:v>2.3513927926921127E-2</c:v>
                </c:pt>
                <c:pt idx="72">
                  <c:v>2.3612987074445563E-2</c:v>
                </c:pt>
                <c:pt idx="73">
                  <c:v>2.3709956501124806E-2</c:v>
                </c:pt>
                <c:pt idx="74">
                  <c:v>2.3804868208220076E-2</c:v>
                </c:pt>
                <c:pt idx="75">
                  <c:v>2.3897753166819215E-2</c:v>
                </c:pt>
                <c:pt idx="76">
                  <c:v>2.3988641364613799E-2</c:v>
                </c:pt>
                <c:pt idx="77">
                  <c:v>2.4077561849953247E-2</c:v>
                </c:pt>
                <c:pt idx="78">
                  <c:v>2.4164542773368537E-2</c:v>
                </c:pt>
                <c:pt idx="79">
                  <c:v>2.4249611426741344E-2</c:v>
                </c:pt>
                <c:pt idx="80">
                  <c:v>2.4332794280280848E-2</c:v>
                </c:pt>
                <c:pt idx="81">
                  <c:v>2.4414117017456785E-2</c:v>
                </c:pt>
                <c:pt idx="82">
                  <c:v>2.4493604568026166E-2</c:v>
                </c:pt>
                <c:pt idx="83">
                  <c:v>2.4571281139279536E-2</c:v>
                </c:pt>
                <c:pt idx="84">
                  <c:v>2.4647170245623524E-2</c:v>
                </c:pt>
                <c:pt idx="85">
                  <c:v>2.4721294736607249E-2</c:v>
                </c:pt>
                <c:pt idx="86">
                  <c:v>2.4793676823491716E-2</c:v>
                </c:pt>
                <c:pt idx="87">
                  <c:v>2.4864338104454674E-2</c:v>
                </c:pt>
                <c:pt idx="88">
                  <c:v>2.4933299588515489E-2</c:v>
                </c:pt>
                <c:pt idx="89">
                  <c:v>2.5000581718259585E-2</c:v>
                </c:pt>
                <c:pt idx="90">
                  <c:v>2.5066204391435244E-2</c:v>
                </c:pt>
                <c:pt idx="91">
                  <c:v>2.5130186981490905E-2</c:v>
                </c:pt>
                <c:pt idx="92">
                  <c:v>2.519254835711621E-2</c:v>
                </c:pt>
                <c:pt idx="93">
                  <c:v>2.5253306900845617E-2</c:v>
                </c:pt>
                <c:pt idx="94">
                  <c:v>2.5312480526778904E-2</c:v>
                </c:pt>
                <c:pt idx="95">
                  <c:v>2.537008669747012E-2</c:v>
                </c:pt>
                <c:pt idx="96">
                  <c:v>2.5426142440031923E-2</c:v>
                </c:pt>
                <c:pt idx="97">
                  <c:v>2.548066436150007E-2</c:v>
                </c:pt>
                <c:pt idx="98">
                  <c:v>2.5533668663499116E-2</c:v>
                </c:pt>
                <c:pt idx="99">
                  <c:v>2.5585171156248171E-2</c:v>
                </c:pt>
                <c:pt idx="100">
                  <c:v>2.5635187271942798E-2</c:v>
                </c:pt>
                <c:pt idx="101">
                  <c:v>2.5683732077546966E-2</c:v>
                </c:pt>
                <c:pt idx="102">
                  <c:v>2.5730820287026699E-2</c:v>
                </c:pt>
                <c:pt idx="103">
                  <c:v>2.5776466273054924E-2</c:v>
                </c:pt>
                <c:pt idx="104">
                  <c:v>2.5820684078215653E-2</c:v>
                </c:pt>
                <c:pt idx="105">
                  <c:v>2.5863487425733439E-2</c:v>
                </c:pt>
                <c:pt idx="106">
                  <c:v>2.5904889729752498E-2</c:v>
                </c:pt>
                <c:pt idx="107">
                  <c:v>2.5944904105188776E-2</c:v>
                </c:pt>
                <c:pt idx="108">
                  <c:v>2.5983543377176427E-2</c:v>
                </c:pt>
                <c:pt idx="109">
                  <c:v>2.6020820090129022E-2</c:v>
                </c:pt>
                <c:pt idx="110">
                  <c:v>2.6056746516434918E-2</c:v>
                </c:pt>
                <c:pt idx="111">
                  <c:v>2.6091334664804202E-2</c:v>
                </c:pt>
                <c:pt idx="112">
                  <c:v>2.6124596288285069E-2</c:v>
                </c:pt>
                <c:pt idx="113">
                  <c:v>2.6156542891964896E-2</c:v>
                </c:pt>
                <c:pt idx="114">
                  <c:v>2.6187185740371349E-2</c:v>
                </c:pt>
                <c:pt idx="115">
                  <c:v>2.621653586458806E-2</c:v>
                </c:pt>
                <c:pt idx="116">
                  <c:v>2.6244604069097909E-2</c:v>
                </c:pt>
                <c:pt idx="117">
                  <c:v>2.6271400938366701E-2</c:v>
                </c:pt>
                <c:pt idx="118">
                  <c:v>2.6296936843179689E-2</c:v>
                </c:pt>
                <c:pt idx="119">
                  <c:v>2.6321221946741497E-2</c:v>
                </c:pt>
                <c:pt idx="120">
                  <c:v>2.6344266210551012E-2</c:v>
                </c:pt>
                <c:pt idx="121">
                  <c:v>2.6366079400060888E-2</c:v>
                </c:pt>
                <c:pt idx="122">
                  <c:v>2.6386671090131368E-2</c:v>
                </c:pt>
                <c:pt idx="123">
                  <c:v>2.6406050670287822E-2</c:v>
                </c:pt>
                <c:pt idx="124">
                  <c:v>2.6424227349790191E-2</c:v>
                </c:pt>
                <c:pt idx="125">
                  <c:v>2.644121016252305E-2</c:v>
                </c:pt>
                <c:pt idx="126">
                  <c:v>2.6457007971713568E-2</c:v>
                </c:pt>
                <c:pt idx="127">
                  <c:v>2.6471629474485212E-2</c:v>
                </c:pt>
                <c:pt idx="128">
                  <c:v>2.6485083206253687E-2</c:v>
                </c:pt>
                <c:pt idx="129">
                  <c:v>2.6497377544972313E-2</c:v>
                </c:pt>
                <c:pt idx="130">
                  <c:v>2.6508520715232811E-2</c:v>
                </c:pt>
                <c:pt idx="131">
                  <c:v>2.6518520792227503E-2</c:v>
                </c:pt>
                <c:pt idx="132">
                  <c:v>2.6527385705578849E-2</c:v>
                </c:pt>
                <c:pt idx="133">
                  <c:v>2.653512324304165E-2</c:v>
                </c:pt>
                <c:pt idx="134">
                  <c:v>2.6541741054082964E-2</c:v>
                </c:pt>
                <c:pt idx="135">
                  <c:v>2.6547246653345024E-2</c:v>
                </c:pt>
                <c:pt idx="136">
                  <c:v>2.6551647423995395E-2</c:v>
                </c:pt>
                <c:pt idx="137">
                  <c:v>2.6554950620969121E-2</c:v>
                </c:pt>
                <c:pt idx="138">
                  <c:v>2.6557163374107254E-2</c:v>
                </c:pt>
                <c:pt idx="139">
                  <c:v>2.6558292691195282E-2</c:v>
                </c:pt>
                <c:pt idx="140">
                  <c:v>2.6558345460906185E-2</c:v>
                </c:pt>
                <c:pt idx="141">
                  <c:v>2.6557328455650807E-2</c:v>
                </c:pt>
                <c:pt idx="142">
                  <c:v>2.655524833434009E-2</c:v>
                </c:pt>
                <c:pt idx="143">
                  <c:v>2.6552111645061636E-2</c:v>
                </c:pt>
                <c:pt idx="144">
                  <c:v>2.6547924827674544E-2</c:v>
                </c:pt>
                <c:pt idx="145">
                  <c:v>2.6542694216325172E-2</c:v>
                </c:pt>
                <c:pt idx="146">
                  <c:v>2.6536426041886822E-2</c:v>
                </c:pt>
                <c:pt idx="147">
                  <c:v>2.652912643432628E-2</c:v>
                </c:pt>
                <c:pt idx="148">
                  <c:v>2.652080142499989E-2</c:v>
                </c:pt>
                <c:pt idx="149">
                  <c:v>2.6511456948881667E-2</c:v>
                </c:pt>
                <c:pt idx="150">
                  <c:v>2.6501098846725753E-2</c:v>
                </c:pt>
                <c:pt idx="151">
                  <c:v>2.648973286716607E-2</c:v>
                </c:pt>
                <c:pt idx="152">
                  <c:v>2.6477364668754833E-2</c:v>
                </c:pt>
                <c:pt idx="153">
                  <c:v>2.646399982194246E-2</c:v>
                </c:pt>
                <c:pt idx="154">
                  <c:v>2.6449643811000817E-2</c:v>
                </c:pt>
                <c:pt idx="155">
                  <c:v>2.6434302035891942E-2</c:v>
                </c:pt>
                <c:pt idx="156">
                  <c:v>2.6417979814083833E-2</c:v>
                </c:pt>
                <c:pt idx="157">
                  <c:v>2.6400682382315337E-2</c:v>
                </c:pt>
                <c:pt idx="158">
                  <c:v>2.6382414898312039E-2</c:v>
                </c:pt>
                <c:pt idx="159">
                  <c:v>2.6363182442454499E-2</c:v>
                </c:pt>
                <c:pt idx="160">
                  <c:v>2.634299001940062E-2</c:v>
                </c:pt>
                <c:pt idx="161">
                  <c:v>2.6321842559663675E-2</c:v>
                </c:pt>
                <c:pt idx="162">
                  <c:v>2.6299744921147658E-2</c:v>
                </c:pt>
                <c:pt idx="163">
                  <c:v>2.6276701890640831E-2</c:v>
                </c:pt>
                <c:pt idx="164">
                  <c:v>2.6252718185269659E-2</c:v>
                </c:pt>
                <c:pt idx="165">
                  <c:v>2.6227798453913667E-2</c:v>
                </c:pt>
                <c:pt idx="166">
                  <c:v>2.6201947278583024E-2</c:v>
                </c:pt>
                <c:pt idx="167">
                  <c:v>2.6175169175759707E-2</c:v>
                </c:pt>
                <c:pt idx="168">
                  <c:v>2.6147468597703821E-2</c:v>
                </c:pt>
                <c:pt idx="169">
                  <c:v>2.6118849933725648E-2</c:v>
                </c:pt>
                <c:pt idx="170">
                  <c:v>2.6089317511425087E-2</c:v>
                </c:pt>
                <c:pt idx="171">
                  <c:v>2.605887559789909E-2</c:v>
                </c:pt>
                <c:pt idx="172">
                  <c:v>2.60275284009184E-2</c:v>
                </c:pt>
                <c:pt idx="173">
                  <c:v>2.59952800700743E-2</c:v>
                </c:pt>
                <c:pt idx="174">
                  <c:v>2.596213469789645E-2</c:v>
                </c:pt>
                <c:pt idx="175">
                  <c:v>2.5928096320942822E-2</c:v>
                </c:pt>
                <c:pt idx="176">
                  <c:v>2.58931689208622E-2</c:v>
                </c:pt>
                <c:pt idx="177">
                  <c:v>2.5857356425430626E-2</c:v>
                </c:pt>
                <c:pt idx="178">
                  <c:v>2.5820662709562039E-2</c:v>
                </c:pt>
                <c:pt idx="179">
                  <c:v>2.5783091596294348E-2</c:v>
                </c:pt>
                <c:pt idx="180">
                  <c:v>2.5744646857751352E-2</c:v>
                </c:pt>
                <c:pt idx="181">
                  <c:v>2.5705332216081418E-2</c:v>
                </c:pt>
                <c:pt idx="182">
                  <c:v>2.5665151344373478E-2</c:v>
                </c:pt>
                <c:pt idx="183">
                  <c:v>2.562410786755116E-2</c:v>
                </c:pt>
                <c:pt idx="184">
                  <c:v>2.5582205363245649E-2</c:v>
                </c:pt>
                <c:pt idx="185">
                  <c:v>2.553944736264762E-2</c:v>
                </c:pt>
                <c:pt idx="186">
                  <c:v>2.5495837351339451E-2</c:v>
                </c:pt>
                <c:pt idx="187">
                  <c:v>2.5451378770107731E-2</c:v>
                </c:pt>
                <c:pt idx="188">
                  <c:v>2.5406075015736825E-2</c:v>
                </c:pt>
                <c:pt idx="189">
                  <c:v>2.5359929441784126E-2</c:v>
                </c:pt>
                <c:pt idx="190">
                  <c:v>2.5312945359337476E-2</c:v>
                </c:pt>
                <c:pt idx="191">
                  <c:v>2.5265126037755069E-2</c:v>
                </c:pt>
                <c:pt idx="192">
                  <c:v>2.5216474705388511E-2</c:v>
                </c:pt>
                <c:pt idx="193">
                  <c:v>2.5166994550289794E-2</c:v>
                </c:pt>
                <c:pt idx="194">
                  <c:v>2.511668872090175E-2</c:v>
                </c:pt>
                <c:pt idx="195">
                  <c:v>2.5065560326733551E-2</c:v>
                </c:pt>
                <c:pt idx="196">
                  <c:v>2.5013612439020845E-2</c:v>
                </c:pt>
                <c:pt idx="197">
                  <c:v>2.4960848091371245E-2</c:v>
                </c:pt>
                <c:pt idx="198">
                  <c:v>2.4907270280395653E-2</c:v>
                </c:pt>
                <c:pt idx="199">
                  <c:v>2.4852881966325697E-2</c:v>
                </c:pt>
                <c:pt idx="200">
                  <c:v>2.47976860736175E-2</c:v>
                </c:pt>
                <c:pt idx="201">
                  <c:v>2.4741685491542594E-2</c:v>
                </c:pt>
                <c:pt idx="202">
                  <c:v>2.4684883074765903E-2</c:v>
                </c:pt>
                <c:pt idx="203">
                  <c:v>2.4627281643911116E-2</c:v>
                </c:pt>
                <c:pt idx="204">
                  <c:v>2.4568883986114273E-2</c:v>
                </c:pt>
                <c:pt idx="205">
                  <c:v>2.4509692855565344E-2</c:v>
                </c:pt>
                <c:pt idx="206">
                  <c:v>2.4449710974038377E-2</c:v>
                </c:pt>
                <c:pt idx="207">
                  <c:v>2.4388941031410351E-2</c:v>
                </c:pt>
                <c:pt idx="208">
                  <c:v>2.4327385686169444E-2</c:v>
                </c:pt>
                <c:pt idx="209">
                  <c:v>2.426504756591219E-2</c:v>
                </c:pt>
                <c:pt idx="210">
                  <c:v>2.4201929267830841E-2</c:v>
                </c:pt>
                <c:pt idx="211">
                  <c:v>2.4138033359190195E-2</c:v>
                </c:pt>
                <c:pt idx="212">
                  <c:v>2.4073362377794918E-2</c:v>
                </c:pt>
                <c:pt idx="213">
                  <c:v>2.4007918832447048E-2</c:v>
                </c:pt>
                <c:pt idx="214">
                  <c:v>2.3941705203394337E-2</c:v>
                </c:pt>
                <c:pt idx="215">
                  <c:v>2.3874723942769526E-2</c:v>
                </c:pt>
                <c:pt idx="216">
                  <c:v>2.3806977475020506E-2</c:v>
                </c:pt>
                <c:pt idx="217">
                  <c:v>2.3738468197332045E-2</c:v>
                </c:pt>
                <c:pt idx="218">
                  <c:v>2.3669198480039118E-2</c:v>
                </c:pt>
                <c:pt idx="219">
                  <c:v>2.3599170667031724E-2</c:v>
                </c:pt>
                <c:pt idx="220">
                  <c:v>2.3528387076152069E-2</c:v>
                </c:pt>
                <c:pt idx="221">
                  <c:v>2.3456849999583539E-2</c:v>
                </c:pt>
                <c:pt idx="222">
                  <c:v>2.3384561704232282E-2</c:v>
                </c:pt>
                <c:pt idx="223">
                  <c:v>2.3311524432101213E-2</c:v>
                </c:pt>
                <c:pt idx="224">
                  <c:v>2.3237740400656924E-2</c:v>
                </c:pt>
                <c:pt idx="225">
                  <c:v>2.3163211803189063E-2</c:v>
                </c:pt>
                <c:pt idx="226">
                  <c:v>2.3087940809163376E-2</c:v>
                </c:pt>
                <c:pt idx="227">
                  <c:v>2.301192956456747E-2</c:v>
                </c:pt>
                <c:pt idx="228">
                  <c:v>2.2935180192250198E-2</c:v>
                </c:pt>
                <c:pt idx="229">
                  <c:v>2.2857694792254652E-2</c:v>
                </c:pt>
                <c:pt idx="230">
                  <c:v>2.2779475442144655E-2</c:v>
                </c:pt>
                <c:pt idx="231">
                  <c:v>2.270052419732526E-2</c:v>
                </c:pt>
                <c:pt idx="232">
                  <c:v>2.2620843091357059E-2</c:v>
                </c:pt>
                <c:pt idx="233">
                  <c:v>2.2540434136264994E-2</c:v>
                </c:pt>
                <c:pt idx="234">
                  <c:v>2.245929932284085E-2</c:v>
                </c:pt>
                <c:pt idx="235">
                  <c:v>2.2377440620940707E-2</c:v>
                </c:pt>
                <c:pt idx="236">
                  <c:v>2.2294859979776527E-2</c:v>
                </c:pt>
                <c:pt idx="237">
                  <c:v>2.221155932820261E-2</c:v>
                </c:pt>
                <c:pt idx="238">
                  <c:v>2.2127540574996676E-2</c:v>
                </c:pt>
                <c:pt idx="239">
                  <c:v>2.2042805609135921E-2</c:v>
                </c:pt>
                <c:pt idx="240">
                  <c:v>2.1957356300067978E-2</c:v>
                </c:pt>
                <c:pt idx="241">
                  <c:v>2.1871194497977097E-2</c:v>
                </c:pt>
                <c:pt idx="242">
                  <c:v>2.1784322034045497E-2</c:v>
                </c:pt>
                <c:pt idx="243">
                  <c:v>2.1696740720710015E-2</c:v>
                </c:pt>
                <c:pt idx="244">
                  <c:v>2.1608452351914189E-2</c:v>
                </c:pt>
                <c:pt idx="245">
                  <c:v>2.1519458703355882E-2</c:v>
                </c:pt>
                <c:pt idx="246">
                  <c:v>2.1429761532730591E-2</c:v>
                </c:pt>
                <c:pt idx="247">
                  <c:v>2.1339362579970385E-2</c:v>
                </c:pt>
                <c:pt idx="248">
                  <c:v>2.1248263567478689E-2</c:v>
                </c:pt>
                <c:pt idx="249">
                  <c:v>2.1156466200360907E-2</c:v>
                </c:pt>
                <c:pt idx="250">
                  <c:v>2.1063972166651245E-2</c:v>
                </c:pt>
                <c:pt idx="251">
                  <c:v>2.0970783137535358E-2</c:v>
                </c:pt>
                <c:pt idx="252">
                  <c:v>2.0876900767569317E-2</c:v>
                </c:pt>
                <c:pt idx="253">
                  <c:v>2.0782326694894757E-2</c:v>
                </c:pt>
                <c:pt idx="254">
                  <c:v>2.0687062541450356E-2</c:v>
                </c:pt>
                <c:pt idx="255">
                  <c:v>2.0591109913179705E-2</c:v>
                </c:pt>
                <c:pt idx="256">
                  <c:v>2.0494470400235769E-2</c:v>
                </c:pt>
                <c:pt idx="257">
                  <c:v>2.0397145577181693E-2</c:v>
                </c:pt>
                <c:pt idx="258">
                  <c:v>2.0299137003188306E-2</c:v>
                </c:pt>
                <c:pt idx="259">
                  <c:v>2.020044622222843E-2</c:v>
                </c:pt>
                <c:pt idx="260">
                  <c:v>2.0101074763267862E-2</c:v>
                </c:pt>
                <c:pt idx="261">
                  <c:v>2.0001024140453117E-2</c:v>
                </c:pt>
                <c:pt idx="262">
                  <c:v>1.9900295853296134E-2</c:v>
                </c:pt>
                <c:pt idx="263">
                  <c:v>1.9798891386855991E-2</c:v>
                </c:pt>
                <c:pt idx="264">
                  <c:v>1.969681221191746E-2</c:v>
                </c:pt>
                <c:pt idx="265">
                  <c:v>1.9594059785166901E-2</c:v>
                </c:pt>
                <c:pt idx="266">
                  <c:v>1.9490635549365004E-2</c:v>
                </c:pt>
                <c:pt idx="267">
                  <c:v>1.938654093351691E-2</c:v>
                </c:pt>
                <c:pt idx="268">
                  <c:v>1.9281777353039608E-2</c:v>
                </c:pt>
                <c:pt idx="269">
                  <c:v>1.9176346209926417E-2</c:v>
                </c:pt>
                <c:pt idx="270">
                  <c:v>1.9070248892909088E-2</c:v>
                </c:pt>
                <c:pt idx="271">
                  <c:v>1.896348677761717E-2</c:v>
                </c:pt>
                <c:pt idx="272">
                  <c:v>1.8856061226734836E-2</c:v>
                </c:pt>
                <c:pt idx="273">
                  <c:v>1.8747973590155235E-2</c:v>
                </c:pt>
                <c:pt idx="274">
                  <c:v>1.8639225205132559E-2</c:v>
                </c:pt>
                <c:pt idx="275">
                  <c:v>1.8529817396431329E-2</c:v>
                </c:pt>
                <c:pt idx="276">
                  <c:v>1.841975147647382E-2</c:v>
                </c:pt>
                <c:pt idx="277">
                  <c:v>1.8309028745484832E-2</c:v>
                </c:pt>
                <c:pt idx="278">
                  <c:v>1.8197650491634323E-2</c:v>
                </c:pt>
                <c:pt idx="279">
                  <c:v>1.8085617991177839E-2</c:v>
                </c:pt>
                <c:pt idx="280">
                  <c:v>1.7972932508594774E-2</c:v>
                </c:pt>
                <c:pt idx="281">
                  <c:v>1.7859595296724512E-2</c:v>
                </c:pt>
                <c:pt idx="282">
                  <c:v>1.774560759690038E-2</c:v>
                </c:pt>
                <c:pt idx="283">
                  <c:v>1.7630970639081631E-2</c:v>
                </c:pt>
                <c:pt idx="284">
                  <c:v>1.7515685641983518E-2</c:v>
                </c:pt>
                <c:pt idx="285">
                  <c:v>1.7399753813205212E-2</c:v>
                </c:pt>
                <c:pt idx="286">
                  <c:v>1.7283176349355802E-2</c:v>
                </c:pt>
                <c:pt idx="287">
                  <c:v>1.7165954436178642E-2</c:v>
                </c:pt>
                <c:pt idx="288">
                  <c:v>1.7048089248673352E-2</c:v>
                </c:pt>
                <c:pt idx="289">
                  <c:v>1.6929581951216657E-2</c:v>
                </c:pt>
                <c:pt idx="290">
                  <c:v>1.6810433697680701E-2</c:v>
                </c:pt>
                <c:pt idx="291">
                  <c:v>1.669064563155016E-2</c:v>
                </c:pt>
                <c:pt idx="292">
                  <c:v>1.6570218886037401E-2</c:v>
                </c:pt>
                <c:pt idx="293">
                  <c:v>1.6449154584195866E-2</c:v>
                </c:pt>
                <c:pt idx="294">
                  <c:v>1.6327453839031978E-2</c:v>
                </c:pt>
                <c:pt idx="295">
                  <c:v>1.6205117753615206E-2</c:v>
                </c:pt>
                <c:pt idx="296">
                  <c:v>1.6082147421186778E-2</c:v>
                </c:pt>
                <c:pt idx="297">
                  <c:v>1.5958543925266491E-2</c:v>
                </c:pt>
                <c:pt idx="298">
                  <c:v>1.5834308339758251E-2</c:v>
                </c:pt>
                <c:pt idx="299">
                  <c:v>1.5709441729053995E-2</c:v>
                </c:pt>
                <c:pt idx="300">
                  <c:v>1.5583945148136031E-2</c:v>
                </c:pt>
                <c:pt idx="301">
                  <c:v>1.5457819642677978E-2</c:v>
                </c:pt>
                <c:pt idx="302">
                  <c:v>1.5331066249144338E-2</c:v>
                </c:pt>
                <c:pt idx="303">
                  <c:v>1.5203685994888538E-2</c:v>
                </c:pt>
                <c:pt idx="304">
                  <c:v>1.507567989824962E-2</c:v>
                </c:pt>
                <c:pt idx="305">
                  <c:v>1.4947048968647502E-2</c:v>
                </c:pt>
                <c:pt idx="306">
                  <c:v>1.4817794206677089E-2</c:v>
                </c:pt>
                <c:pt idx="307">
                  <c:v>1.4687916604200775E-2</c:v>
                </c:pt>
                <c:pt idx="308">
                  <c:v>1.4557417144439888E-2</c:v>
                </c:pt>
                <c:pt idx="309">
                  <c:v>1.4426296802064791E-2</c:v>
                </c:pt>
                <c:pt idx="310">
                  <c:v>1.4294556543283571E-2</c:v>
                </c:pt>
                <c:pt idx="311">
                  <c:v>1.4162197325929786E-2</c:v>
                </c:pt>
                <c:pt idx="312">
                  <c:v>1.402922009954876E-2</c:v>
                </c:pt>
                <c:pt idx="313">
                  <c:v>1.3895625805482854E-2</c:v>
                </c:pt>
                <c:pt idx="314">
                  <c:v>1.3761415376955376E-2</c:v>
                </c:pt>
                <c:pt idx="315">
                  <c:v>1.362658973915346E-2</c:v>
                </c:pt>
                <c:pt idx="316">
                  <c:v>1.349114980930999E-2</c:v>
                </c:pt>
                <c:pt idx="317">
                  <c:v>1.3355096496783896E-2</c:v>
                </c:pt>
                <c:pt idx="318">
                  <c:v>1.3218430703140041E-2</c:v>
                </c:pt>
                <c:pt idx="319">
                  <c:v>1.3081153322227481E-2</c:v>
                </c:pt>
                <c:pt idx="320">
                  <c:v>1.2943265240256813E-2</c:v>
                </c:pt>
                <c:pt idx="321">
                  <c:v>1.2804767335876745E-2</c:v>
                </c:pt>
                <c:pt idx="322">
                  <c:v>1.2665660480249251E-2</c:v>
                </c:pt>
                <c:pt idx="323">
                  <c:v>1.2525945537123951E-2</c:v>
                </c:pt>
                <c:pt idx="324">
                  <c:v>1.2385623362911598E-2</c:v>
                </c:pt>
                <c:pt idx="325">
                  <c:v>1.2244694806756169E-2</c:v>
                </c:pt>
                <c:pt idx="326">
                  <c:v>1.2103160710606565E-2</c:v>
                </c:pt>
                <c:pt idx="327">
                  <c:v>1.1961021909286931E-2</c:v>
                </c:pt>
                <c:pt idx="328">
                  <c:v>1.1818279230566249E-2</c:v>
                </c:pt>
                <c:pt idx="329">
                  <c:v>1.1674933495226957E-2</c:v>
                </c:pt>
                <c:pt idx="330">
                  <c:v>1.1530985517132736E-2</c:v>
                </c:pt>
                <c:pt idx="331">
                  <c:v>1.1386436103295329E-2</c:v>
                </c:pt>
                <c:pt idx="332">
                  <c:v>1.1241286053940525E-2</c:v>
                </c:pt>
                <c:pt idx="333">
                  <c:v>1.1095536162573399E-2</c:v>
                </c:pt>
                <c:pt idx="334">
                  <c:v>1.0949187216042456E-2</c:v>
                </c:pt>
                <c:pt idx="335">
                  <c:v>1.0802239994603245E-2</c:v>
                </c:pt>
                <c:pt idx="336">
                  <c:v>1.0654695271980997E-2</c:v>
                </c:pt>
                <c:pt idx="337">
                  <c:v>1.0506553815432381E-2</c:v>
                </c:pt>
                <c:pt idx="338">
                  <c:v>1.0357816385806736E-2</c:v>
                </c:pt>
                <c:pt idx="339">
                  <c:v>1.0208483737606277E-2</c:v>
                </c:pt>
                <c:pt idx="340">
                  <c:v>1.0058556619045601E-2</c:v>
                </c:pt>
                <c:pt idx="341">
                  <c:v>9.9080357721105499E-3</c:v>
                </c:pt>
                <c:pt idx="342">
                  <c:v>9.7569219326161926E-3</c:v>
                </c:pt>
                <c:pt idx="343">
                  <c:v>9.6052158302642153E-3</c:v>
                </c:pt>
                <c:pt idx="344">
                  <c:v>9.4529181886994652E-3</c:v>
                </c:pt>
                <c:pt idx="345">
                  <c:v>9.3000297255658275E-3</c:v>
                </c:pt>
                <c:pt idx="346">
                  <c:v>9.1465511525615061E-3</c:v>
                </c:pt>
                <c:pt idx="347">
                  <c:v>8.9924831754933671E-3</c:v>
                </c:pt>
                <c:pt idx="348">
                  <c:v>8.8378264943310882E-3</c:v>
                </c:pt>
                <c:pt idx="349">
                  <c:v>8.6825818032599793E-3</c:v>
                </c:pt>
                <c:pt idx="350">
                  <c:v>8.52674979073372E-3</c:v>
                </c:pt>
                <c:pt idx="351">
                  <c:v>8.3703311395262915E-3</c:v>
                </c:pt>
                <c:pt idx="352">
                  <c:v>8.2133265267829887E-3</c:v>
                </c:pt>
                <c:pt idx="353">
                  <c:v>8.0557366240712747E-3</c:v>
                </c:pt>
                <c:pt idx="354">
                  <c:v>7.8975620974307183E-3</c:v>
                </c:pt>
                <c:pt idx="355">
                  <c:v>7.7388036074222495E-3</c:v>
                </c:pt>
                <c:pt idx="356">
                  <c:v>7.5794618091772426E-3</c:v>
                </c:pt>
                <c:pt idx="357">
                  <c:v>7.4195373524455219E-3</c:v>
                </c:pt>
                <c:pt idx="358">
                  <c:v>7.2590308816430612E-3</c:v>
                </c:pt>
                <c:pt idx="359">
                  <c:v>7.0979430358990986E-3</c:v>
                </c:pt>
                <c:pt idx="360">
                  <c:v>6.9362744491025434E-3</c:v>
                </c:pt>
                <c:pt idx="361">
                  <c:v>6.7740257499481022E-3</c:v>
                </c:pt>
                <c:pt idx="362">
                  <c:v>6.6111975619815057E-3</c:v>
                </c:pt>
                <c:pt idx="363">
                  <c:v>6.4477905036444422E-3</c:v>
                </c:pt>
                <c:pt idx="364">
                  <c:v>6.2838051883189784E-3</c:v>
                </c:pt>
                <c:pt idx="365">
                  <c:v>6.1192422243712859E-3</c:v>
                </c:pt>
                <c:pt idx="366">
                  <c:v>5.9541022151950035E-3</c:v>
                </c:pt>
                <c:pt idx="367">
                  <c:v>5.7883857592539991E-3</c:v>
                </c:pt>
                <c:pt idx="368">
                  <c:v>5.6220934501246293E-3</c:v>
                </c:pt>
                <c:pt idx="369">
                  <c:v>5.455225876537728E-3</c:v>
                </c:pt>
                <c:pt idx="370">
                  <c:v>5.2877836224197328E-3</c:v>
                </c:pt>
                <c:pt idx="371">
                  <c:v>5.119767266933575E-3</c:v>
                </c:pt>
                <c:pt idx="372">
                  <c:v>4.9511773845191797E-3</c:v>
                </c:pt>
                <c:pt idx="373">
                  <c:v>4.7820145449331639E-3</c:v>
                </c:pt>
                <c:pt idx="374">
                  <c:v>4.6122793132885257E-3</c:v>
                </c:pt>
                <c:pt idx="375">
                  <c:v>4.4419722500934353E-3</c:v>
                </c:pt>
                <c:pt idx="376">
                  <c:v>4.2710939112898718E-3</c:v>
                </c:pt>
                <c:pt idx="377">
                  <c:v>4.0996448482917601E-3</c:v>
                </c:pt>
                <c:pt idx="378">
                  <c:v>3.9276256080226953E-3</c:v>
                </c:pt>
                <c:pt idx="379">
                  <c:v>3.7550367329530748E-3</c:v>
                </c:pt>
                <c:pt idx="380">
                  <c:v>3.5818787611370485E-3</c:v>
                </c:pt>
                <c:pt idx="381">
                  <c:v>3.4081522262487699E-3</c:v>
                </c:pt>
                <c:pt idx="382">
                  <c:v>3.2338576576187278E-3</c:v>
                </c:pt>
                <c:pt idx="383">
                  <c:v>3.0589955802689797E-3</c:v>
                </c:pt>
                <c:pt idx="384">
                  <c:v>2.8835665149486156E-3</c:v>
                </c:pt>
                <c:pt idx="385">
                  <c:v>2.7075709781685456E-3</c:v>
                </c:pt>
                <c:pt idx="386">
                  <c:v>2.531009482235792E-3</c:v>
                </c:pt>
                <c:pt idx="387">
                  <c:v>2.3538825352876725E-3</c:v>
                </c:pt>
                <c:pt idx="388">
                  <c:v>2.1761906413255237E-3</c:v>
                </c:pt>
                <c:pt idx="389">
                  <c:v>1.9979343002477865E-3</c:v>
                </c:pt>
                <c:pt idx="390">
                  <c:v>1.8191140078831136E-3</c:v>
                </c:pt>
                <c:pt idx="391">
                  <c:v>1.639730256022954E-3</c:v>
                </c:pt>
                <c:pt idx="392">
                  <c:v>1.4597835324537142E-3</c:v>
                </c:pt>
                <c:pt idx="393">
                  <c:v>1.2792743209885592E-3</c:v>
                </c:pt>
                <c:pt idx="394">
                  <c:v>1.0982031014991039E-3</c:v>
                </c:pt>
                <c:pt idx="395">
                  <c:v>9.165703499464503E-4</c:v>
                </c:pt>
                <c:pt idx="396">
                  <c:v>7.3437653841204348E-4</c:v>
                </c:pt>
                <c:pt idx="397">
                  <c:v>5.5162213512834979E-4</c:v>
                </c:pt>
                <c:pt idx="398">
                  <c:v>3.6830760450873995E-4</c:v>
                </c:pt>
                <c:pt idx="399">
                  <c:v>1.8443340717759228E-4</c:v>
                </c:pt>
                <c:pt idx="400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'xVA Calculations'!$X$29</c:f>
              <c:strCache>
                <c:ptCount val="1"/>
                <c:pt idx="0">
                  <c:v>NEE (collateralised)</c:v>
                </c:pt>
              </c:strCache>
            </c:strRef>
          </c:tx>
          <c:marker>
            <c:symbol val="none"/>
          </c:marker>
          <c:xVal>
            <c:numRef>
              <c:f>'xVA Calculations'!$N$30:$N$430</c:f>
              <c:numCache>
                <c:formatCode>0.00</c:formatCode>
                <c:ptCount val="401"/>
                <c:pt idx="0">
                  <c:v>8.7500000000000008E-3</c:v>
                </c:pt>
                <c:pt idx="1">
                  <c:v>1.7500000000000002E-2</c:v>
                </c:pt>
                <c:pt idx="2">
                  <c:v>3.5000000000000003E-2</c:v>
                </c:pt>
                <c:pt idx="3">
                  <c:v>5.2500000000000005E-2</c:v>
                </c:pt>
                <c:pt idx="4">
                  <c:v>7.0000000000000007E-2</c:v>
                </c:pt>
                <c:pt idx="5">
                  <c:v>8.7500000000000008E-2</c:v>
                </c:pt>
                <c:pt idx="6">
                  <c:v>0.10500000000000001</c:v>
                </c:pt>
                <c:pt idx="7">
                  <c:v>0.12250000000000001</c:v>
                </c:pt>
                <c:pt idx="8">
                  <c:v>0.14000000000000001</c:v>
                </c:pt>
                <c:pt idx="9">
                  <c:v>0.15750000000000003</c:v>
                </c:pt>
                <c:pt idx="10">
                  <c:v>0.17500000000000004</c:v>
                </c:pt>
                <c:pt idx="11">
                  <c:v>0.19250000000000006</c:v>
                </c:pt>
                <c:pt idx="12">
                  <c:v>0.21000000000000008</c:v>
                </c:pt>
                <c:pt idx="13">
                  <c:v>0.22750000000000009</c:v>
                </c:pt>
                <c:pt idx="14">
                  <c:v>0.24500000000000011</c:v>
                </c:pt>
                <c:pt idx="15">
                  <c:v>0.26250000000000012</c:v>
                </c:pt>
                <c:pt idx="16">
                  <c:v>0.28000000000000014</c:v>
                </c:pt>
                <c:pt idx="17">
                  <c:v>0.29750000000000015</c:v>
                </c:pt>
                <c:pt idx="18">
                  <c:v>0.31500000000000017</c:v>
                </c:pt>
                <c:pt idx="19">
                  <c:v>0.33250000000000018</c:v>
                </c:pt>
                <c:pt idx="20">
                  <c:v>0.3500000000000002</c:v>
                </c:pt>
                <c:pt idx="21">
                  <c:v>0.36750000000000022</c:v>
                </c:pt>
                <c:pt idx="22">
                  <c:v>0.38500000000000023</c:v>
                </c:pt>
                <c:pt idx="23">
                  <c:v>0.40250000000000025</c:v>
                </c:pt>
                <c:pt idx="24">
                  <c:v>0.42000000000000026</c:v>
                </c:pt>
                <c:pt idx="25">
                  <c:v>0.43750000000000028</c:v>
                </c:pt>
                <c:pt idx="26">
                  <c:v>0.45500000000000029</c:v>
                </c:pt>
                <c:pt idx="27">
                  <c:v>0.47250000000000031</c:v>
                </c:pt>
                <c:pt idx="28">
                  <c:v>0.49000000000000032</c:v>
                </c:pt>
                <c:pt idx="29">
                  <c:v>0.50750000000000028</c:v>
                </c:pt>
                <c:pt idx="30">
                  <c:v>0.52500000000000024</c:v>
                </c:pt>
                <c:pt idx="31">
                  <c:v>0.5425000000000002</c:v>
                </c:pt>
                <c:pt idx="32">
                  <c:v>0.56000000000000016</c:v>
                </c:pt>
                <c:pt idx="33">
                  <c:v>0.57750000000000012</c:v>
                </c:pt>
                <c:pt idx="34">
                  <c:v>0.59500000000000008</c:v>
                </c:pt>
                <c:pt idx="35">
                  <c:v>0.61250000000000004</c:v>
                </c:pt>
                <c:pt idx="36">
                  <c:v>0.63</c:v>
                </c:pt>
                <c:pt idx="37">
                  <c:v>0.64749999999999996</c:v>
                </c:pt>
                <c:pt idx="38">
                  <c:v>0.66499999999999992</c:v>
                </c:pt>
                <c:pt idx="39">
                  <c:v>0.68249999999999988</c:v>
                </c:pt>
                <c:pt idx="40">
                  <c:v>0.69999999999999984</c:v>
                </c:pt>
                <c:pt idx="41">
                  <c:v>0.7174999999999998</c:v>
                </c:pt>
                <c:pt idx="42">
                  <c:v>0.73499999999999976</c:v>
                </c:pt>
                <c:pt idx="43">
                  <c:v>0.75249999999999972</c:v>
                </c:pt>
                <c:pt idx="44">
                  <c:v>0.76999999999999968</c:v>
                </c:pt>
                <c:pt idx="45">
                  <c:v>0.78749999999999964</c:v>
                </c:pt>
                <c:pt idx="46">
                  <c:v>0.8049999999999996</c:v>
                </c:pt>
                <c:pt idx="47">
                  <c:v>0.82249999999999956</c:v>
                </c:pt>
                <c:pt idx="48">
                  <c:v>0.83999999999999952</c:v>
                </c:pt>
                <c:pt idx="49">
                  <c:v>0.85749999999999948</c:v>
                </c:pt>
                <c:pt idx="50">
                  <c:v>0.87499999999999944</c:v>
                </c:pt>
                <c:pt idx="51">
                  <c:v>0.8924999999999994</c:v>
                </c:pt>
                <c:pt idx="52">
                  <c:v>0.90999999999999936</c:v>
                </c:pt>
                <c:pt idx="53">
                  <c:v>0.92749999999999932</c:v>
                </c:pt>
                <c:pt idx="54">
                  <c:v>0.94499999999999929</c:v>
                </c:pt>
                <c:pt idx="55">
                  <c:v>0.96249999999999925</c:v>
                </c:pt>
                <c:pt idx="56">
                  <c:v>0.97999999999999921</c:v>
                </c:pt>
                <c:pt idx="57">
                  <c:v>0.99749999999999917</c:v>
                </c:pt>
                <c:pt idx="58">
                  <c:v>1.0149999999999992</c:v>
                </c:pt>
                <c:pt idx="59">
                  <c:v>1.0324999999999993</c:v>
                </c:pt>
                <c:pt idx="60">
                  <c:v>1.0499999999999994</c:v>
                </c:pt>
                <c:pt idx="61">
                  <c:v>1.0674999999999994</c:v>
                </c:pt>
                <c:pt idx="62">
                  <c:v>1.0849999999999995</c:v>
                </c:pt>
                <c:pt idx="63">
                  <c:v>1.1024999999999996</c:v>
                </c:pt>
                <c:pt idx="64">
                  <c:v>1.1199999999999997</c:v>
                </c:pt>
                <c:pt idx="65">
                  <c:v>1.1374999999999997</c:v>
                </c:pt>
                <c:pt idx="66">
                  <c:v>1.1549999999999998</c:v>
                </c:pt>
                <c:pt idx="67">
                  <c:v>1.1724999999999999</c:v>
                </c:pt>
                <c:pt idx="68">
                  <c:v>1.19</c:v>
                </c:pt>
                <c:pt idx="69">
                  <c:v>1.2075</c:v>
                </c:pt>
                <c:pt idx="70">
                  <c:v>1.2250000000000001</c:v>
                </c:pt>
                <c:pt idx="71">
                  <c:v>1.2425000000000002</c:v>
                </c:pt>
                <c:pt idx="72">
                  <c:v>1.2600000000000002</c:v>
                </c:pt>
                <c:pt idx="73">
                  <c:v>1.2775000000000003</c:v>
                </c:pt>
                <c:pt idx="74">
                  <c:v>1.2950000000000004</c:v>
                </c:pt>
                <c:pt idx="75">
                  <c:v>1.3125000000000004</c:v>
                </c:pt>
                <c:pt idx="76">
                  <c:v>1.3300000000000005</c:v>
                </c:pt>
                <c:pt idx="77">
                  <c:v>1.3475000000000006</c:v>
                </c:pt>
                <c:pt idx="78">
                  <c:v>1.3650000000000007</c:v>
                </c:pt>
                <c:pt idx="79">
                  <c:v>1.3825000000000007</c:v>
                </c:pt>
                <c:pt idx="80">
                  <c:v>1.4000000000000008</c:v>
                </c:pt>
                <c:pt idx="81">
                  <c:v>1.4175000000000009</c:v>
                </c:pt>
                <c:pt idx="82">
                  <c:v>1.4350000000000009</c:v>
                </c:pt>
                <c:pt idx="83">
                  <c:v>1.452500000000001</c:v>
                </c:pt>
                <c:pt idx="84">
                  <c:v>1.4700000000000011</c:v>
                </c:pt>
                <c:pt idx="85">
                  <c:v>1.4875000000000012</c:v>
                </c:pt>
                <c:pt idx="86">
                  <c:v>1.5050000000000012</c:v>
                </c:pt>
                <c:pt idx="87">
                  <c:v>1.5225000000000013</c:v>
                </c:pt>
                <c:pt idx="88">
                  <c:v>1.5400000000000014</c:v>
                </c:pt>
                <c:pt idx="89">
                  <c:v>1.5575000000000014</c:v>
                </c:pt>
                <c:pt idx="90">
                  <c:v>1.5750000000000015</c:v>
                </c:pt>
                <c:pt idx="91">
                  <c:v>1.5925000000000016</c:v>
                </c:pt>
                <c:pt idx="92">
                  <c:v>1.6100000000000017</c:v>
                </c:pt>
                <c:pt idx="93">
                  <c:v>1.6275000000000017</c:v>
                </c:pt>
                <c:pt idx="94">
                  <c:v>1.6450000000000018</c:v>
                </c:pt>
                <c:pt idx="95">
                  <c:v>1.6625000000000019</c:v>
                </c:pt>
                <c:pt idx="96">
                  <c:v>1.6800000000000019</c:v>
                </c:pt>
                <c:pt idx="97">
                  <c:v>1.697500000000002</c:v>
                </c:pt>
                <c:pt idx="98">
                  <c:v>1.7150000000000021</c:v>
                </c:pt>
                <c:pt idx="99">
                  <c:v>1.7325000000000021</c:v>
                </c:pt>
                <c:pt idx="100">
                  <c:v>1.7500000000000022</c:v>
                </c:pt>
                <c:pt idx="101">
                  <c:v>1.7675000000000023</c:v>
                </c:pt>
                <c:pt idx="102">
                  <c:v>1.7850000000000024</c:v>
                </c:pt>
                <c:pt idx="103">
                  <c:v>1.8025000000000024</c:v>
                </c:pt>
                <c:pt idx="104">
                  <c:v>1.8200000000000025</c:v>
                </c:pt>
                <c:pt idx="105">
                  <c:v>1.8375000000000026</c:v>
                </c:pt>
                <c:pt idx="106">
                  <c:v>1.8550000000000026</c:v>
                </c:pt>
                <c:pt idx="107">
                  <c:v>1.8725000000000027</c:v>
                </c:pt>
                <c:pt idx="108">
                  <c:v>1.8900000000000028</c:v>
                </c:pt>
                <c:pt idx="109">
                  <c:v>1.9075000000000029</c:v>
                </c:pt>
                <c:pt idx="110">
                  <c:v>1.9250000000000029</c:v>
                </c:pt>
                <c:pt idx="111">
                  <c:v>1.942500000000003</c:v>
                </c:pt>
                <c:pt idx="112">
                  <c:v>1.9600000000000031</c:v>
                </c:pt>
                <c:pt idx="113">
                  <c:v>1.9775000000000031</c:v>
                </c:pt>
                <c:pt idx="114">
                  <c:v>1.9950000000000032</c:v>
                </c:pt>
                <c:pt idx="115">
                  <c:v>2.0125000000000033</c:v>
                </c:pt>
                <c:pt idx="116">
                  <c:v>2.0300000000000034</c:v>
                </c:pt>
                <c:pt idx="117">
                  <c:v>2.0475000000000034</c:v>
                </c:pt>
                <c:pt idx="118">
                  <c:v>2.0650000000000035</c:v>
                </c:pt>
                <c:pt idx="119">
                  <c:v>2.0825000000000036</c:v>
                </c:pt>
                <c:pt idx="120">
                  <c:v>2.1000000000000036</c:v>
                </c:pt>
                <c:pt idx="121">
                  <c:v>2.1175000000000037</c:v>
                </c:pt>
                <c:pt idx="122">
                  <c:v>2.1350000000000038</c:v>
                </c:pt>
                <c:pt idx="123">
                  <c:v>2.1525000000000039</c:v>
                </c:pt>
                <c:pt idx="124">
                  <c:v>2.1700000000000039</c:v>
                </c:pt>
                <c:pt idx="125">
                  <c:v>2.187500000000004</c:v>
                </c:pt>
                <c:pt idx="126">
                  <c:v>2.2050000000000041</c:v>
                </c:pt>
                <c:pt idx="127">
                  <c:v>2.2225000000000041</c:v>
                </c:pt>
                <c:pt idx="128">
                  <c:v>2.2400000000000042</c:v>
                </c:pt>
                <c:pt idx="129">
                  <c:v>2.2575000000000043</c:v>
                </c:pt>
                <c:pt idx="130">
                  <c:v>2.2750000000000044</c:v>
                </c:pt>
                <c:pt idx="131">
                  <c:v>2.2925000000000044</c:v>
                </c:pt>
                <c:pt idx="132">
                  <c:v>2.3100000000000045</c:v>
                </c:pt>
                <c:pt idx="133">
                  <c:v>2.3275000000000046</c:v>
                </c:pt>
                <c:pt idx="134">
                  <c:v>2.3450000000000046</c:v>
                </c:pt>
                <c:pt idx="135">
                  <c:v>2.3625000000000047</c:v>
                </c:pt>
                <c:pt idx="136">
                  <c:v>2.3800000000000048</c:v>
                </c:pt>
                <c:pt idx="137">
                  <c:v>2.3975000000000048</c:v>
                </c:pt>
                <c:pt idx="138">
                  <c:v>2.4150000000000049</c:v>
                </c:pt>
                <c:pt idx="139">
                  <c:v>2.432500000000005</c:v>
                </c:pt>
                <c:pt idx="140">
                  <c:v>2.4500000000000051</c:v>
                </c:pt>
                <c:pt idx="141">
                  <c:v>2.4675000000000051</c:v>
                </c:pt>
                <c:pt idx="142">
                  <c:v>2.4850000000000052</c:v>
                </c:pt>
                <c:pt idx="143">
                  <c:v>2.5025000000000053</c:v>
                </c:pt>
                <c:pt idx="144">
                  <c:v>2.5200000000000053</c:v>
                </c:pt>
                <c:pt idx="145">
                  <c:v>2.5375000000000054</c:v>
                </c:pt>
                <c:pt idx="146">
                  <c:v>2.5550000000000055</c:v>
                </c:pt>
                <c:pt idx="147">
                  <c:v>2.5725000000000056</c:v>
                </c:pt>
                <c:pt idx="148">
                  <c:v>2.5900000000000056</c:v>
                </c:pt>
                <c:pt idx="149">
                  <c:v>2.6075000000000057</c:v>
                </c:pt>
                <c:pt idx="150">
                  <c:v>2.6250000000000058</c:v>
                </c:pt>
                <c:pt idx="151">
                  <c:v>2.6425000000000058</c:v>
                </c:pt>
                <c:pt idx="152">
                  <c:v>2.6600000000000059</c:v>
                </c:pt>
                <c:pt idx="153">
                  <c:v>2.677500000000006</c:v>
                </c:pt>
                <c:pt idx="154">
                  <c:v>2.6950000000000061</c:v>
                </c:pt>
                <c:pt idx="155">
                  <c:v>2.7125000000000061</c:v>
                </c:pt>
                <c:pt idx="156">
                  <c:v>2.7300000000000062</c:v>
                </c:pt>
                <c:pt idx="157">
                  <c:v>2.7475000000000063</c:v>
                </c:pt>
                <c:pt idx="158">
                  <c:v>2.7650000000000063</c:v>
                </c:pt>
                <c:pt idx="159">
                  <c:v>2.7825000000000064</c:v>
                </c:pt>
                <c:pt idx="160">
                  <c:v>2.8000000000000065</c:v>
                </c:pt>
                <c:pt idx="161">
                  <c:v>2.8175000000000066</c:v>
                </c:pt>
                <c:pt idx="162">
                  <c:v>2.8350000000000066</c:v>
                </c:pt>
                <c:pt idx="163">
                  <c:v>2.8525000000000067</c:v>
                </c:pt>
                <c:pt idx="164">
                  <c:v>2.8700000000000068</c:v>
                </c:pt>
                <c:pt idx="165">
                  <c:v>2.8875000000000068</c:v>
                </c:pt>
                <c:pt idx="166">
                  <c:v>2.9050000000000069</c:v>
                </c:pt>
                <c:pt idx="167">
                  <c:v>2.922500000000007</c:v>
                </c:pt>
                <c:pt idx="168">
                  <c:v>2.9400000000000071</c:v>
                </c:pt>
                <c:pt idx="169">
                  <c:v>2.9575000000000071</c:v>
                </c:pt>
                <c:pt idx="170">
                  <c:v>2.9750000000000072</c:v>
                </c:pt>
                <c:pt idx="171">
                  <c:v>2.9925000000000073</c:v>
                </c:pt>
                <c:pt idx="172">
                  <c:v>3.0100000000000073</c:v>
                </c:pt>
                <c:pt idx="173">
                  <c:v>3.0275000000000074</c:v>
                </c:pt>
                <c:pt idx="174">
                  <c:v>3.0450000000000075</c:v>
                </c:pt>
                <c:pt idx="175">
                  <c:v>3.0625000000000075</c:v>
                </c:pt>
                <c:pt idx="176">
                  <c:v>3.0800000000000076</c:v>
                </c:pt>
                <c:pt idx="177">
                  <c:v>3.0975000000000077</c:v>
                </c:pt>
                <c:pt idx="178">
                  <c:v>3.1150000000000078</c:v>
                </c:pt>
                <c:pt idx="179">
                  <c:v>3.1325000000000078</c:v>
                </c:pt>
                <c:pt idx="180">
                  <c:v>3.1500000000000079</c:v>
                </c:pt>
                <c:pt idx="181">
                  <c:v>3.167500000000008</c:v>
                </c:pt>
                <c:pt idx="182">
                  <c:v>3.185000000000008</c:v>
                </c:pt>
                <c:pt idx="183">
                  <c:v>3.2025000000000081</c:v>
                </c:pt>
                <c:pt idx="184">
                  <c:v>3.2200000000000082</c:v>
                </c:pt>
                <c:pt idx="185">
                  <c:v>3.2375000000000083</c:v>
                </c:pt>
                <c:pt idx="186">
                  <c:v>3.2550000000000083</c:v>
                </c:pt>
                <c:pt idx="187">
                  <c:v>3.2725000000000084</c:v>
                </c:pt>
                <c:pt idx="188">
                  <c:v>3.2900000000000085</c:v>
                </c:pt>
                <c:pt idx="189">
                  <c:v>3.3075000000000085</c:v>
                </c:pt>
                <c:pt idx="190">
                  <c:v>3.3250000000000086</c:v>
                </c:pt>
                <c:pt idx="191">
                  <c:v>3.3425000000000087</c:v>
                </c:pt>
                <c:pt idx="192">
                  <c:v>3.3600000000000088</c:v>
                </c:pt>
                <c:pt idx="193">
                  <c:v>3.3775000000000088</c:v>
                </c:pt>
                <c:pt idx="194">
                  <c:v>3.3950000000000089</c:v>
                </c:pt>
                <c:pt idx="195">
                  <c:v>3.412500000000009</c:v>
                </c:pt>
                <c:pt idx="196">
                  <c:v>3.430000000000009</c:v>
                </c:pt>
                <c:pt idx="197">
                  <c:v>3.4475000000000091</c:v>
                </c:pt>
                <c:pt idx="198">
                  <c:v>3.4650000000000092</c:v>
                </c:pt>
                <c:pt idx="199">
                  <c:v>3.4825000000000093</c:v>
                </c:pt>
                <c:pt idx="200">
                  <c:v>3.5000000000000093</c:v>
                </c:pt>
                <c:pt idx="201">
                  <c:v>3.5175000000000094</c:v>
                </c:pt>
                <c:pt idx="202">
                  <c:v>3.5350000000000095</c:v>
                </c:pt>
                <c:pt idx="203">
                  <c:v>3.5525000000000095</c:v>
                </c:pt>
                <c:pt idx="204">
                  <c:v>3.5700000000000096</c:v>
                </c:pt>
                <c:pt idx="205">
                  <c:v>3.5875000000000097</c:v>
                </c:pt>
                <c:pt idx="206">
                  <c:v>3.6050000000000098</c:v>
                </c:pt>
                <c:pt idx="207">
                  <c:v>3.6225000000000098</c:v>
                </c:pt>
                <c:pt idx="208">
                  <c:v>3.6400000000000099</c:v>
                </c:pt>
                <c:pt idx="209">
                  <c:v>3.65750000000001</c:v>
                </c:pt>
                <c:pt idx="210">
                  <c:v>3.67500000000001</c:v>
                </c:pt>
                <c:pt idx="211">
                  <c:v>3.6925000000000101</c:v>
                </c:pt>
                <c:pt idx="212">
                  <c:v>3.7100000000000102</c:v>
                </c:pt>
                <c:pt idx="213">
                  <c:v>3.7275000000000102</c:v>
                </c:pt>
                <c:pt idx="214">
                  <c:v>3.7450000000000103</c:v>
                </c:pt>
                <c:pt idx="215">
                  <c:v>3.7625000000000104</c:v>
                </c:pt>
                <c:pt idx="216">
                  <c:v>3.7800000000000105</c:v>
                </c:pt>
                <c:pt idx="217">
                  <c:v>3.7975000000000105</c:v>
                </c:pt>
                <c:pt idx="218">
                  <c:v>3.8150000000000106</c:v>
                </c:pt>
                <c:pt idx="219">
                  <c:v>3.8325000000000107</c:v>
                </c:pt>
                <c:pt idx="220">
                  <c:v>3.8500000000000107</c:v>
                </c:pt>
                <c:pt idx="221">
                  <c:v>3.8675000000000108</c:v>
                </c:pt>
                <c:pt idx="222">
                  <c:v>3.8850000000000109</c:v>
                </c:pt>
                <c:pt idx="223">
                  <c:v>3.902500000000011</c:v>
                </c:pt>
                <c:pt idx="224">
                  <c:v>3.920000000000011</c:v>
                </c:pt>
                <c:pt idx="225">
                  <c:v>3.9375000000000111</c:v>
                </c:pt>
                <c:pt idx="226">
                  <c:v>3.9550000000000112</c:v>
                </c:pt>
                <c:pt idx="227">
                  <c:v>3.9725000000000112</c:v>
                </c:pt>
                <c:pt idx="228">
                  <c:v>3.9900000000000113</c:v>
                </c:pt>
                <c:pt idx="229">
                  <c:v>4.0075000000000109</c:v>
                </c:pt>
                <c:pt idx="230">
                  <c:v>4.025000000000011</c:v>
                </c:pt>
                <c:pt idx="231">
                  <c:v>4.0425000000000111</c:v>
                </c:pt>
                <c:pt idx="232">
                  <c:v>4.0600000000000112</c:v>
                </c:pt>
                <c:pt idx="233">
                  <c:v>4.0775000000000112</c:v>
                </c:pt>
                <c:pt idx="234">
                  <c:v>4.0950000000000113</c:v>
                </c:pt>
                <c:pt idx="235">
                  <c:v>4.1125000000000114</c:v>
                </c:pt>
                <c:pt idx="236">
                  <c:v>4.1300000000000114</c:v>
                </c:pt>
                <c:pt idx="237">
                  <c:v>4.1475000000000115</c:v>
                </c:pt>
                <c:pt idx="238">
                  <c:v>4.1650000000000116</c:v>
                </c:pt>
                <c:pt idx="239">
                  <c:v>4.1825000000000117</c:v>
                </c:pt>
                <c:pt idx="240">
                  <c:v>4.2000000000000117</c:v>
                </c:pt>
                <c:pt idx="241">
                  <c:v>4.2175000000000118</c:v>
                </c:pt>
                <c:pt idx="242">
                  <c:v>4.2350000000000119</c:v>
                </c:pt>
                <c:pt idx="243">
                  <c:v>4.2525000000000119</c:v>
                </c:pt>
                <c:pt idx="244">
                  <c:v>4.270000000000012</c:v>
                </c:pt>
                <c:pt idx="245">
                  <c:v>4.2875000000000121</c:v>
                </c:pt>
                <c:pt idx="246">
                  <c:v>4.3050000000000122</c:v>
                </c:pt>
                <c:pt idx="247">
                  <c:v>4.3225000000000122</c:v>
                </c:pt>
                <c:pt idx="248">
                  <c:v>4.3400000000000123</c:v>
                </c:pt>
                <c:pt idx="249">
                  <c:v>4.3575000000000124</c:v>
                </c:pt>
                <c:pt idx="250">
                  <c:v>4.3750000000000124</c:v>
                </c:pt>
                <c:pt idx="251">
                  <c:v>4.3925000000000125</c:v>
                </c:pt>
                <c:pt idx="252">
                  <c:v>4.4100000000000126</c:v>
                </c:pt>
                <c:pt idx="253">
                  <c:v>4.4275000000000126</c:v>
                </c:pt>
                <c:pt idx="254">
                  <c:v>4.4450000000000127</c:v>
                </c:pt>
                <c:pt idx="255">
                  <c:v>4.4625000000000128</c:v>
                </c:pt>
                <c:pt idx="256">
                  <c:v>4.4800000000000129</c:v>
                </c:pt>
                <c:pt idx="257">
                  <c:v>4.4975000000000129</c:v>
                </c:pt>
                <c:pt idx="258">
                  <c:v>4.515000000000013</c:v>
                </c:pt>
                <c:pt idx="259">
                  <c:v>4.5325000000000131</c:v>
                </c:pt>
                <c:pt idx="260">
                  <c:v>4.5500000000000131</c:v>
                </c:pt>
                <c:pt idx="261">
                  <c:v>4.5675000000000132</c:v>
                </c:pt>
                <c:pt idx="262">
                  <c:v>4.5850000000000133</c:v>
                </c:pt>
                <c:pt idx="263">
                  <c:v>4.6025000000000134</c:v>
                </c:pt>
                <c:pt idx="264">
                  <c:v>4.6200000000000134</c:v>
                </c:pt>
                <c:pt idx="265">
                  <c:v>4.6375000000000135</c:v>
                </c:pt>
                <c:pt idx="266">
                  <c:v>4.6550000000000136</c:v>
                </c:pt>
                <c:pt idx="267">
                  <c:v>4.6725000000000136</c:v>
                </c:pt>
                <c:pt idx="268">
                  <c:v>4.6900000000000137</c:v>
                </c:pt>
                <c:pt idx="269">
                  <c:v>4.7075000000000138</c:v>
                </c:pt>
                <c:pt idx="270">
                  <c:v>4.7250000000000139</c:v>
                </c:pt>
                <c:pt idx="271">
                  <c:v>4.7425000000000139</c:v>
                </c:pt>
                <c:pt idx="272">
                  <c:v>4.760000000000014</c:v>
                </c:pt>
                <c:pt idx="273">
                  <c:v>4.7775000000000141</c:v>
                </c:pt>
                <c:pt idx="274">
                  <c:v>4.7950000000000141</c:v>
                </c:pt>
                <c:pt idx="275">
                  <c:v>4.8125000000000142</c:v>
                </c:pt>
                <c:pt idx="276">
                  <c:v>4.8300000000000143</c:v>
                </c:pt>
                <c:pt idx="277">
                  <c:v>4.8475000000000144</c:v>
                </c:pt>
                <c:pt idx="278">
                  <c:v>4.8650000000000144</c:v>
                </c:pt>
                <c:pt idx="279">
                  <c:v>4.8825000000000145</c:v>
                </c:pt>
                <c:pt idx="280">
                  <c:v>4.9000000000000146</c:v>
                </c:pt>
                <c:pt idx="281">
                  <c:v>4.9175000000000146</c:v>
                </c:pt>
                <c:pt idx="282">
                  <c:v>4.9350000000000147</c:v>
                </c:pt>
                <c:pt idx="283">
                  <c:v>4.9525000000000148</c:v>
                </c:pt>
                <c:pt idx="284">
                  <c:v>4.9700000000000149</c:v>
                </c:pt>
                <c:pt idx="285">
                  <c:v>4.9875000000000149</c:v>
                </c:pt>
                <c:pt idx="286">
                  <c:v>5.005000000000015</c:v>
                </c:pt>
                <c:pt idx="287">
                  <c:v>5.0225000000000151</c:v>
                </c:pt>
                <c:pt idx="288">
                  <c:v>5.0400000000000151</c:v>
                </c:pt>
                <c:pt idx="289">
                  <c:v>5.0575000000000152</c:v>
                </c:pt>
                <c:pt idx="290">
                  <c:v>5.0750000000000153</c:v>
                </c:pt>
                <c:pt idx="291">
                  <c:v>5.0925000000000153</c:v>
                </c:pt>
                <c:pt idx="292">
                  <c:v>5.1100000000000154</c:v>
                </c:pt>
                <c:pt idx="293">
                  <c:v>5.1275000000000155</c:v>
                </c:pt>
                <c:pt idx="294">
                  <c:v>5.1450000000000156</c:v>
                </c:pt>
                <c:pt idx="295">
                  <c:v>5.1625000000000156</c:v>
                </c:pt>
                <c:pt idx="296">
                  <c:v>5.1800000000000157</c:v>
                </c:pt>
                <c:pt idx="297">
                  <c:v>5.1975000000000158</c:v>
                </c:pt>
                <c:pt idx="298">
                  <c:v>5.2150000000000158</c:v>
                </c:pt>
                <c:pt idx="299">
                  <c:v>5.2325000000000159</c:v>
                </c:pt>
                <c:pt idx="300">
                  <c:v>5.250000000000016</c:v>
                </c:pt>
                <c:pt idx="301">
                  <c:v>5.2675000000000161</c:v>
                </c:pt>
                <c:pt idx="302">
                  <c:v>5.2850000000000161</c:v>
                </c:pt>
                <c:pt idx="303">
                  <c:v>5.3025000000000162</c:v>
                </c:pt>
                <c:pt idx="304">
                  <c:v>5.3200000000000163</c:v>
                </c:pt>
                <c:pt idx="305">
                  <c:v>5.3375000000000163</c:v>
                </c:pt>
                <c:pt idx="306">
                  <c:v>5.3550000000000164</c:v>
                </c:pt>
                <c:pt idx="307">
                  <c:v>5.3725000000000165</c:v>
                </c:pt>
                <c:pt idx="308">
                  <c:v>5.3900000000000166</c:v>
                </c:pt>
                <c:pt idx="309">
                  <c:v>5.4075000000000166</c:v>
                </c:pt>
                <c:pt idx="310">
                  <c:v>5.4250000000000167</c:v>
                </c:pt>
                <c:pt idx="311">
                  <c:v>5.4425000000000168</c:v>
                </c:pt>
                <c:pt idx="312">
                  <c:v>5.4600000000000168</c:v>
                </c:pt>
                <c:pt idx="313">
                  <c:v>5.4775000000000169</c:v>
                </c:pt>
                <c:pt idx="314">
                  <c:v>5.495000000000017</c:v>
                </c:pt>
                <c:pt idx="315">
                  <c:v>5.5125000000000171</c:v>
                </c:pt>
                <c:pt idx="316">
                  <c:v>5.5300000000000171</c:v>
                </c:pt>
                <c:pt idx="317">
                  <c:v>5.5475000000000172</c:v>
                </c:pt>
                <c:pt idx="318">
                  <c:v>5.5650000000000173</c:v>
                </c:pt>
                <c:pt idx="319">
                  <c:v>5.5825000000000173</c:v>
                </c:pt>
                <c:pt idx="320">
                  <c:v>5.6000000000000174</c:v>
                </c:pt>
                <c:pt idx="321">
                  <c:v>5.6175000000000175</c:v>
                </c:pt>
                <c:pt idx="322">
                  <c:v>5.6350000000000176</c:v>
                </c:pt>
                <c:pt idx="323">
                  <c:v>5.6525000000000176</c:v>
                </c:pt>
                <c:pt idx="324">
                  <c:v>5.6700000000000177</c:v>
                </c:pt>
                <c:pt idx="325">
                  <c:v>5.6875000000000178</c:v>
                </c:pt>
                <c:pt idx="326">
                  <c:v>5.7050000000000178</c:v>
                </c:pt>
                <c:pt idx="327">
                  <c:v>5.7225000000000179</c:v>
                </c:pt>
                <c:pt idx="328">
                  <c:v>5.740000000000018</c:v>
                </c:pt>
                <c:pt idx="329">
                  <c:v>5.757500000000018</c:v>
                </c:pt>
                <c:pt idx="330">
                  <c:v>5.7750000000000181</c:v>
                </c:pt>
                <c:pt idx="331">
                  <c:v>5.7925000000000182</c:v>
                </c:pt>
                <c:pt idx="332">
                  <c:v>5.8100000000000183</c:v>
                </c:pt>
                <c:pt idx="333">
                  <c:v>5.8275000000000183</c:v>
                </c:pt>
                <c:pt idx="334">
                  <c:v>5.8450000000000184</c:v>
                </c:pt>
                <c:pt idx="335">
                  <c:v>5.8625000000000185</c:v>
                </c:pt>
                <c:pt idx="336">
                  <c:v>5.8800000000000185</c:v>
                </c:pt>
                <c:pt idx="337">
                  <c:v>5.8975000000000186</c:v>
                </c:pt>
                <c:pt idx="338">
                  <c:v>5.9150000000000187</c:v>
                </c:pt>
                <c:pt idx="339">
                  <c:v>5.9325000000000188</c:v>
                </c:pt>
                <c:pt idx="340">
                  <c:v>5.9500000000000188</c:v>
                </c:pt>
                <c:pt idx="341">
                  <c:v>5.9675000000000189</c:v>
                </c:pt>
                <c:pt idx="342">
                  <c:v>5.985000000000019</c:v>
                </c:pt>
                <c:pt idx="343">
                  <c:v>6.002500000000019</c:v>
                </c:pt>
                <c:pt idx="344">
                  <c:v>6.0200000000000191</c:v>
                </c:pt>
                <c:pt idx="345">
                  <c:v>6.0375000000000192</c:v>
                </c:pt>
                <c:pt idx="346">
                  <c:v>6.0550000000000193</c:v>
                </c:pt>
                <c:pt idx="347">
                  <c:v>6.0725000000000193</c:v>
                </c:pt>
                <c:pt idx="348">
                  <c:v>6.0900000000000194</c:v>
                </c:pt>
                <c:pt idx="349">
                  <c:v>6.1075000000000195</c:v>
                </c:pt>
                <c:pt idx="350">
                  <c:v>6.1250000000000195</c:v>
                </c:pt>
                <c:pt idx="351">
                  <c:v>6.1425000000000196</c:v>
                </c:pt>
                <c:pt idx="352">
                  <c:v>6.1600000000000197</c:v>
                </c:pt>
                <c:pt idx="353">
                  <c:v>6.1775000000000198</c:v>
                </c:pt>
                <c:pt idx="354">
                  <c:v>6.1950000000000198</c:v>
                </c:pt>
                <c:pt idx="355">
                  <c:v>6.2125000000000199</c:v>
                </c:pt>
                <c:pt idx="356">
                  <c:v>6.23000000000002</c:v>
                </c:pt>
                <c:pt idx="357">
                  <c:v>6.24750000000002</c:v>
                </c:pt>
                <c:pt idx="358">
                  <c:v>6.2650000000000201</c:v>
                </c:pt>
                <c:pt idx="359">
                  <c:v>6.2825000000000202</c:v>
                </c:pt>
                <c:pt idx="360">
                  <c:v>6.3000000000000203</c:v>
                </c:pt>
                <c:pt idx="361">
                  <c:v>6.3175000000000203</c:v>
                </c:pt>
                <c:pt idx="362">
                  <c:v>6.3350000000000204</c:v>
                </c:pt>
                <c:pt idx="363">
                  <c:v>6.3525000000000205</c:v>
                </c:pt>
                <c:pt idx="364">
                  <c:v>6.3700000000000205</c:v>
                </c:pt>
                <c:pt idx="365">
                  <c:v>6.3875000000000206</c:v>
                </c:pt>
                <c:pt idx="366">
                  <c:v>6.4050000000000207</c:v>
                </c:pt>
                <c:pt idx="367">
                  <c:v>6.4225000000000207</c:v>
                </c:pt>
                <c:pt idx="368">
                  <c:v>6.4400000000000208</c:v>
                </c:pt>
                <c:pt idx="369">
                  <c:v>6.4575000000000209</c:v>
                </c:pt>
                <c:pt idx="370">
                  <c:v>6.475000000000021</c:v>
                </c:pt>
                <c:pt idx="371">
                  <c:v>6.492500000000021</c:v>
                </c:pt>
                <c:pt idx="372">
                  <c:v>6.5100000000000211</c:v>
                </c:pt>
                <c:pt idx="373">
                  <c:v>6.5275000000000212</c:v>
                </c:pt>
                <c:pt idx="374">
                  <c:v>6.5450000000000212</c:v>
                </c:pt>
                <c:pt idx="375">
                  <c:v>6.5625000000000213</c:v>
                </c:pt>
                <c:pt idx="376">
                  <c:v>6.5800000000000214</c:v>
                </c:pt>
                <c:pt idx="377">
                  <c:v>6.5975000000000215</c:v>
                </c:pt>
                <c:pt idx="378">
                  <c:v>6.6150000000000215</c:v>
                </c:pt>
                <c:pt idx="379">
                  <c:v>6.6325000000000216</c:v>
                </c:pt>
                <c:pt idx="380">
                  <c:v>6.6500000000000217</c:v>
                </c:pt>
                <c:pt idx="381">
                  <c:v>6.6675000000000217</c:v>
                </c:pt>
                <c:pt idx="382">
                  <c:v>6.6850000000000218</c:v>
                </c:pt>
                <c:pt idx="383">
                  <c:v>6.7025000000000219</c:v>
                </c:pt>
                <c:pt idx="384">
                  <c:v>6.720000000000022</c:v>
                </c:pt>
                <c:pt idx="385">
                  <c:v>6.737500000000022</c:v>
                </c:pt>
                <c:pt idx="386">
                  <c:v>6.7550000000000221</c:v>
                </c:pt>
                <c:pt idx="387">
                  <c:v>6.7725000000000222</c:v>
                </c:pt>
                <c:pt idx="388">
                  <c:v>6.7900000000000222</c:v>
                </c:pt>
                <c:pt idx="389">
                  <c:v>6.8075000000000223</c:v>
                </c:pt>
                <c:pt idx="390">
                  <c:v>6.8250000000000224</c:v>
                </c:pt>
                <c:pt idx="391">
                  <c:v>6.8425000000000225</c:v>
                </c:pt>
                <c:pt idx="392">
                  <c:v>6.8600000000000225</c:v>
                </c:pt>
                <c:pt idx="393">
                  <c:v>6.8775000000000226</c:v>
                </c:pt>
                <c:pt idx="394">
                  <c:v>6.8950000000000227</c:v>
                </c:pt>
                <c:pt idx="395">
                  <c:v>6.9125000000000227</c:v>
                </c:pt>
                <c:pt idx="396">
                  <c:v>6.9300000000000228</c:v>
                </c:pt>
                <c:pt idx="397">
                  <c:v>6.9475000000000229</c:v>
                </c:pt>
                <c:pt idx="398">
                  <c:v>6.965000000000023</c:v>
                </c:pt>
                <c:pt idx="399">
                  <c:v>6.982500000000023</c:v>
                </c:pt>
                <c:pt idx="400">
                  <c:v>7.0000000000000231</c:v>
                </c:pt>
              </c:numCache>
            </c:numRef>
          </c:xVal>
          <c:yVal>
            <c:numRef>
              <c:f>'xVA Calculations'!$X$30:$X$430</c:f>
              <c:numCache>
                <c:formatCode>0.000%</c:formatCode>
                <c:ptCount val="401"/>
                <c:pt idx="0">
                  <c:v>-5.0320703618886645E-3</c:v>
                </c:pt>
                <c:pt idx="1">
                  <c:v>-5.0264090474366188E-3</c:v>
                </c:pt>
                <c:pt idx="2">
                  <c:v>-5.0150819592719997E-3</c:v>
                </c:pt>
                <c:pt idx="3">
                  <c:v>-5.7325145493496077E-3</c:v>
                </c:pt>
                <c:pt idx="4">
                  <c:v>-6.6043375654111953E-3</c:v>
                </c:pt>
                <c:pt idx="5">
                  <c:v>-7.3670944752363861E-3</c:v>
                </c:pt>
                <c:pt idx="6">
                  <c:v>-8.0518570947484581E-3</c:v>
                </c:pt>
                <c:pt idx="7">
                  <c:v>-8.6771251554965539E-3</c:v>
                </c:pt>
                <c:pt idx="8">
                  <c:v>-9.2549790825738748E-3</c:v>
                </c:pt>
                <c:pt idx="9">
                  <c:v>-9.7938284566896367E-3</c:v>
                </c:pt>
                <c:pt idx="10">
                  <c:v>-1.0299809623720641E-2</c:v>
                </c:pt>
                <c:pt idx="11">
                  <c:v>-1.0777565081091288E-2</c:v>
                </c:pt>
                <c:pt idx="12">
                  <c:v>-1.1230709363096975E-2</c:v>
                </c:pt>
                <c:pt idx="13">
                  <c:v>-1.1662123078311857E-2</c:v>
                </c:pt>
                <c:pt idx="14">
                  <c:v>-1.2074146788580776E-2</c:v>
                </c:pt>
                <c:pt idx="15">
                  <c:v>-1.2468713538602828E-2</c:v>
                </c:pt>
                <c:pt idx="16">
                  <c:v>-1.2847442229491714E-2</c:v>
                </c:pt>
                <c:pt idx="17">
                  <c:v>-1.3211705119936792E-2</c:v>
                </c:pt>
                <c:pt idx="18">
                  <c:v>-1.3562677718308788E-2</c:v>
                </c:pt>
                <c:pt idx="19">
                  <c:v>-1.3901376378896985E-2</c:v>
                </c:pt>
                <c:pt idx="20">
                  <c:v>-1.4228687117984317E-2</c:v>
                </c:pt>
                <c:pt idx="21">
                  <c:v>-1.4545388035297924E-2</c:v>
                </c:pt>
                <c:pt idx="22">
                  <c:v>-1.4852166995871422E-2</c:v>
                </c:pt>
                <c:pt idx="23">
                  <c:v>-1.5149635743486352E-2</c:v>
                </c:pt>
                <c:pt idx="24">
                  <c:v>-1.5438341289281069E-2</c:v>
                </c:pt>
                <c:pt idx="25">
                  <c:v>-1.5718775192952016E-2</c:v>
                </c:pt>
                <c:pt idx="26">
                  <c:v>-1.5991381195037905E-2</c:v>
                </c:pt>
                <c:pt idx="27">
                  <c:v>-1.6256561545276594E-2</c:v>
                </c:pt>
                <c:pt idx="28">
                  <c:v>-1.6514682289773059E-2</c:v>
                </c:pt>
                <c:pt idx="29">
                  <c:v>-1.6766077719304794E-2</c:v>
                </c:pt>
                <c:pt idx="30">
                  <c:v>-1.7011054136168338E-2</c:v>
                </c:pt>
                <c:pt idx="31">
                  <c:v>-1.7249893063183738E-2</c:v>
                </c:pt>
                <c:pt idx="32">
                  <c:v>-1.7482853992792226E-2</c:v>
                </c:pt>
                <c:pt idx="33">
                  <c:v>-1.7710176754470969E-2</c:v>
                </c:pt>
                <c:pt idx="34">
                  <c:v>-1.7932083563419514E-2</c:v>
                </c:pt>
                <c:pt idx="35">
                  <c:v>-1.8148780801545524E-2</c:v>
                </c:pt>
                <c:pt idx="36">
                  <c:v>-1.8360460572384427E-2</c:v>
                </c:pt>
                <c:pt idx="37">
                  <c:v>-1.8567302064137221E-2</c:v>
                </c:pt>
                <c:pt idx="38">
                  <c:v>-1.8769472749057561E-2</c:v>
                </c:pt>
                <c:pt idx="39">
                  <c:v>-1.8967129442632562E-2</c:v>
                </c:pt>
                <c:pt idx="40">
                  <c:v>-1.9160419242128562E-2</c:v>
                </c:pt>
                <c:pt idx="41">
                  <c:v>-1.9349480360919713E-2</c:v>
                </c:pt>
                <c:pt idx="42">
                  <c:v>-1.9534442872437361E-2</c:v>
                </c:pt>
                <c:pt idx="43">
                  <c:v>-1.9715429375454875E-2</c:v>
                </c:pt>
                <c:pt idx="44">
                  <c:v>-1.9892555590666664E-2</c:v>
                </c:pt>
                <c:pt idx="45">
                  <c:v>-2.0065930897062004E-2</c:v>
                </c:pt>
                <c:pt idx="46">
                  <c:v>-2.023565881537652E-2</c:v>
                </c:pt>
                <c:pt idx="47">
                  <c:v>-2.0401837444884031E-2</c:v>
                </c:pt>
                <c:pt idx="48">
                  <c:v>-2.0564559858932647E-2</c:v>
                </c:pt>
                <c:pt idx="49">
                  <c:v>-2.0723914463903668E-2</c:v>
                </c:pt>
                <c:pt idx="50">
                  <c:v>-2.0879985325656058E-2</c:v>
                </c:pt>
                <c:pt idx="51">
                  <c:v>-2.1032852466996238E-2</c:v>
                </c:pt>
                <c:pt idx="52">
                  <c:v>-2.1182592139264992E-2</c:v>
                </c:pt>
                <c:pt idx="53">
                  <c:v>-2.1329277070750611E-2</c:v>
                </c:pt>
                <c:pt idx="54">
                  <c:v>-2.1472976694307679E-2</c:v>
                </c:pt>
                <c:pt idx="55">
                  <c:v>-2.1613757356277147E-2</c:v>
                </c:pt>
                <c:pt idx="56">
                  <c:v>-2.1751682508557614E-2</c:v>
                </c:pt>
                <c:pt idx="57">
                  <c:v>-2.1886812885465012E-2</c:v>
                </c:pt>
                <c:pt idx="58">
                  <c:v>-2.201920666683272E-2</c:v>
                </c:pt>
                <c:pt idx="59">
                  <c:v>-2.2148919628642849E-2</c:v>
                </c:pt>
                <c:pt idx="60">
                  <c:v>-2.2276005282338418E-2</c:v>
                </c:pt>
                <c:pt idx="61">
                  <c:v>-2.2400515003842748E-2</c:v>
                </c:pt>
                <c:pt idx="62">
                  <c:v>-2.2522498153203806E-2</c:v>
                </c:pt>
                <c:pt idx="63">
                  <c:v>-2.264200218568636E-2</c:v>
                </c:pt>
                <c:pt idx="64">
                  <c:v>-2.2759072755049684E-2</c:v>
                </c:pt>
                <c:pt idx="65">
                  <c:v>-2.2873753809675566E-2</c:v>
                </c:pt>
                <c:pt idx="66">
                  <c:v>-2.2986087682144336E-2</c:v>
                </c:pt>
                <c:pt idx="67">
                  <c:v>-2.3096115172798838E-2</c:v>
                </c:pt>
                <c:pt idx="68">
                  <c:v>-2.3203875627784504E-2</c:v>
                </c:pt>
                <c:pt idx="69">
                  <c:v>-2.3309407012006907E-2</c:v>
                </c:pt>
                <c:pt idx="70">
                  <c:v>-2.3412745977407518E-2</c:v>
                </c:pt>
                <c:pt idx="71">
                  <c:v>-2.3513927926921127E-2</c:v>
                </c:pt>
                <c:pt idx="72">
                  <c:v>-2.3612987074445563E-2</c:v>
                </c:pt>
                <c:pt idx="73">
                  <c:v>-2.3709956501124806E-2</c:v>
                </c:pt>
                <c:pt idx="74">
                  <c:v>-2.3804868208220076E-2</c:v>
                </c:pt>
                <c:pt idx="75">
                  <c:v>-2.3897753166819215E-2</c:v>
                </c:pt>
                <c:pt idx="76">
                  <c:v>-2.3988641364613799E-2</c:v>
                </c:pt>
                <c:pt idx="77">
                  <c:v>-2.4077561849953247E-2</c:v>
                </c:pt>
                <c:pt idx="78">
                  <c:v>-2.4164542773368537E-2</c:v>
                </c:pt>
                <c:pt idx="79">
                  <c:v>-2.4249611426741344E-2</c:v>
                </c:pt>
                <c:pt idx="80">
                  <c:v>-2.4332794280280848E-2</c:v>
                </c:pt>
                <c:pt idx="81">
                  <c:v>-2.4414117017456785E-2</c:v>
                </c:pt>
                <c:pt idx="82">
                  <c:v>-2.4493604568026166E-2</c:v>
                </c:pt>
                <c:pt idx="83">
                  <c:v>-2.4571281139279536E-2</c:v>
                </c:pt>
                <c:pt idx="84">
                  <c:v>-2.4647170245623524E-2</c:v>
                </c:pt>
                <c:pt idx="85">
                  <c:v>-2.4721294736607249E-2</c:v>
                </c:pt>
                <c:pt idx="86">
                  <c:v>-2.4793676823491716E-2</c:v>
                </c:pt>
                <c:pt idx="87">
                  <c:v>-2.4864338104454674E-2</c:v>
                </c:pt>
                <c:pt idx="88">
                  <c:v>-2.4933299588515489E-2</c:v>
                </c:pt>
                <c:pt idx="89">
                  <c:v>-2.5000581718259585E-2</c:v>
                </c:pt>
                <c:pt idx="90">
                  <c:v>-2.5066204391435244E-2</c:v>
                </c:pt>
                <c:pt idx="91">
                  <c:v>-2.5130186981490905E-2</c:v>
                </c:pt>
                <c:pt idx="92">
                  <c:v>-2.519254835711621E-2</c:v>
                </c:pt>
                <c:pt idx="93">
                  <c:v>-2.5253306900845617E-2</c:v>
                </c:pt>
                <c:pt idx="94">
                  <c:v>-2.5312480526778904E-2</c:v>
                </c:pt>
                <c:pt idx="95">
                  <c:v>-2.537008669747012E-2</c:v>
                </c:pt>
                <c:pt idx="96">
                  <c:v>-2.5426142440031923E-2</c:v>
                </c:pt>
                <c:pt idx="97">
                  <c:v>-2.548066436150007E-2</c:v>
                </c:pt>
                <c:pt idx="98">
                  <c:v>-2.5533668663499116E-2</c:v>
                </c:pt>
                <c:pt idx="99">
                  <c:v>-2.5585171156248171E-2</c:v>
                </c:pt>
                <c:pt idx="100">
                  <c:v>-2.5635187271942798E-2</c:v>
                </c:pt>
                <c:pt idx="101">
                  <c:v>-2.5683732077546966E-2</c:v>
                </c:pt>
                <c:pt idx="102">
                  <c:v>-2.5730820287026699E-2</c:v>
                </c:pt>
                <c:pt idx="103">
                  <c:v>-2.5776466273054924E-2</c:v>
                </c:pt>
                <c:pt idx="104">
                  <c:v>-2.5820684078215653E-2</c:v>
                </c:pt>
                <c:pt idx="105">
                  <c:v>-2.5863487425733439E-2</c:v>
                </c:pt>
                <c:pt idx="106">
                  <c:v>-2.5904889729752498E-2</c:v>
                </c:pt>
                <c:pt idx="107">
                  <c:v>-2.5944904105188776E-2</c:v>
                </c:pt>
                <c:pt idx="108">
                  <c:v>-2.5983543377176427E-2</c:v>
                </c:pt>
                <c:pt idx="109">
                  <c:v>-2.6020820090129022E-2</c:v>
                </c:pt>
                <c:pt idx="110">
                  <c:v>-2.6056746516434918E-2</c:v>
                </c:pt>
                <c:pt idx="111">
                  <c:v>-2.6091334664804202E-2</c:v>
                </c:pt>
                <c:pt idx="112">
                  <c:v>-2.6124596288285069E-2</c:v>
                </c:pt>
                <c:pt idx="113">
                  <c:v>-2.6156542891964896E-2</c:v>
                </c:pt>
                <c:pt idx="114">
                  <c:v>-2.6187185740371349E-2</c:v>
                </c:pt>
                <c:pt idx="115">
                  <c:v>-2.621653586458806E-2</c:v>
                </c:pt>
                <c:pt idx="116">
                  <c:v>-2.6244604069097909E-2</c:v>
                </c:pt>
                <c:pt idx="117">
                  <c:v>-2.6271400938366701E-2</c:v>
                </c:pt>
                <c:pt idx="118">
                  <c:v>-2.6296936843179689E-2</c:v>
                </c:pt>
                <c:pt idx="119">
                  <c:v>-2.6321221946741497E-2</c:v>
                </c:pt>
                <c:pt idx="120">
                  <c:v>-2.6344266210551012E-2</c:v>
                </c:pt>
                <c:pt idx="121">
                  <c:v>-2.6366079400060888E-2</c:v>
                </c:pt>
                <c:pt idx="122">
                  <c:v>-2.6386671090131368E-2</c:v>
                </c:pt>
                <c:pt idx="123">
                  <c:v>-2.6406050670287822E-2</c:v>
                </c:pt>
                <c:pt idx="124">
                  <c:v>-2.6424227349790191E-2</c:v>
                </c:pt>
                <c:pt idx="125">
                  <c:v>-2.644121016252305E-2</c:v>
                </c:pt>
                <c:pt idx="126">
                  <c:v>-2.6457007971713568E-2</c:v>
                </c:pt>
                <c:pt idx="127">
                  <c:v>-2.6471629474485212E-2</c:v>
                </c:pt>
                <c:pt idx="128">
                  <c:v>-2.6485083206253687E-2</c:v>
                </c:pt>
                <c:pt idx="129">
                  <c:v>-2.6497377544972313E-2</c:v>
                </c:pt>
                <c:pt idx="130">
                  <c:v>-2.6508520715232811E-2</c:v>
                </c:pt>
                <c:pt idx="131">
                  <c:v>-2.6518520792227503E-2</c:v>
                </c:pt>
                <c:pt idx="132">
                  <c:v>-2.6527385705578849E-2</c:v>
                </c:pt>
                <c:pt idx="133">
                  <c:v>-2.653512324304165E-2</c:v>
                </c:pt>
                <c:pt idx="134">
                  <c:v>-2.6541741054082964E-2</c:v>
                </c:pt>
                <c:pt idx="135">
                  <c:v>-2.6547246653345024E-2</c:v>
                </c:pt>
                <c:pt idx="136">
                  <c:v>-2.6551647423995395E-2</c:v>
                </c:pt>
                <c:pt idx="137">
                  <c:v>-2.6554950620969121E-2</c:v>
                </c:pt>
                <c:pt idx="138">
                  <c:v>-2.6557163374107254E-2</c:v>
                </c:pt>
                <c:pt idx="139">
                  <c:v>-2.6558292691195282E-2</c:v>
                </c:pt>
                <c:pt idx="140">
                  <c:v>-2.6558345460906185E-2</c:v>
                </c:pt>
                <c:pt idx="141">
                  <c:v>-2.6557328455650807E-2</c:v>
                </c:pt>
                <c:pt idx="142">
                  <c:v>-2.655524833434009E-2</c:v>
                </c:pt>
                <c:pt idx="143">
                  <c:v>-2.6552111645061636E-2</c:v>
                </c:pt>
                <c:pt idx="144">
                  <c:v>-2.6547924827674544E-2</c:v>
                </c:pt>
                <c:pt idx="145">
                  <c:v>-2.6542694216325172E-2</c:v>
                </c:pt>
                <c:pt idx="146">
                  <c:v>-2.6536426041886822E-2</c:v>
                </c:pt>
                <c:pt idx="147">
                  <c:v>-2.652912643432628E-2</c:v>
                </c:pt>
                <c:pt idx="148">
                  <c:v>-2.652080142499989E-2</c:v>
                </c:pt>
                <c:pt idx="149">
                  <c:v>-2.6511456948881667E-2</c:v>
                </c:pt>
                <c:pt idx="150">
                  <c:v>-2.6501098846725753E-2</c:v>
                </c:pt>
                <c:pt idx="151">
                  <c:v>-2.648973286716607E-2</c:v>
                </c:pt>
                <c:pt idx="152">
                  <c:v>-2.6477364668754833E-2</c:v>
                </c:pt>
                <c:pt idx="153">
                  <c:v>-2.646399982194246E-2</c:v>
                </c:pt>
                <c:pt idx="154">
                  <c:v>-2.6449643811000817E-2</c:v>
                </c:pt>
                <c:pt idx="155">
                  <c:v>-2.6434302035891942E-2</c:v>
                </c:pt>
                <c:pt idx="156">
                  <c:v>-2.6417979814083833E-2</c:v>
                </c:pt>
                <c:pt idx="157">
                  <c:v>-2.6400682382315337E-2</c:v>
                </c:pt>
                <c:pt idx="158">
                  <c:v>-2.6382414898312039E-2</c:v>
                </c:pt>
                <c:pt idx="159">
                  <c:v>-2.6363182442454499E-2</c:v>
                </c:pt>
                <c:pt idx="160">
                  <c:v>-2.634299001940062E-2</c:v>
                </c:pt>
                <c:pt idx="161">
                  <c:v>-2.6321842559663675E-2</c:v>
                </c:pt>
                <c:pt idx="162">
                  <c:v>-2.6299744921147658E-2</c:v>
                </c:pt>
                <c:pt idx="163">
                  <c:v>-2.6276701890640831E-2</c:v>
                </c:pt>
                <c:pt idx="164">
                  <c:v>-2.6252718185269659E-2</c:v>
                </c:pt>
                <c:pt idx="165">
                  <c:v>-2.6227798453913667E-2</c:v>
                </c:pt>
                <c:pt idx="166">
                  <c:v>-2.6201947278583024E-2</c:v>
                </c:pt>
                <c:pt idx="167">
                  <c:v>-2.6175169175759707E-2</c:v>
                </c:pt>
                <c:pt idx="168">
                  <c:v>-2.6147468597703821E-2</c:v>
                </c:pt>
                <c:pt idx="169">
                  <c:v>-2.6118849933725648E-2</c:v>
                </c:pt>
                <c:pt idx="170">
                  <c:v>-2.6089317511425087E-2</c:v>
                </c:pt>
                <c:pt idx="171">
                  <c:v>-2.605887559789909E-2</c:v>
                </c:pt>
                <c:pt idx="172">
                  <c:v>-2.60275284009184E-2</c:v>
                </c:pt>
                <c:pt idx="173">
                  <c:v>-2.59952800700743E-2</c:v>
                </c:pt>
                <c:pt idx="174">
                  <c:v>-2.596213469789645E-2</c:v>
                </c:pt>
                <c:pt idx="175">
                  <c:v>-2.5928096320942822E-2</c:v>
                </c:pt>
                <c:pt idx="176">
                  <c:v>-2.58931689208622E-2</c:v>
                </c:pt>
                <c:pt idx="177">
                  <c:v>-2.5857356425430626E-2</c:v>
                </c:pt>
                <c:pt idx="178">
                  <c:v>-2.5820662709562039E-2</c:v>
                </c:pt>
                <c:pt idx="179">
                  <c:v>-2.5783091596294348E-2</c:v>
                </c:pt>
                <c:pt idx="180">
                  <c:v>-2.5744646857751352E-2</c:v>
                </c:pt>
                <c:pt idx="181">
                  <c:v>-2.5705332216081418E-2</c:v>
                </c:pt>
                <c:pt idx="182">
                  <c:v>-2.5665151344373478E-2</c:v>
                </c:pt>
                <c:pt idx="183">
                  <c:v>-2.562410786755116E-2</c:v>
                </c:pt>
                <c:pt idx="184">
                  <c:v>-2.5582205363245649E-2</c:v>
                </c:pt>
                <c:pt idx="185">
                  <c:v>-2.553944736264762E-2</c:v>
                </c:pt>
                <c:pt idx="186">
                  <c:v>-2.5495837351339451E-2</c:v>
                </c:pt>
                <c:pt idx="187">
                  <c:v>-2.5451378770107731E-2</c:v>
                </c:pt>
                <c:pt idx="188">
                  <c:v>-2.5406075015736825E-2</c:v>
                </c:pt>
                <c:pt idx="189">
                  <c:v>-2.5359929441784126E-2</c:v>
                </c:pt>
                <c:pt idx="190">
                  <c:v>-2.5312945359337476E-2</c:v>
                </c:pt>
                <c:pt idx="191">
                  <c:v>-2.5265126037755069E-2</c:v>
                </c:pt>
                <c:pt idx="192">
                  <c:v>-2.5216474705388511E-2</c:v>
                </c:pt>
                <c:pt idx="193">
                  <c:v>-2.5166994550289794E-2</c:v>
                </c:pt>
                <c:pt idx="194">
                  <c:v>-2.511668872090175E-2</c:v>
                </c:pt>
                <c:pt idx="195">
                  <c:v>-2.5065560326733551E-2</c:v>
                </c:pt>
                <c:pt idx="196">
                  <c:v>-2.5013612439020845E-2</c:v>
                </c:pt>
                <c:pt idx="197">
                  <c:v>-2.4960848091371245E-2</c:v>
                </c:pt>
                <c:pt idx="198">
                  <c:v>-2.4907270280395653E-2</c:v>
                </c:pt>
                <c:pt idx="199">
                  <c:v>-2.4852881966325697E-2</c:v>
                </c:pt>
                <c:pt idx="200">
                  <c:v>-2.47976860736175E-2</c:v>
                </c:pt>
                <c:pt idx="201">
                  <c:v>-2.4741685491542594E-2</c:v>
                </c:pt>
                <c:pt idx="202">
                  <c:v>-2.4684883074765903E-2</c:v>
                </c:pt>
                <c:pt idx="203">
                  <c:v>-2.4627281643911116E-2</c:v>
                </c:pt>
                <c:pt idx="204">
                  <c:v>-2.4568883986114273E-2</c:v>
                </c:pt>
                <c:pt idx="205">
                  <c:v>-2.4509692855565344E-2</c:v>
                </c:pt>
                <c:pt idx="206">
                  <c:v>-2.4449710974038377E-2</c:v>
                </c:pt>
                <c:pt idx="207">
                  <c:v>-2.4388941031410351E-2</c:v>
                </c:pt>
                <c:pt idx="208">
                  <c:v>-2.4327385686169444E-2</c:v>
                </c:pt>
                <c:pt idx="209">
                  <c:v>-2.426504756591219E-2</c:v>
                </c:pt>
                <c:pt idx="210">
                  <c:v>-2.4201929267830841E-2</c:v>
                </c:pt>
                <c:pt idx="211">
                  <c:v>-2.4138033359190195E-2</c:v>
                </c:pt>
                <c:pt idx="212">
                  <c:v>-2.4073362377794918E-2</c:v>
                </c:pt>
                <c:pt idx="213">
                  <c:v>-2.4007918832447048E-2</c:v>
                </c:pt>
                <c:pt idx="214">
                  <c:v>-2.3941705203394337E-2</c:v>
                </c:pt>
                <c:pt idx="215">
                  <c:v>-2.3874723942769526E-2</c:v>
                </c:pt>
                <c:pt idx="216">
                  <c:v>-2.3806977475020506E-2</c:v>
                </c:pt>
                <c:pt idx="217">
                  <c:v>-2.3738468197332045E-2</c:v>
                </c:pt>
                <c:pt idx="218">
                  <c:v>-2.3669198480039118E-2</c:v>
                </c:pt>
                <c:pt idx="219">
                  <c:v>-2.3599170667031724E-2</c:v>
                </c:pt>
                <c:pt idx="220">
                  <c:v>-2.3528387076152069E-2</c:v>
                </c:pt>
                <c:pt idx="221">
                  <c:v>-2.3456849999583539E-2</c:v>
                </c:pt>
                <c:pt idx="222">
                  <c:v>-2.3384561704232282E-2</c:v>
                </c:pt>
                <c:pt idx="223">
                  <c:v>-2.3311524432101213E-2</c:v>
                </c:pt>
                <c:pt idx="224">
                  <c:v>-2.3237740400656924E-2</c:v>
                </c:pt>
                <c:pt idx="225">
                  <c:v>-2.3163211803189063E-2</c:v>
                </c:pt>
                <c:pt idx="226">
                  <c:v>-2.3087940809163376E-2</c:v>
                </c:pt>
                <c:pt idx="227">
                  <c:v>-2.301192956456747E-2</c:v>
                </c:pt>
                <c:pt idx="228">
                  <c:v>-2.2935180192250198E-2</c:v>
                </c:pt>
                <c:pt idx="229">
                  <c:v>-2.2857694792254652E-2</c:v>
                </c:pt>
                <c:pt idx="230">
                  <c:v>-2.2779475442144655E-2</c:v>
                </c:pt>
                <c:pt idx="231">
                  <c:v>-2.270052419732526E-2</c:v>
                </c:pt>
                <c:pt idx="232">
                  <c:v>-2.2620843091357059E-2</c:v>
                </c:pt>
                <c:pt idx="233">
                  <c:v>-2.2540434136264994E-2</c:v>
                </c:pt>
                <c:pt idx="234">
                  <c:v>-2.245929932284085E-2</c:v>
                </c:pt>
                <c:pt idx="235">
                  <c:v>-2.2377440620940707E-2</c:v>
                </c:pt>
                <c:pt idx="236">
                  <c:v>-2.2294859979776527E-2</c:v>
                </c:pt>
                <c:pt idx="237">
                  <c:v>-2.221155932820261E-2</c:v>
                </c:pt>
                <c:pt idx="238">
                  <c:v>-2.2127540574996676E-2</c:v>
                </c:pt>
                <c:pt idx="239">
                  <c:v>-2.2042805609135921E-2</c:v>
                </c:pt>
                <c:pt idx="240">
                  <c:v>-2.1957356300067978E-2</c:v>
                </c:pt>
                <c:pt idx="241">
                  <c:v>-2.1871194497977097E-2</c:v>
                </c:pt>
                <c:pt idx="242">
                  <c:v>-2.1784322034045497E-2</c:v>
                </c:pt>
                <c:pt idx="243">
                  <c:v>-2.1696740720710015E-2</c:v>
                </c:pt>
                <c:pt idx="244">
                  <c:v>-2.1608452351914189E-2</c:v>
                </c:pt>
                <c:pt idx="245">
                  <c:v>-2.1519458703355882E-2</c:v>
                </c:pt>
                <c:pt idx="246">
                  <c:v>-2.1429761532730591E-2</c:v>
                </c:pt>
                <c:pt idx="247">
                  <c:v>-2.1339362579970385E-2</c:v>
                </c:pt>
                <c:pt idx="248">
                  <c:v>-2.1248263567478689E-2</c:v>
                </c:pt>
                <c:pt idx="249">
                  <c:v>-2.1156466200360907E-2</c:v>
                </c:pt>
                <c:pt idx="250">
                  <c:v>-2.1063972166651245E-2</c:v>
                </c:pt>
                <c:pt idx="251">
                  <c:v>-2.0970783137535358E-2</c:v>
                </c:pt>
                <c:pt idx="252">
                  <c:v>-2.0876900767569317E-2</c:v>
                </c:pt>
                <c:pt idx="253">
                  <c:v>-2.0782326694894757E-2</c:v>
                </c:pt>
                <c:pt idx="254">
                  <c:v>-2.0687062541450356E-2</c:v>
                </c:pt>
                <c:pt idx="255">
                  <c:v>-2.0591109913179705E-2</c:v>
                </c:pt>
                <c:pt idx="256">
                  <c:v>-2.0494470400235769E-2</c:v>
                </c:pt>
                <c:pt idx="257">
                  <c:v>-2.0397145577181693E-2</c:v>
                </c:pt>
                <c:pt idx="258">
                  <c:v>-2.0299137003188306E-2</c:v>
                </c:pt>
                <c:pt idx="259">
                  <c:v>-2.020044622222843E-2</c:v>
                </c:pt>
                <c:pt idx="260">
                  <c:v>-2.0101074763267862E-2</c:v>
                </c:pt>
                <c:pt idx="261">
                  <c:v>-2.0001024140453117E-2</c:v>
                </c:pt>
                <c:pt idx="262">
                  <c:v>-1.9900295853296134E-2</c:v>
                </c:pt>
                <c:pt idx="263">
                  <c:v>-1.9798891386855991E-2</c:v>
                </c:pt>
                <c:pt idx="264">
                  <c:v>-1.969681221191746E-2</c:v>
                </c:pt>
                <c:pt idx="265">
                  <c:v>-1.9594059785166901E-2</c:v>
                </c:pt>
                <c:pt idx="266">
                  <c:v>-1.9490635549365004E-2</c:v>
                </c:pt>
                <c:pt idx="267">
                  <c:v>-1.938654093351691E-2</c:v>
                </c:pt>
                <c:pt idx="268">
                  <c:v>-1.9281777353039608E-2</c:v>
                </c:pt>
                <c:pt idx="269">
                  <c:v>-1.9176346209926417E-2</c:v>
                </c:pt>
                <c:pt idx="270">
                  <c:v>-1.9070248892909088E-2</c:v>
                </c:pt>
                <c:pt idx="271">
                  <c:v>-1.896348677761717E-2</c:v>
                </c:pt>
                <c:pt idx="272">
                  <c:v>-1.8856061226734836E-2</c:v>
                </c:pt>
                <c:pt idx="273">
                  <c:v>-1.8747973590155235E-2</c:v>
                </c:pt>
                <c:pt idx="274">
                  <c:v>-1.8639225205132559E-2</c:v>
                </c:pt>
                <c:pt idx="275">
                  <c:v>-1.8529817396431329E-2</c:v>
                </c:pt>
                <c:pt idx="276">
                  <c:v>-1.841975147647382E-2</c:v>
                </c:pt>
                <c:pt idx="277">
                  <c:v>-1.8309028745484832E-2</c:v>
                </c:pt>
                <c:pt idx="278">
                  <c:v>-1.8197650491634323E-2</c:v>
                </c:pt>
                <c:pt idx="279">
                  <c:v>-1.8085617991177839E-2</c:v>
                </c:pt>
                <c:pt idx="280">
                  <c:v>-1.7972932508594774E-2</c:v>
                </c:pt>
                <c:pt idx="281">
                  <c:v>-1.7859595296724512E-2</c:v>
                </c:pt>
                <c:pt idx="282">
                  <c:v>-1.774560759690038E-2</c:v>
                </c:pt>
                <c:pt idx="283">
                  <c:v>-1.7630970639081631E-2</c:v>
                </c:pt>
                <c:pt idx="284">
                  <c:v>-1.7515685641983518E-2</c:v>
                </c:pt>
                <c:pt idx="285">
                  <c:v>-1.7399753813205212E-2</c:v>
                </c:pt>
                <c:pt idx="286">
                  <c:v>-1.7283176349355802E-2</c:v>
                </c:pt>
                <c:pt idx="287">
                  <c:v>-1.7165954436178642E-2</c:v>
                </c:pt>
                <c:pt idx="288">
                  <c:v>-1.7048089248673352E-2</c:v>
                </c:pt>
                <c:pt idx="289">
                  <c:v>-1.6929581951216657E-2</c:v>
                </c:pt>
                <c:pt idx="290">
                  <c:v>-1.6810433697680701E-2</c:v>
                </c:pt>
                <c:pt idx="291">
                  <c:v>-1.669064563155016E-2</c:v>
                </c:pt>
                <c:pt idx="292">
                  <c:v>-1.6570218886037401E-2</c:v>
                </c:pt>
                <c:pt idx="293">
                  <c:v>-1.6449154584195866E-2</c:v>
                </c:pt>
                <c:pt idx="294">
                  <c:v>-1.6327453839031978E-2</c:v>
                </c:pt>
                <c:pt idx="295">
                  <c:v>-1.6205117753615206E-2</c:v>
                </c:pt>
                <c:pt idx="296">
                  <c:v>-1.6082147421186778E-2</c:v>
                </c:pt>
                <c:pt idx="297">
                  <c:v>-1.5958543925266491E-2</c:v>
                </c:pt>
                <c:pt idx="298">
                  <c:v>-1.5834308339758251E-2</c:v>
                </c:pt>
                <c:pt idx="299">
                  <c:v>-1.5709441729053995E-2</c:v>
                </c:pt>
                <c:pt idx="300">
                  <c:v>-1.5583945148136031E-2</c:v>
                </c:pt>
                <c:pt idx="301">
                  <c:v>-1.5457819642677978E-2</c:v>
                </c:pt>
                <c:pt idx="302">
                  <c:v>-1.5331066249144338E-2</c:v>
                </c:pt>
                <c:pt idx="303">
                  <c:v>-1.5203685994888538E-2</c:v>
                </c:pt>
                <c:pt idx="304">
                  <c:v>-1.507567989824962E-2</c:v>
                </c:pt>
                <c:pt idx="305">
                  <c:v>-1.4947048968647502E-2</c:v>
                </c:pt>
                <c:pt idx="306">
                  <c:v>-1.4817794206677089E-2</c:v>
                </c:pt>
                <c:pt idx="307">
                  <c:v>-1.4687916604200775E-2</c:v>
                </c:pt>
                <c:pt idx="308">
                  <c:v>-1.4557417144439888E-2</c:v>
                </c:pt>
                <c:pt idx="309">
                  <c:v>-1.4426296802064791E-2</c:v>
                </c:pt>
                <c:pt idx="310">
                  <c:v>-1.4294556543283571E-2</c:v>
                </c:pt>
                <c:pt idx="311">
                  <c:v>-1.4162197325929786E-2</c:v>
                </c:pt>
                <c:pt idx="312">
                  <c:v>-1.402922009954876E-2</c:v>
                </c:pt>
                <c:pt idx="313">
                  <c:v>-1.3895625805482854E-2</c:v>
                </c:pt>
                <c:pt idx="314">
                  <c:v>-1.3761415376955376E-2</c:v>
                </c:pt>
                <c:pt idx="315">
                  <c:v>-1.362658973915346E-2</c:v>
                </c:pt>
                <c:pt idx="316">
                  <c:v>-1.349114980930999E-2</c:v>
                </c:pt>
                <c:pt idx="317">
                  <c:v>-1.3355096496783896E-2</c:v>
                </c:pt>
                <c:pt idx="318">
                  <c:v>-1.3218430703140041E-2</c:v>
                </c:pt>
                <c:pt idx="319">
                  <c:v>-1.3081153322227481E-2</c:v>
                </c:pt>
                <c:pt idx="320">
                  <c:v>-1.2943265240256813E-2</c:v>
                </c:pt>
                <c:pt idx="321">
                  <c:v>-1.2804767335876745E-2</c:v>
                </c:pt>
                <c:pt idx="322">
                  <c:v>-1.2665660480249251E-2</c:v>
                </c:pt>
                <c:pt idx="323">
                  <c:v>-1.2525945537123951E-2</c:v>
                </c:pt>
                <c:pt idx="324">
                  <c:v>-1.2385623362911598E-2</c:v>
                </c:pt>
                <c:pt idx="325">
                  <c:v>-1.2244694806756169E-2</c:v>
                </c:pt>
                <c:pt idx="326">
                  <c:v>-1.2103160710606565E-2</c:v>
                </c:pt>
                <c:pt idx="327">
                  <c:v>-1.1961021909286931E-2</c:v>
                </c:pt>
                <c:pt idx="328">
                  <c:v>-1.1818279230566249E-2</c:v>
                </c:pt>
                <c:pt idx="329">
                  <c:v>-1.1674933495226957E-2</c:v>
                </c:pt>
                <c:pt idx="330">
                  <c:v>-1.1530985517132736E-2</c:v>
                </c:pt>
                <c:pt idx="331">
                  <c:v>-1.1386436103295329E-2</c:v>
                </c:pt>
                <c:pt idx="332">
                  <c:v>-1.1241286053940525E-2</c:v>
                </c:pt>
                <c:pt idx="333">
                  <c:v>-1.1095536162573399E-2</c:v>
                </c:pt>
                <c:pt idx="334">
                  <c:v>-1.0949187216042456E-2</c:v>
                </c:pt>
                <c:pt idx="335">
                  <c:v>-1.0802239994603245E-2</c:v>
                </c:pt>
                <c:pt idx="336">
                  <c:v>-1.0654695271980997E-2</c:v>
                </c:pt>
                <c:pt idx="337">
                  <c:v>-1.0506553815432381E-2</c:v>
                </c:pt>
                <c:pt idx="338">
                  <c:v>-1.0357816385806736E-2</c:v>
                </c:pt>
                <c:pt idx="339">
                  <c:v>-1.0208483737606277E-2</c:v>
                </c:pt>
                <c:pt idx="340">
                  <c:v>-1.0058556619045601E-2</c:v>
                </c:pt>
                <c:pt idx="341">
                  <c:v>-9.9080357721105499E-3</c:v>
                </c:pt>
                <c:pt idx="342">
                  <c:v>-9.7569219326161926E-3</c:v>
                </c:pt>
                <c:pt idx="343">
                  <c:v>-9.6052158302642153E-3</c:v>
                </c:pt>
                <c:pt idx="344">
                  <c:v>-9.4529181886994652E-3</c:v>
                </c:pt>
                <c:pt idx="345">
                  <c:v>-9.3000297255658275E-3</c:v>
                </c:pt>
                <c:pt idx="346">
                  <c:v>-9.1465511525615061E-3</c:v>
                </c:pt>
                <c:pt idx="347">
                  <c:v>-8.9924831754933671E-3</c:v>
                </c:pt>
                <c:pt idx="348">
                  <c:v>-8.8378264943310882E-3</c:v>
                </c:pt>
                <c:pt idx="349">
                  <c:v>-8.6825818032599793E-3</c:v>
                </c:pt>
                <c:pt idx="350">
                  <c:v>-8.52674979073372E-3</c:v>
                </c:pt>
                <c:pt idx="351">
                  <c:v>-8.3703311395262915E-3</c:v>
                </c:pt>
                <c:pt idx="352">
                  <c:v>-8.2133265267829887E-3</c:v>
                </c:pt>
                <c:pt idx="353">
                  <c:v>-8.0557366240712747E-3</c:v>
                </c:pt>
                <c:pt idx="354">
                  <c:v>-7.8975620974307183E-3</c:v>
                </c:pt>
                <c:pt idx="355">
                  <c:v>-7.7388036074222495E-3</c:v>
                </c:pt>
                <c:pt idx="356">
                  <c:v>-7.5794618091772426E-3</c:v>
                </c:pt>
                <c:pt idx="357">
                  <c:v>-7.4195373524455219E-3</c:v>
                </c:pt>
                <c:pt idx="358">
                  <c:v>-7.2590308816430612E-3</c:v>
                </c:pt>
                <c:pt idx="359">
                  <c:v>-7.0979430358990986E-3</c:v>
                </c:pt>
                <c:pt idx="360">
                  <c:v>-6.9362744491025434E-3</c:v>
                </c:pt>
                <c:pt idx="361">
                  <c:v>-6.7740257499481022E-3</c:v>
                </c:pt>
                <c:pt idx="362">
                  <c:v>-6.6111975619815057E-3</c:v>
                </c:pt>
                <c:pt idx="363">
                  <c:v>-6.4477905036444422E-3</c:v>
                </c:pt>
                <c:pt idx="364">
                  <c:v>-6.2838051883189784E-3</c:v>
                </c:pt>
                <c:pt idx="365">
                  <c:v>-6.1192422243712859E-3</c:v>
                </c:pt>
                <c:pt idx="366">
                  <c:v>-5.9541022151950035E-3</c:v>
                </c:pt>
                <c:pt idx="367">
                  <c:v>-5.7883857592539991E-3</c:v>
                </c:pt>
                <c:pt idx="368">
                  <c:v>-5.6220934501246293E-3</c:v>
                </c:pt>
                <c:pt idx="369">
                  <c:v>-5.455225876537728E-3</c:v>
                </c:pt>
                <c:pt idx="370">
                  <c:v>-5.2877836224197328E-3</c:v>
                </c:pt>
                <c:pt idx="371">
                  <c:v>-5.119767266933575E-3</c:v>
                </c:pt>
                <c:pt idx="372">
                  <c:v>-4.9511773845191797E-3</c:v>
                </c:pt>
                <c:pt idx="373">
                  <c:v>-4.7820145449331639E-3</c:v>
                </c:pt>
                <c:pt idx="374">
                  <c:v>-4.6122793132885257E-3</c:v>
                </c:pt>
                <c:pt idx="375">
                  <c:v>-4.4419722500934353E-3</c:v>
                </c:pt>
                <c:pt idx="376">
                  <c:v>-4.2710939112898718E-3</c:v>
                </c:pt>
                <c:pt idx="377">
                  <c:v>-4.0996448482917601E-3</c:v>
                </c:pt>
                <c:pt idx="378">
                  <c:v>-3.9276256080226953E-3</c:v>
                </c:pt>
                <c:pt idx="379">
                  <c:v>-3.7550367329530748E-3</c:v>
                </c:pt>
                <c:pt idx="380">
                  <c:v>-3.5818787611370485E-3</c:v>
                </c:pt>
                <c:pt idx="381">
                  <c:v>-3.4081522262487699E-3</c:v>
                </c:pt>
                <c:pt idx="382">
                  <c:v>-3.2338576576187278E-3</c:v>
                </c:pt>
                <c:pt idx="383">
                  <c:v>-3.0589955802689797E-3</c:v>
                </c:pt>
                <c:pt idx="384">
                  <c:v>-2.8835665149486156E-3</c:v>
                </c:pt>
                <c:pt idx="385">
                  <c:v>-2.7075709781685456E-3</c:v>
                </c:pt>
                <c:pt idx="386">
                  <c:v>-2.531009482235792E-3</c:v>
                </c:pt>
                <c:pt idx="387">
                  <c:v>-2.3538825352876725E-3</c:v>
                </c:pt>
                <c:pt idx="388">
                  <c:v>-2.1761906413255237E-3</c:v>
                </c:pt>
                <c:pt idx="389">
                  <c:v>-1.9979343002477865E-3</c:v>
                </c:pt>
                <c:pt idx="390">
                  <c:v>-1.8191140078831136E-3</c:v>
                </c:pt>
                <c:pt idx="391">
                  <c:v>-1.639730256022954E-3</c:v>
                </c:pt>
                <c:pt idx="392">
                  <c:v>-1.4597835324537142E-3</c:v>
                </c:pt>
                <c:pt idx="393">
                  <c:v>-1.2792743209885592E-3</c:v>
                </c:pt>
                <c:pt idx="394">
                  <c:v>-1.0982031014991039E-3</c:v>
                </c:pt>
                <c:pt idx="395">
                  <c:v>-9.165703499464503E-4</c:v>
                </c:pt>
                <c:pt idx="396">
                  <c:v>-7.3437653841204348E-4</c:v>
                </c:pt>
                <c:pt idx="397">
                  <c:v>-5.5162213512834979E-4</c:v>
                </c:pt>
                <c:pt idx="398">
                  <c:v>-3.6830760450873995E-4</c:v>
                </c:pt>
                <c:pt idx="399">
                  <c:v>-1.8443340717759228E-4</c:v>
                </c:pt>
                <c:pt idx="40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8606624"/>
        <c:axId val="448608976"/>
      </c:scatterChart>
      <c:valAx>
        <c:axId val="448606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448608976"/>
        <c:crosses val="autoZero"/>
        <c:crossBetween val="midCat"/>
      </c:valAx>
      <c:valAx>
        <c:axId val="44860897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Exposure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48606624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t"/>
      <c:layout/>
      <c:overlay val="0"/>
      <c:spPr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648280219357469"/>
          <c:y val="0.16289552347623215"/>
          <c:w val="0.71852232105964431"/>
          <c:h val="0.7857039224263633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'xVA Calculations'!$B$43</c:f>
              <c:strCache>
                <c:ptCount val="1"/>
                <c:pt idx="0">
                  <c:v>CVA</c:v>
                </c:pt>
              </c:strCache>
            </c:strRef>
          </c:tx>
          <c:invertIfNegative val="0"/>
          <c:val>
            <c:numRef>
              <c:f>'xVA Calculations'!$D$43</c:f>
              <c:numCache>
                <c:formatCode>#,##0.0_ ;\-#,##0.0\ </c:formatCode>
                <c:ptCount val="1"/>
                <c:pt idx="0">
                  <c:v>-3.716565403156721</c:v>
                </c:pt>
              </c:numCache>
            </c:numRef>
          </c:val>
        </c:ser>
        <c:ser>
          <c:idx val="1"/>
          <c:order val="1"/>
          <c:tx>
            <c:strRef>
              <c:f>'xVA Calculations'!$B$44</c:f>
              <c:strCache>
                <c:ptCount val="1"/>
                <c:pt idx="0">
                  <c:v>DVA</c:v>
                </c:pt>
              </c:strCache>
            </c:strRef>
          </c:tx>
          <c:invertIfNegative val="0"/>
          <c:val>
            <c:numRef>
              <c:f>'xVA Calculations'!$D$44</c:f>
              <c:numCache>
                <c:formatCode>#,##0.0_ ;\-#,##0.0\ 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'xVA Calculations'!$B$45</c:f>
              <c:strCache>
                <c:ptCount val="1"/>
                <c:pt idx="0">
                  <c:v>FCA</c:v>
                </c:pt>
              </c:strCache>
            </c:strRef>
          </c:tx>
          <c:invertIfNegative val="0"/>
          <c:val>
            <c:numRef>
              <c:f>'xVA Calculations'!$D$45</c:f>
              <c:numCache>
                <c:formatCode>#,##0.0_ ;\-#,##0.0\ 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'xVA Calculations'!$B$47</c:f>
              <c:strCache>
                <c:ptCount val="1"/>
                <c:pt idx="0">
                  <c:v>MVA</c:v>
                </c:pt>
              </c:strCache>
            </c:strRef>
          </c:tx>
          <c:invertIfNegative val="0"/>
          <c:val>
            <c:numRef>
              <c:f>'xVA Calculations'!$D$47</c:f>
              <c:numCache>
                <c:formatCode>#,##0.0_ ;\-#,##0.0\ 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'xVA Calculations'!$B$48</c:f>
              <c:strCache>
                <c:ptCount val="1"/>
                <c:pt idx="0">
                  <c:v>KVA</c:v>
                </c:pt>
              </c:strCache>
            </c:strRef>
          </c:tx>
          <c:invertIfNegative val="0"/>
          <c:val>
            <c:numRef>
              <c:f>'xVA Calculations'!$D$48</c:f>
              <c:numCache>
                <c:formatCode>#,##0.0_ ;\-#,##0.0\ 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48609760"/>
        <c:axId val="448607016"/>
      </c:barChart>
      <c:scatterChart>
        <c:scatterStyle val="lineMarker"/>
        <c:varyColors val="0"/>
        <c:ser>
          <c:idx val="5"/>
          <c:order val="5"/>
          <c:tx>
            <c:v>Price</c:v>
          </c:tx>
          <c:spPr>
            <a:ln w="28575">
              <a:noFill/>
            </a:ln>
          </c:spPr>
          <c:marker>
            <c:symbol val="dash"/>
            <c:size val="1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yVal>
            <c:numRef>
              <c:f>'xVA Calculations'!$D$49</c:f>
              <c:numCache>
                <c:formatCode>#,##0.0_ ;\-#,##0.0\ </c:formatCode>
                <c:ptCount val="1"/>
                <c:pt idx="0">
                  <c:v>-3.716565403156721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8609760"/>
        <c:axId val="448607016"/>
      </c:scatterChart>
      <c:catAx>
        <c:axId val="448609760"/>
        <c:scaling>
          <c:orientation val="minMax"/>
        </c:scaling>
        <c:delete val="0"/>
        <c:axPos val="t"/>
        <c:majorTickMark val="none"/>
        <c:minorTickMark val="none"/>
        <c:tickLblPos val="none"/>
        <c:spPr>
          <a:ln w="22225">
            <a:solidFill>
              <a:schemeClr val="tx1"/>
            </a:solidFill>
            <a:prstDash val="sysDash"/>
          </a:ln>
          <a:effectLst/>
        </c:spPr>
        <c:crossAx val="448607016"/>
        <c:crosses val="autoZero"/>
        <c:auto val="1"/>
        <c:lblAlgn val="ctr"/>
        <c:lblOffset val="100"/>
        <c:noMultiLvlLbl val="0"/>
      </c:catAx>
      <c:valAx>
        <c:axId val="448607016"/>
        <c:scaling>
          <c:orientation val="maxMin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Price (bps)</a:t>
                </a:r>
              </a:p>
            </c:rich>
          </c:tx>
          <c:layout/>
          <c:overlay val="0"/>
        </c:title>
        <c:numFmt formatCode="#,##0.0_ ;\-#,##0.0\ " sourceLinked="0"/>
        <c:majorTickMark val="out"/>
        <c:minorTickMark val="none"/>
        <c:tickLblPos val="nextTo"/>
        <c:crossAx val="448609760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t"/>
      <c:layout>
        <c:manualLayout>
          <c:xMode val="edge"/>
          <c:yMode val="edge"/>
          <c:x val="3.48652403048057E-2"/>
          <c:y val="3.2207031192213846E-2"/>
          <c:w val="0.93531399571066576"/>
          <c:h val="9.7066159243904021E-2"/>
        </c:manualLayout>
      </c:layout>
      <c:overlay val="0"/>
      <c:spPr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'xVA Calculations'!$B$52</c:f>
              <c:strCache>
                <c:ptCount val="1"/>
                <c:pt idx="0">
                  <c:v>Def Risk Capital</c:v>
                </c:pt>
              </c:strCache>
            </c:strRef>
          </c:tx>
          <c:invertIfNegative val="0"/>
          <c:cat>
            <c:strRef>
              <c:f>'xVA Calculations'!$C$51:$E$51</c:f>
              <c:strCache>
                <c:ptCount val="3"/>
                <c:pt idx="0">
                  <c:v>CEM</c:v>
                </c:pt>
                <c:pt idx="1">
                  <c:v>SA-CCR</c:v>
                </c:pt>
                <c:pt idx="2">
                  <c:v>IMM</c:v>
                </c:pt>
              </c:strCache>
            </c:strRef>
          </c:cat>
          <c:val>
            <c:numRef>
              <c:f>'xVA Calculations'!$C$52:$E$52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'xVA Calculations'!$B$53</c:f>
              <c:strCache>
                <c:ptCount val="1"/>
                <c:pt idx="0">
                  <c:v>CVA Capital</c:v>
                </c:pt>
              </c:strCache>
            </c:strRef>
          </c:tx>
          <c:invertIfNegative val="0"/>
          <c:cat>
            <c:strRef>
              <c:f>'xVA Calculations'!$C$51:$E$51</c:f>
              <c:strCache>
                <c:ptCount val="3"/>
                <c:pt idx="0">
                  <c:v>CEM</c:v>
                </c:pt>
                <c:pt idx="1">
                  <c:v>SA-CCR</c:v>
                </c:pt>
                <c:pt idx="2">
                  <c:v>IMM</c:v>
                </c:pt>
              </c:strCache>
            </c:strRef>
          </c:cat>
          <c:val>
            <c:numRef>
              <c:f>'xVA Calculations'!$C$53:$E$53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9"/>
        <c:overlap val="100"/>
        <c:axId val="448607800"/>
        <c:axId val="448608192"/>
      </c:barChart>
      <c:catAx>
        <c:axId val="4486078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48608192"/>
        <c:crosses val="autoZero"/>
        <c:auto val="1"/>
        <c:lblAlgn val="ctr"/>
        <c:lblOffset val="100"/>
        <c:noMultiLvlLbl val="0"/>
      </c:catAx>
      <c:valAx>
        <c:axId val="4486081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Capital</a:t>
                </a:r>
                <a:r>
                  <a:rPr lang="en-US" baseline="0"/>
                  <a:t> Charge</a:t>
                </a:r>
                <a:endParaRPr lang="en-US"/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48607800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t"/>
      <c:layout/>
      <c:overlay val="0"/>
      <c:spPr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'xVA Calculations'!$B$54</c:f>
              <c:strCache>
                <c:ptCount val="1"/>
                <c:pt idx="0">
                  <c:v>Unhedged</c:v>
                </c:pt>
              </c:strCache>
            </c:strRef>
          </c:tx>
          <c:invertIfNegative val="0"/>
          <c:cat>
            <c:strRef>
              <c:f>'xVA Calculations'!$C$51:$E$51</c:f>
              <c:strCache>
                <c:ptCount val="3"/>
                <c:pt idx="0">
                  <c:v>CEM</c:v>
                </c:pt>
                <c:pt idx="1">
                  <c:v>SA-CCR</c:v>
                </c:pt>
                <c:pt idx="2">
                  <c:v>IMM</c:v>
                </c:pt>
              </c:strCache>
            </c:strRef>
          </c:cat>
          <c:val>
            <c:numRef>
              <c:f>'xVA Calculations'!$C$54:$E$54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'xVA Calculations'!$B$55</c:f>
              <c:strCache>
                <c:ptCount val="1"/>
                <c:pt idx="0">
                  <c:v>Hedged</c:v>
                </c:pt>
              </c:strCache>
            </c:strRef>
          </c:tx>
          <c:invertIfNegative val="0"/>
          <c:cat>
            <c:strRef>
              <c:f>'xVA Calculations'!$C$51:$E$51</c:f>
              <c:strCache>
                <c:ptCount val="3"/>
                <c:pt idx="0">
                  <c:v>CEM</c:v>
                </c:pt>
                <c:pt idx="1">
                  <c:v>SA-CCR</c:v>
                </c:pt>
                <c:pt idx="2">
                  <c:v>IMM</c:v>
                </c:pt>
              </c:strCache>
            </c:strRef>
          </c:cat>
          <c:val>
            <c:numRef>
              <c:f>'xVA Calculations'!$C$55:$E$55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9"/>
        <c:axId val="448611328"/>
        <c:axId val="448612112"/>
      </c:barChart>
      <c:catAx>
        <c:axId val="4486113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48612112"/>
        <c:crosses val="autoZero"/>
        <c:auto val="1"/>
        <c:lblAlgn val="ctr"/>
        <c:lblOffset val="100"/>
        <c:noMultiLvlLbl val="0"/>
      </c:catAx>
      <c:valAx>
        <c:axId val="44861211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Capital</a:t>
                </a:r>
                <a:r>
                  <a:rPr lang="en-US" baseline="0"/>
                  <a:t> Charge</a:t>
                </a:r>
                <a:endParaRPr lang="en-US"/>
              </a:p>
            </c:rich>
          </c:tx>
          <c:layout/>
          <c:overlay val="0"/>
        </c:title>
        <c:numFmt formatCode="0.0%" sourceLinked="0"/>
        <c:majorTickMark val="out"/>
        <c:minorTickMark val="none"/>
        <c:tickLblPos val="nextTo"/>
        <c:crossAx val="448611328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t"/>
      <c:layout/>
      <c:overlay val="0"/>
      <c:spPr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'xVA Calculations'!$O$29</c:f>
              <c:strCache>
                <c:ptCount val="1"/>
                <c:pt idx="0">
                  <c:v>Spread</c:v>
                </c:pt>
              </c:strCache>
            </c:strRef>
          </c:tx>
          <c:spPr>
            <a:ln w="22225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'xVA Calculations'!$N$30:$N$430</c:f>
              <c:numCache>
                <c:formatCode>0.00</c:formatCode>
                <c:ptCount val="401"/>
                <c:pt idx="0">
                  <c:v>8.7500000000000008E-3</c:v>
                </c:pt>
                <c:pt idx="1">
                  <c:v>1.7500000000000002E-2</c:v>
                </c:pt>
                <c:pt idx="2">
                  <c:v>3.5000000000000003E-2</c:v>
                </c:pt>
                <c:pt idx="3">
                  <c:v>5.2500000000000005E-2</c:v>
                </c:pt>
                <c:pt idx="4">
                  <c:v>7.0000000000000007E-2</c:v>
                </c:pt>
                <c:pt idx="5">
                  <c:v>8.7500000000000008E-2</c:v>
                </c:pt>
                <c:pt idx="6">
                  <c:v>0.10500000000000001</c:v>
                </c:pt>
                <c:pt idx="7">
                  <c:v>0.12250000000000001</c:v>
                </c:pt>
                <c:pt idx="8">
                  <c:v>0.14000000000000001</c:v>
                </c:pt>
                <c:pt idx="9">
                  <c:v>0.15750000000000003</c:v>
                </c:pt>
                <c:pt idx="10">
                  <c:v>0.17500000000000004</c:v>
                </c:pt>
                <c:pt idx="11">
                  <c:v>0.19250000000000006</c:v>
                </c:pt>
                <c:pt idx="12">
                  <c:v>0.21000000000000008</c:v>
                </c:pt>
                <c:pt idx="13">
                  <c:v>0.22750000000000009</c:v>
                </c:pt>
                <c:pt idx="14">
                  <c:v>0.24500000000000011</c:v>
                </c:pt>
                <c:pt idx="15">
                  <c:v>0.26250000000000012</c:v>
                </c:pt>
                <c:pt idx="16">
                  <c:v>0.28000000000000014</c:v>
                </c:pt>
                <c:pt idx="17">
                  <c:v>0.29750000000000015</c:v>
                </c:pt>
                <c:pt idx="18">
                  <c:v>0.31500000000000017</c:v>
                </c:pt>
                <c:pt idx="19">
                  <c:v>0.33250000000000018</c:v>
                </c:pt>
                <c:pt idx="20">
                  <c:v>0.3500000000000002</c:v>
                </c:pt>
                <c:pt idx="21">
                  <c:v>0.36750000000000022</c:v>
                </c:pt>
                <c:pt idx="22">
                  <c:v>0.38500000000000023</c:v>
                </c:pt>
                <c:pt idx="23">
                  <c:v>0.40250000000000025</c:v>
                </c:pt>
                <c:pt idx="24">
                  <c:v>0.42000000000000026</c:v>
                </c:pt>
                <c:pt idx="25">
                  <c:v>0.43750000000000028</c:v>
                </c:pt>
                <c:pt idx="26">
                  <c:v>0.45500000000000029</c:v>
                </c:pt>
                <c:pt idx="27">
                  <c:v>0.47250000000000031</c:v>
                </c:pt>
                <c:pt idx="28">
                  <c:v>0.49000000000000032</c:v>
                </c:pt>
                <c:pt idx="29">
                  <c:v>0.50750000000000028</c:v>
                </c:pt>
                <c:pt idx="30">
                  <c:v>0.52500000000000024</c:v>
                </c:pt>
                <c:pt idx="31">
                  <c:v>0.5425000000000002</c:v>
                </c:pt>
                <c:pt idx="32">
                  <c:v>0.56000000000000016</c:v>
                </c:pt>
                <c:pt idx="33">
                  <c:v>0.57750000000000012</c:v>
                </c:pt>
                <c:pt idx="34">
                  <c:v>0.59500000000000008</c:v>
                </c:pt>
                <c:pt idx="35">
                  <c:v>0.61250000000000004</c:v>
                </c:pt>
                <c:pt idx="36">
                  <c:v>0.63</c:v>
                </c:pt>
                <c:pt idx="37">
                  <c:v>0.64749999999999996</c:v>
                </c:pt>
                <c:pt idx="38">
                  <c:v>0.66499999999999992</c:v>
                </c:pt>
                <c:pt idx="39">
                  <c:v>0.68249999999999988</c:v>
                </c:pt>
                <c:pt idx="40">
                  <c:v>0.69999999999999984</c:v>
                </c:pt>
                <c:pt idx="41">
                  <c:v>0.7174999999999998</c:v>
                </c:pt>
                <c:pt idx="42">
                  <c:v>0.73499999999999976</c:v>
                </c:pt>
                <c:pt idx="43">
                  <c:v>0.75249999999999972</c:v>
                </c:pt>
                <c:pt idx="44">
                  <c:v>0.76999999999999968</c:v>
                </c:pt>
                <c:pt idx="45">
                  <c:v>0.78749999999999964</c:v>
                </c:pt>
                <c:pt idx="46">
                  <c:v>0.8049999999999996</c:v>
                </c:pt>
                <c:pt idx="47">
                  <c:v>0.82249999999999956</c:v>
                </c:pt>
                <c:pt idx="48">
                  <c:v>0.83999999999999952</c:v>
                </c:pt>
                <c:pt idx="49">
                  <c:v>0.85749999999999948</c:v>
                </c:pt>
                <c:pt idx="50">
                  <c:v>0.87499999999999944</c:v>
                </c:pt>
                <c:pt idx="51">
                  <c:v>0.8924999999999994</c:v>
                </c:pt>
                <c:pt idx="52">
                  <c:v>0.90999999999999936</c:v>
                </c:pt>
                <c:pt idx="53">
                  <c:v>0.92749999999999932</c:v>
                </c:pt>
                <c:pt idx="54">
                  <c:v>0.94499999999999929</c:v>
                </c:pt>
                <c:pt idx="55">
                  <c:v>0.96249999999999925</c:v>
                </c:pt>
                <c:pt idx="56">
                  <c:v>0.97999999999999921</c:v>
                </c:pt>
                <c:pt idx="57">
                  <c:v>0.99749999999999917</c:v>
                </c:pt>
                <c:pt idx="58">
                  <c:v>1.0149999999999992</c:v>
                </c:pt>
                <c:pt idx="59">
                  <c:v>1.0324999999999993</c:v>
                </c:pt>
                <c:pt idx="60">
                  <c:v>1.0499999999999994</c:v>
                </c:pt>
                <c:pt idx="61">
                  <c:v>1.0674999999999994</c:v>
                </c:pt>
                <c:pt idx="62">
                  <c:v>1.0849999999999995</c:v>
                </c:pt>
                <c:pt idx="63">
                  <c:v>1.1024999999999996</c:v>
                </c:pt>
                <c:pt idx="64">
                  <c:v>1.1199999999999997</c:v>
                </c:pt>
                <c:pt idx="65">
                  <c:v>1.1374999999999997</c:v>
                </c:pt>
                <c:pt idx="66">
                  <c:v>1.1549999999999998</c:v>
                </c:pt>
                <c:pt idx="67">
                  <c:v>1.1724999999999999</c:v>
                </c:pt>
                <c:pt idx="68">
                  <c:v>1.19</c:v>
                </c:pt>
                <c:pt idx="69">
                  <c:v>1.2075</c:v>
                </c:pt>
                <c:pt idx="70">
                  <c:v>1.2250000000000001</c:v>
                </c:pt>
                <c:pt idx="71">
                  <c:v>1.2425000000000002</c:v>
                </c:pt>
                <c:pt idx="72">
                  <c:v>1.2600000000000002</c:v>
                </c:pt>
                <c:pt idx="73">
                  <c:v>1.2775000000000003</c:v>
                </c:pt>
                <c:pt idx="74">
                  <c:v>1.2950000000000004</c:v>
                </c:pt>
                <c:pt idx="75">
                  <c:v>1.3125000000000004</c:v>
                </c:pt>
                <c:pt idx="76">
                  <c:v>1.3300000000000005</c:v>
                </c:pt>
                <c:pt idx="77">
                  <c:v>1.3475000000000006</c:v>
                </c:pt>
                <c:pt idx="78">
                  <c:v>1.3650000000000007</c:v>
                </c:pt>
                <c:pt idx="79">
                  <c:v>1.3825000000000007</c:v>
                </c:pt>
                <c:pt idx="80">
                  <c:v>1.4000000000000008</c:v>
                </c:pt>
                <c:pt idx="81">
                  <c:v>1.4175000000000009</c:v>
                </c:pt>
                <c:pt idx="82">
                  <c:v>1.4350000000000009</c:v>
                </c:pt>
                <c:pt idx="83">
                  <c:v>1.452500000000001</c:v>
                </c:pt>
                <c:pt idx="84">
                  <c:v>1.4700000000000011</c:v>
                </c:pt>
                <c:pt idx="85">
                  <c:v>1.4875000000000012</c:v>
                </c:pt>
                <c:pt idx="86">
                  <c:v>1.5050000000000012</c:v>
                </c:pt>
                <c:pt idx="87">
                  <c:v>1.5225000000000013</c:v>
                </c:pt>
                <c:pt idx="88">
                  <c:v>1.5400000000000014</c:v>
                </c:pt>
                <c:pt idx="89">
                  <c:v>1.5575000000000014</c:v>
                </c:pt>
                <c:pt idx="90">
                  <c:v>1.5750000000000015</c:v>
                </c:pt>
                <c:pt idx="91">
                  <c:v>1.5925000000000016</c:v>
                </c:pt>
                <c:pt idx="92">
                  <c:v>1.6100000000000017</c:v>
                </c:pt>
                <c:pt idx="93">
                  <c:v>1.6275000000000017</c:v>
                </c:pt>
                <c:pt idx="94">
                  <c:v>1.6450000000000018</c:v>
                </c:pt>
                <c:pt idx="95">
                  <c:v>1.6625000000000019</c:v>
                </c:pt>
                <c:pt idx="96">
                  <c:v>1.6800000000000019</c:v>
                </c:pt>
                <c:pt idx="97">
                  <c:v>1.697500000000002</c:v>
                </c:pt>
                <c:pt idx="98">
                  <c:v>1.7150000000000021</c:v>
                </c:pt>
                <c:pt idx="99">
                  <c:v>1.7325000000000021</c:v>
                </c:pt>
                <c:pt idx="100">
                  <c:v>1.7500000000000022</c:v>
                </c:pt>
                <c:pt idx="101">
                  <c:v>1.7675000000000023</c:v>
                </c:pt>
                <c:pt idx="102">
                  <c:v>1.7850000000000024</c:v>
                </c:pt>
                <c:pt idx="103">
                  <c:v>1.8025000000000024</c:v>
                </c:pt>
                <c:pt idx="104">
                  <c:v>1.8200000000000025</c:v>
                </c:pt>
                <c:pt idx="105">
                  <c:v>1.8375000000000026</c:v>
                </c:pt>
                <c:pt idx="106">
                  <c:v>1.8550000000000026</c:v>
                </c:pt>
                <c:pt idx="107">
                  <c:v>1.8725000000000027</c:v>
                </c:pt>
                <c:pt idx="108">
                  <c:v>1.8900000000000028</c:v>
                </c:pt>
                <c:pt idx="109">
                  <c:v>1.9075000000000029</c:v>
                </c:pt>
                <c:pt idx="110">
                  <c:v>1.9250000000000029</c:v>
                </c:pt>
                <c:pt idx="111">
                  <c:v>1.942500000000003</c:v>
                </c:pt>
                <c:pt idx="112">
                  <c:v>1.9600000000000031</c:v>
                </c:pt>
                <c:pt idx="113">
                  <c:v>1.9775000000000031</c:v>
                </c:pt>
                <c:pt idx="114">
                  <c:v>1.9950000000000032</c:v>
                </c:pt>
                <c:pt idx="115">
                  <c:v>2.0125000000000033</c:v>
                </c:pt>
                <c:pt idx="116">
                  <c:v>2.0300000000000034</c:v>
                </c:pt>
                <c:pt idx="117">
                  <c:v>2.0475000000000034</c:v>
                </c:pt>
                <c:pt idx="118">
                  <c:v>2.0650000000000035</c:v>
                </c:pt>
                <c:pt idx="119">
                  <c:v>2.0825000000000036</c:v>
                </c:pt>
                <c:pt idx="120">
                  <c:v>2.1000000000000036</c:v>
                </c:pt>
                <c:pt idx="121">
                  <c:v>2.1175000000000037</c:v>
                </c:pt>
                <c:pt idx="122">
                  <c:v>2.1350000000000038</c:v>
                </c:pt>
                <c:pt idx="123">
                  <c:v>2.1525000000000039</c:v>
                </c:pt>
                <c:pt idx="124">
                  <c:v>2.1700000000000039</c:v>
                </c:pt>
                <c:pt idx="125">
                  <c:v>2.187500000000004</c:v>
                </c:pt>
                <c:pt idx="126">
                  <c:v>2.2050000000000041</c:v>
                </c:pt>
                <c:pt idx="127">
                  <c:v>2.2225000000000041</c:v>
                </c:pt>
                <c:pt idx="128">
                  <c:v>2.2400000000000042</c:v>
                </c:pt>
                <c:pt idx="129">
                  <c:v>2.2575000000000043</c:v>
                </c:pt>
                <c:pt idx="130">
                  <c:v>2.2750000000000044</c:v>
                </c:pt>
                <c:pt idx="131">
                  <c:v>2.2925000000000044</c:v>
                </c:pt>
                <c:pt idx="132">
                  <c:v>2.3100000000000045</c:v>
                </c:pt>
                <c:pt idx="133">
                  <c:v>2.3275000000000046</c:v>
                </c:pt>
                <c:pt idx="134">
                  <c:v>2.3450000000000046</c:v>
                </c:pt>
                <c:pt idx="135">
                  <c:v>2.3625000000000047</c:v>
                </c:pt>
                <c:pt idx="136">
                  <c:v>2.3800000000000048</c:v>
                </c:pt>
                <c:pt idx="137">
                  <c:v>2.3975000000000048</c:v>
                </c:pt>
                <c:pt idx="138">
                  <c:v>2.4150000000000049</c:v>
                </c:pt>
                <c:pt idx="139">
                  <c:v>2.432500000000005</c:v>
                </c:pt>
                <c:pt idx="140">
                  <c:v>2.4500000000000051</c:v>
                </c:pt>
                <c:pt idx="141">
                  <c:v>2.4675000000000051</c:v>
                </c:pt>
                <c:pt idx="142">
                  <c:v>2.4850000000000052</c:v>
                </c:pt>
                <c:pt idx="143">
                  <c:v>2.5025000000000053</c:v>
                </c:pt>
                <c:pt idx="144">
                  <c:v>2.5200000000000053</c:v>
                </c:pt>
                <c:pt idx="145">
                  <c:v>2.5375000000000054</c:v>
                </c:pt>
                <c:pt idx="146">
                  <c:v>2.5550000000000055</c:v>
                </c:pt>
                <c:pt idx="147">
                  <c:v>2.5725000000000056</c:v>
                </c:pt>
                <c:pt idx="148">
                  <c:v>2.5900000000000056</c:v>
                </c:pt>
                <c:pt idx="149">
                  <c:v>2.6075000000000057</c:v>
                </c:pt>
                <c:pt idx="150">
                  <c:v>2.6250000000000058</c:v>
                </c:pt>
                <c:pt idx="151">
                  <c:v>2.6425000000000058</c:v>
                </c:pt>
                <c:pt idx="152">
                  <c:v>2.6600000000000059</c:v>
                </c:pt>
                <c:pt idx="153">
                  <c:v>2.677500000000006</c:v>
                </c:pt>
                <c:pt idx="154">
                  <c:v>2.6950000000000061</c:v>
                </c:pt>
                <c:pt idx="155">
                  <c:v>2.7125000000000061</c:v>
                </c:pt>
                <c:pt idx="156">
                  <c:v>2.7300000000000062</c:v>
                </c:pt>
                <c:pt idx="157">
                  <c:v>2.7475000000000063</c:v>
                </c:pt>
                <c:pt idx="158">
                  <c:v>2.7650000000000063</c:v>
                </c:pt>
                <c:pt idx="159">
                  <c:v>2.7825000000000064</c:v>
                </c:pt>
                <c:pt idx="160">
                  <c:v>2.8000000000000065</c:v>
                </c:pt>
                <c:pt idx="161">
                  <c:v>2.8175000000000066</c:v>
                </c:pt>
                <c:pt idx="162">
                  <c:v>2.8350000000000066</c:v>
                </c:pt>
                <c:pt idx="163">
                  <c:v>2.8525000000000067</c:v>
                </c:pt>
                <c:pt idx="164">
                  <c:v>2.8700000000000068</c:v>
                </c:pt>
                <c:pt idx="165">
                  <c:v>2.8875000000000068</c:v>
                </c:pt>
                <c:pt idx="166">
                  <c:v>2.9050000000000069</c:v>
                </c:pt>
                <c:pt idx="167">
                  <c:v>2.922500000000007</c:v>
                </c:pt>
                <c:pt idx="168">
                  <c:v>2.9400000000000071</c:v>
                </c:pt>
                <c:pt idx="169">
                  <c:v>2.9575000000000071</c:v>
                </c:pt>
                <c:pt idx="170">
                  <c:v>2.9750000000000072</c:v>
                </c:pt>
                <c:pt idx="171">
                  <c:v>2.9925000000000073</c:v>
                </c:pt>
                <c:pt idx="172">
                  <c:v>3.0100000000000073</c:v>
                </c:pt>
                <c:pt idx="173">
                  <c:v>3.0275000000000074</c:v>
                </c:pt>
                <c:pt idx="174">
                  <c:v>3.0450000000000075</c:v>
                </c:pt>
                <c:pt idx="175">
                  <c:v>3.0625000000000075</c:v>
                </c:pt>
                <c:pt idx="176">
                  <c:v>3.0800000000000076</c:v>
                </c:pt>
                <c:pt idx="177">
                  <c:v>3.0975000000000077</c:v>
                </c:pt>
                <c:pt idx="178">
                  <c:v>3.1150000000000078</c:v>
                </c:pt>
                <c:pt idx="179">
                  <c:v>3.1325000000000078</c:v>
                </c:pt>
                <c:pt idx="180">
                  <c:v>3.1500000000000079</c:v>
                </c:pt>
                <c:pt idx="181">
                  <c:v>3.167500000000008</c:v>
                </c:pt>
                <c:pt idx="182">
                  <c:v>3.185000000000008</c:v>
                </c:pt>
                <c:pt idx="183">
                  <c:v>3.2025000000000081</c:v>
                </c:pt>
                <c:pt idx="184">
                  <c:v>3.2200000000000082</c:v>
                </c:pt>
                <c:pt idx="185">
                  <c:v>3.2375000000000083</c:v>
                </c:pt>
                <c:pt idx="186">
                  <c:v>3.2550000000000083</c:v>
                </c:pt>
                <c:pt idx="187">
                  <c:v>3.2725000000000084</c:v>
                </c:pt>
                <c:pt idx="188">
                  <c:v>3.2900000000000085</c:v>
                </c:pt>
                <c:pt idx="189">
                  <c:v>3.3075000000000085</c:v>
                </c:pt>
                <c:pt idx="190">
                  <c:v>3.3250000000000086</c:v>
                </c:pt>
                <c:pt idx="191">
                  <c:v>3.3425000000000087</c:v>
                </c:pt>
                <c:pt idx="192">
                  <c:v>3.3600000000000088</c:v>
                </c:pt>
                <c:pt idx="193">
                  <c:v>3.3775000000000088</c:v>
                </c:pt>
                <c:pt idx="194">
                  <c:v>3.3950000000000089</c:v>
                </c:pt>
                <c:pt idx="195">
                  <c:v>3.412500000000009</c:v>
                </c:pt>
                <c:pt idx="196">
                  <c:v>3.430000000000009</c:v>
                </c:pt>
                <c:pt idx="197">
                  <c:v>3.4475000000000091</c:v>
                </c:pt>
                <c:pt idx="198">
                  <c:v>3.4650000000000092</c:v>
                </c:pt>
                <c:pt idx="199">
                  <c:v>3.4825000000000093</c:v>
                </c:pt>
                <c:pt idx="200">
                  <c:v>3.5000000000000093</c:v>
                </c:pt>
                <c:pt idx="201">
                  <c:v>3.5175000000000094</c:v>
                </c:pt>
                <c:pt idx="202">
                  <c:v>3.5350000000000095</c:v>
                </c:pt>
                <c:pt idx="203">
                  <c:v>3.5525000000000095</c:v>
                </c:pt>
                <c:pt idx="204">
                  <c:v>3.5700000000000096</c:v>
                </c:pt>
                <c:pt idx="205">
                  <c:v>3.5875000000000097</c:v>
                </c:pt>
                <c:pt idx="206">
                  <c:v>3.6050000000000098</c:v>
                </c:pt>
                <c:pt idx="207">
                  <c:v>3.6225000000000098</c:v>
                </c:pt>
                <c:pt idx="208">
                  <c:v>3.6400000000000099</c:v>
                </c:pt>
                <c:pt idx="209">
                  <c:v>3.65750000000001</c:v>
                </c:pt>
                <c:pt idx="210">
                  <c:v>3.67500000000001</c:v>
                </c:pt>
                <c:pt idx="211">
                  <c:v>3.6925000000000101</c:v>
                </c:pt>
                <c:pt idx="212">
                  <c:v>3.7100000000000102</c:v>
                </c:pt>
                <c:pt idx="213">
                  <c:v>3.7275000000000102</c:v>
                </c:pt>
                <c:pt idx="214">
                  <c:v>3.7450000000000103</c:v>
                </c:pt>
                <c:pt idx="215">
                  <c:v>3.7625000000000104</c:v>
                </c:pt>
                <c:pt idx="216">
                  <c:v>3.7800000000000105</c:v>
                </c:pt>
                <c:pt idx="217">
                  <c:v>3.7975000000000105</c:v>
                </c:pt>
                <c:pt idx="218">
                  <c:v>3.8150000000000106</c:v>
                </c:pt>
                <c:pt idx="219">
                  <c:v>3.8325000000000107</c:v>
                </c:pt>
                <c:pt idx="220">
                  <c:v>3.8500000000000107</c:v>
                </c:pt>
                <c:pt idx="221">
                  <c:v>3.8675000000000108</c:v>
                </c:pt>
                <c:pt idx="222">
                  <c:v>3.8850000000000109</c:v>
                </c:pt>
                <c:pt idx="223">
                  <c:v>3.902500000000011</c:v>
                </c:pt>
                <c:pt idx="224">
                  <c:v>3.920000000000011</c:v>
                </c:pt>
                <c:pt idx="225">
                  <c:v>3.9375000000000111</c:v>
                </c:pt>
                <c:pt idx="226">
                  <c:v>3.9550000000000112</c:v>
                </c:pt>
                <c:pt idx="227">
                  <c:v>3.9725000000000112</c:v>
                </c:pt>
                <c:pt idx="228">
                  <c:v>3.9900000000000113</c:v>
                </c:pt>
                <c:pt idx="229">
                  <c:v>4.0075000000000109</c:v>
                </c:pt>
                <c:pt idx="230">
                  <c:v>4.025000000000011</c:v>
                </c:pt>
                <c:pt idx="231">
                  <c:v>4.0425000000000111</c:v>
                </c:pt>
                <c:pt idx="232">
                  <c:v>4.0600000000000112</c:v>
                </c:pt>
                <c:pt idx="233">
                  <c:v>4.0775000000000112</c:v>
                </c:pt>
                <c:pt idx="234">
                  <c:v>4.0950000000000113</c:v>
                </c:pt>
                <c:pt idx="235">
                  <c:v>4.1125000000000114</c:v>
                </c:pt>
                <c:pt idx="236">
                  <c:v>4.1300000000000114</c:v>
                </c:pt>
                <c:pt idx="237">
                  <c:v>4.1475000000000115</c:v>
                </c:pt>
                <c:pt idx="238">
                  <c:v>4.1650000000000116</c:v>
                </c:pt>
                <c:pt idx="239">
                  <c:v>4.1825000000000117</c:v>
                </c:pt>
                <c:pt idx="240">
                  <c:v>4.2000000000000117</c:v>
                </c:pt>
                <c:pt idx="241">
                  <c:v>4.2175000000000118</c:v>
                </c:pt>
                <c:pt idx="242">
                  <c:v>4.2350000000000119</c:v>
                </c:pt>
                <c:pt idx="243">
                  <c:v>4.2525000000000119</c:v>
                </c:pt>
                <c:pt idx="244">
                  <c:v>4.270000000000012</c:v>
                </c:pt>
                <c:pt idx="245">
                  <c:v>4.2875000000000121</c:v>
                </c:pt>
                <c:pt idx="246">
                  <c:v>4.3050000000000122</c:v>
                </c:pt>
                <c:pt idx="247">
                  <c:v>4.3225000000000122</c:v>
                </c:pt>
                <c:pt idx="248">
                  <c:v>4.3400000000000123</c:v>
                </c:pt>
                <c:pt idx="249">
                  <c:v>4.3575000000000124</c:v>
                </c:pt>
                <c:pt idx="250">
                  <c:v>4.3750000000000124</c:v>
                </c:pt>
                <c:pt idx="251">
                  <c:v>4.3925000000000125</c:v>
                </c:pt>
                <c:pt idx="252">
                  <c:v>4.4100000000000126</c:v>
                </c:pt>
                <c:pt idx="253">
                  <c:v>4.4275000000000126</c:v>
                </c:pt>
                <c:pt idx="254">
                  <c:v>4.4450000000000127</c:v>
                </c:pt>
                <c:pt idx="255">
                  <c:v>4.4625000000000128</c:v>
                </c:pt>
                <c:pt idx="256">
                  <c:v>4.4800000000000129</c:v>
                </c:pt>
                <c:pt idx="257">
                  <c:v>4.4975000000000129</c:v>
                </c:pt>
                <c:pt idx="258">
                  <c:v>4.515000000000013</c:v>
                </c:pt>
                <c:pt idx="259">
                  <c:v>4.5325000000000131</c:v>
                </c:pt>
                <c:pt idx="260">
                  <c:v>4.5500000000000131</c:v>
                </c:pt>
                <c:pt idx="261">
                  <c:v>4.5675000000000132</c:v>
                </c:pt>
                <c:pt idx="262">
                  <c:v>4.5850000000000133</c:v>
                </c:pt>
                <c:pt idx="263">
                  <c:v>4.6025000000000134</c:v>
                </c:pt>
                <c:pt idx="264">
                  <c:v>4.6200000000000134</c:v>
                </c:pt>
                <c:pt idx="265">
                  <c:v>4.6375000000000135</c:v>
                </c:pt>
                <c:pt idx="266">
                  <c:v>4.6550000000000136</c:v>
                </c:pt>
                <c:pt idx="267">
                  <c:v>4.6725000000000136</c:v>
                </c:pt>
                <c:pt idx="268">
                  <c:v>4.6900000000000137</c:v>
                </c:pt>
                <c:pt idx="269">
                  <c:v>4.7075000000000138</c:v>
                </c:pt>
                <c:pt idx="270">
                  <c:v>4.7250000000000139</c:v>
                </c:pt>
                <c:pt idx="271">
                  <c:v>4.7425000000000139</c:v>
                </c:pt>
                <c:pt idx="272">
                  <c:v>4.760000000000014</c:v>
                </c:pt>
                <c:pt idx="273">
                  <c:v>4.7775000000000141</c:v>
                </c:pt>
                <c:pt idx="274">
                  <c:v>4.7950000000000141</c:v>
                </c:pt>
                <c:pt idx="275">
                  <c:v>4.8125000000000142</c:v>
                </c:pt>
                <c:pt idx="276">
                  <c:v>4.8300000000000143</c:v>
                </c:pt>
                <c:pt idx="277">
                  <c:v>4.8475000000000144</c:v>
                </c:pt>
                <c:pt idx="278">
                  <c:v>4.8650000000000144</c:v>
                </c:pt>
                <c:pt idx="279">
                  <c:v>4.8825000000000145</c:v>
                </c:pt>
                <c:pt idx="280">
                  <c:v>4.9000000000000146</c:v>
                </c:pt>
                <c:pt idx="281">
                  <c:v>4.9175000000000146</c:v>
                </c:pt>
                <c:pt idx="282">
                  <c:v>4.9350000000000147</c:v>
                </c:pt>
                <c:pt idx="283">
                  <c:v>4.9525000000000148</c:v>
                </c:pt>
                <c:pt idx="284">
                  <c:v>4.9700000000000149</c:v>
                </c:pt>
                <c:pt idx="285">
                  <c:v>4.9875000000000149</c:v>
                </c:pt>
                <c:pt idx="286">
                  <c:v>5.005000000000015</c:v>
                </c:pt>
                <c:pt idx="287">
                  <c:v>5.0225000000000151</c:v>
                </c:pt>
                <c:pt idx="288">
                  <c:v>5.0400000000000151</c:v>
                </c:pt>
                <c:pt idx="289">
                  <c:v>5.0575000000000152</c:v>
                </c:pt>
                <c:pt idx="290">
                  <c:v>5.0750000000000153</c:v>
                </c:pt>
                <c:pt idx="291">
                  <c:v>5.0925000000000153</c:v>
                </c:pt>
                <c:pt idx="292">
                  <c:v>5.1100000000000154</c:v>
                </c:pt>
                <c:pt idx="293">
                  <c:v>5.1275000000000155</c:v>
                </c:pt>
                <c:pt idx="294">
                  <c:v>5.1450000000000156</c:v>
                </c:pt>
                <c:pt idx="295">
                  <c:v>5.1625000000000156</c:v>
                </c:pt>
                <c:pt idx="296">
                  <c:v>5.1800000000000157</c:v>
                </c:pt>
                <c:pt idx="297">
                  <c:v>5.1975000000000158</c:v>
                </c:pt>
                <c:pt idx="298">
                  <c:v>5.2150000000000158</c:v>
                </c:pt>
                <c:pt idx="299">
                  <c:v>5.2325000000000159</c:v>
                </c:pt>
                <c:pt idx="300">
                  <c:v>5.250000000000016</c:v>
                </c:pt>
                <c:pt idx="301">
                  <c:v>5.2675000000000161</c:v>
                </c:pt>
                <c:pt idx="302">
                  <c:v>5.2850000000000161</c:v>
                </c:pt>
                <c:pt idx="303">
                  <c:v>5.3025000000000162</c:v>
                </c:pt>
                <c:pt idx="304">
                  <c:v>5.3200000000000163</c:v>
                </c:pt>
                <c:pt idx="305">
                  <c:v>5.3375000000000163</c:v>
                </c:pt>
                <c:pt idx="306">
                  <c:v>5.3550000000000164</c:v>
                </c:pt>
                <c:pt idx="307">
                  <c:v>5.3725000000000165</c:v>
                </c:pt>
                <c:pt idx="308">
                  <c:v>5.3900000000000166</c:v>
                </c:pt>
                <c:pt idx="309">
                  <c:v>5.4075000000000166</c:v>
                </c:pt>
                <c:pt idx="310">
                  <c:v>5.4250000000000167</c:v>
                </c:pt>
                <c:pt idx="311">
                  <c:v>5.4425000000000168</c:v>
                </c:pt>
                <c:pt idx="312">
                  <c:v>5.4600000000000168</c:v>
                </c:pt>
                <c:pt idx="313">
                  <c:v>5.4775000000000169</c:v>
                </c:pt>
                <c:pt idx="314">
                  <c:v>5.495000000000017</c:v>
                </c:pt>
                <c:pt idx="315">
                  <c:v>5.5125000000000171</c:v>
                </c:pt>
                <c:pt idx="316">
                  <c:v>5.5300000000000171</c:v>
                </c:pt>
                <c:pt idx="317">
                  <c:v>5.5475000000000172</c:v>
                </c:pt>
                <c:pt idx="318">
                  <c:v>5.5650000000000173</c:v>
                </c:pt>
                <c:pt idx="319">
                  <c:v>5.5825000000000173</c:v>
                </c:pt>
                <c:pt idx="320">
                  <c:v>5.6000000000000174</c:v>
                </c:pt>
                <c:pt idx="321">
                  <c:v>5.6175000000000175</c:v>
                </c:pt>
                <c:pt idx="322">
                  <c:v>5.6350000000000176</c:v>
                </c:pt>
                <c:pt idx="323">
                  <c:v>5.6525000000000176</c:v>
                </c:pt>
                <c:pt idx="324">
                  <c:v>5.6700000000000177</c:v>
                </c:pt>
                <c:pt idx="325">
                  <c:v>5.6875000000000178</c:v>
                </c:pt>
                <c:pt idx="326">
                  <c:v>5.7050000000000178</c:v>
                </c:pt>
                <c:pt idx="327">
                  <c:v>5.7225000000000179</c:v>
                </c:pt>
                <c:pt idx="328">
                  <c:v>5.740000000000018</c:v>
                </c:pt>
                <c:pt idx="329">
                  <c:v>5.757500000000018</c:v>
                </c:pt>
                <c:pt idx="330">
                  <c:v>5.7750000000000181</c:v>
                </c:pt>
                <c:pt idx="331">
                  <c:v>5.7925000000000182</c:v>
                </c:pt>
                <c:pt idx="332">
                  <c:v>5.8100000000000183</c:v>
                </c:pt>
                <c:pt idx="333">
                  <c:v>5.8275000000000183</c:v>
                </c:pt>
                <c:pt idx="334">
                  <c:v>5.8450000000000184</c:v>
                </c:pt>
                <c:pt idx="335">
                  <c:v>5.8625000000000185</c:v>
                </c:pt>
                <c:pt idx="336">
                  <c:v>5.8800000000000185</c:v>
                </c:pt>
                <c:pt idx="337">
                  <c:v>5.8975000000000186</c:v>
                </c:pt>
                <c:pt idx="338">
                  <c:v>5.9150000000000187</c:v>
                </c:pt>
                <c:pt idx="339">
                  <c:v>5.9325000000000188</c:v>
                </c:pt>
                <c:pt idx="340">
                  <c:v>5.9500000000000188</c:v>
                </c:pt>
                <c:pt idx="341">
                  <c:v>5.9675000000000189</c:v>
                </c:pt>
                <c:pt idx="342">
                  <c:v>5.985000000000019</c:v>
                </c:pt>
                <c:pt idx="343">
                  <c:v>6.002500000000019</c:v>
                </c:pt>
                <c:pt idx="344">
                  <c:v>6.0200000000000191</c:v>
                </c:pt>
                <c:pt idx="345">
                  <c:v>6.0375000000000192</c:v>
                </c:pt>
                <c:pt idx="346">
                  <c:v>6.0550000000000193</c:v>
                </c:pt>
                <c:pt idx="347">
                  <c:v>6.0725000000000193</c:v>
                </c:pt>
                <c:pt idx="348">
                  <c:v>6.0900000000000194</c:v>
                </c:pt>
                <c:pt idx="349">
                  <c:v>6.1075000000000195</c:v>
                </c:pt>
                <c:pt idx="350">
                  <c:v>6.1250000000000195</c:v>
                </c:pt>
                <c:pt idx="351">
                  <c:v>6.1425000000000196</c:v>
                </c:pt>
                <c:pt idx="352">
                  <c:v>6.1600000000000197</c:v>
                </c:pt>
                <c:pt idx="353">
                  <c:v>6.1775000000000198</c:v>
                </c:pt>
                <c:pt idx="354">
                  <c:v>6.1950000000000198</c:v>
                </c:pt>
                <c:pt idx="355">
                  <c:v>6.2125000000000199</c:v>
                </c:pt>
                <c:pt idx="356">
                  <c:v>6.23000000000002</c:v>
                </c:pt>
                <c:pt idx="357">
                  <c:v>6.24750000000002</c:v>
                </c:pt>
                <c:pt idx="358">
                  <c:v>6.2650000000000201</c:v>
                </c:pt>
                <c:pt idx="359">
                  <c:v>6.2825000000000202</c:v>
                </c:pt>
                <c:pt idx="360">
                  <c:v>6.3000000000000203</c:v>
                </c:pt>
                <c:pt idx="361">
                  <c:v>6.3175000000000203</c:v>
                </c:pt>
                <c:pt idx="362">
                  <c:v>6.3350000000000204</c:v>
                </c:pt>
                <c:pt idx="363">
                  <c:v>6.3525000000000205</c:v>
                </c:pt>
                <c:pt idx="364">
                  <c:v>6.3700000000000205</c:v>
                </c:pt>
                <c:pt idx="365">
                  <c:v>6.3875000000000206</c:v>
                </c:pt>
                <c:pt idx="366">
                  <c:v>6.4050000000000207</c:v>
                </c:pt>
                <c:pt idx="367">
                  <c:v>6.4225000000000207</c:v>
                </c:pt>
                <c:pt idx="368">
                  <c:v>6.4400000000000208</c:v>
                </c:pt>
                <c:pt idx="369">
                  <c:v>6.4575000000000209</c:v>
                </c:pt>
                <c:pt idx="370">
                  <c:v>6.475000000000021</c:v>
                </c:pt>
                <c:pt idx="371">
                  <c:v>6.492500000000021</c:v>
                </c:pt>
                <c:pt idx="372">
                  <c:v>6.5100000000000211</c:v>
                </c:pt>
                <c:pt idx="373">
                  <c:v>6.5275000000000212</c:v>
                </c:pt>
                <c:pt idx="374">
                  <c:v>6.5450000000000212</c:v>
                </c:pt>
                <c:pt idx="375">
                  <c:v>6.5625000000000213</c:v>
                </c:pt>
                <c:pt idx="376">
                  <c:v>6.5800000000000214</c:v>
                </c:pt>
                <c:pt idx="377">
                  <c:v>6.5975000000000215</c:v>
                </c:pt>
                <c:pt idx="378">
                  <c:v>6.6150000000000215</c:v>
                </c:pt>
                <c:pt idx="379">
                  <c:v>6.6325000000000216</c:v>
                </c:pt>
                <c:pt idx="380">
                  <c:v>6.6500000000000217</c:v>
                </c:pt>
                <c:pt idx="381">
                  <c:v>6.6675000000000217</c:v>
                </c:pt>
                <c:pt idx="382">
                  <c:v>6.6850000000000218</c:v>
                </c:pt>
                <c:pt idx="383">
                  <c:v>6.7025000000000219</c:v>
                </c:pt>
                <c:pt idx="384">
                  <c:v>6.720000000000022</c:v>
                </c:pt>
                <c:pt idx="385">
                  <c:v>6.737500000000022</c:v>
                </c:pt>
                <c:pt idx="386">
                  <c:v>6.7550000000000221</c:v>
                </c:pt>
                <c:pt idx="387">
                  <c:v>6.7725000000000222</c:v>
                </c:pt>
                <c:pt idx="388">
                  <c:v>6.7900000000000222</c:v>
                </c:pt>
                <c:pt idx="389">
                  <c:v>6.8075000000000223</c:v>
                </c:pt>
                <c:pt idx="390">
                  <c:v>6.8250000000000224</c:v>
                </c:pt>
                <c:pt idx="391">
                  <c:v>6.8425000000000225</c:v>
                </c:pt>
                <c:pt idx="392">
                  <c:v>6.8600000000000225</c:v>
                </c:pt>
                <c:pt idx="393">
                  <c:v>6.8775000000000226</c:v>
                </c:pt>
                <c:pt idx="394">
                  <c:v>6.8950000000000227</c:v>
                </c:pt>
                <c:pt idx="395">
                  <c:v>6.9125000000000227</c:v>
                </c:pt>
                <c:pt idx="396">
                  <c:v>6.9300000000000228</c:v>
                </c:pt>
                <c:pt idx="397">
                  <c:v>6.9475000000000229</c:v>
                </c:pt>
                <c:pt idx="398">
                  <c:v>6.965000000000023</c:v>
                </c:pt>
                <c:pt idx="399">
                  <c:v>6.982500000000023</c:v>
                </c:pt>
                <c:pt idx="400">
                  <c:v>7.0000000000000231</c:v>
                </c:pt>
              </c:numCache>
            </c:numRef>
          </c:xVal>
          <c:yVal>
            <c:numRef>
              <c:f>'xVA Calculations'!$O$30:$O$430</c:f>
              <c:numCache>
                <c:formatCode>0</c:formatCode>
                <c:ptCount val="401"/>
                <c:pt idx="0">
                  <c:v>106.88957211840449</c:v>
                </c:pt>
                <c:pt idx="1">
                  <c:v>107.04510554106962</c:v>
                </c:pt>
                <c:pt idx="2">
                  <c:v>107.35651701368549</c:v>
                </c:pt>
                <c:pt idx="3">
                  <c:v>107.66838114859735</c:v>
                </c:pt>
                <c:pt idx="4">
                  <c:v>107.98068973690344</c:v>
                </c:pt>
                <c:pt idx="5">
                  <c:v>108.29343456970201</c:v>
                </c:pt>
                <c:pt idx="6">
                  <c:v>108.60660743809137</c:v>
                </c:pt>
                <c:pt idx="7">
                  <c:v>108.92020013316974</c:v>
                </c:pt>
                <c:pt idx="8">
                  <c:v>109.23420444603539</c:v>
                </c:pt>
                <c:pt idx="9">
                  <c:v>109.54861216778657</c:v>
                </c:pt>
                <c:pt idx="10">
                  <c:v>109.86341508952155</c:v>
                </c:pt>
                <c:pt idx="11">
                  <c:v>110.1786050023386</c:v>
                </c:pt>
                <c:pt idx="12">
                  <c:v>110.49417369733597</c:v>
                </c:pt>
                <c:pt idx="13">
                  <c:v>110.81011296561189</c:v>
                </c:pt>
                <c:pt idx="14">
                  <c:v>111.12641459826467</c:v>
                </c:pt>
                <c:pt idx="15">
                  <c:v>111.44307038639255</c:v>
                </c:pt>
                <c:pt idx="16">
                  <c:v>111.76007212109376</c:v>
                </c:pt>
                <c:pt idx="17">
                  <c:v>112.07741159346659</c:v>
                </c:pt>
                <c:pt idx="18">
                  <c:v>112.39508059460931</c:v>
                </c:pt>
                <c:pt idx="19">
                  <c:v>112.71307091562015</c:v>
                </c:pt>
                <c:pt idx="20">
                  <c:v>113.03137434759738</c:v>
                </c:pt>
                <c:pt idx="21">
                  <c:v>113.34998268163925</c:v>
                </c:pt>
                <c:pt idx="22">
                  <c:v>113.66888770884405</c:v>
                </c:pt>
                <c:pt idx="23">
                  <c:v>113.98808122031002</c:v>
                </c:pt>
                <c:pt idx="24">
                  <c:v>114.30755500713542</c:v>
                </c:pt>
                <c:pt idx="25">
                  <c:v>114.62730086041849</c:v>
                </c:pt>
                <c:pt idx="26">
                  <c:v>114.94731057125752</c:v>
                </c:pt>
                <c:pt idx="27">
                  <c:v>115.26757593075077</c:v>
                </c:pt>
                <c:pt idx="28">
                  <c:v>115.58808872999646</c:v>
                </c:pt>
                <c:pt idx="29">
                  <c:v>115.9088407600929</c:v>
                </c:pt>
                <c:pt idx="30">
                  <c:v>116.22982381213832</c:v>
                </c:pt>
                <c:pt idx="31">
                  <c:v>116.55102967723097</c:v>
                </c:pt>
                <c:pt idx="32">
                  <c:v>116.87245014646913</c:v>
                </c:pt>
                <c:pt idx="33">
                  <c:v>117.19407701095106</c:v>
                </c:pt>
                <c:pt idx="34">
                  <c:v>117.51590206177501</c:v>
                </c:pt>
                <c:pt idx="35">
                  <c:v>117.83791709003924</c:v>
                </c:pt>
                <c:pt idx="36">
                  <c:v>118.16011388684201</c:v>
                </c:pt>
                <c:pt idx="37">
                  <c:v>118.48248424328159</c:v>
                </c:pt>
                <c:pt idx="38">
                  <c:v>118.80501995045623</c:v>
                </c:pt>
                <c:pt idx="39">
                  <c:v>119.12771279946419</c:v>
                </c:pt>
                <c:pt idx="40">
                  <c:v>119.45055458140372</c:v>
                </c:pt>
                <c:pt idx="41">
                  <c:v>119.77353708737309</c:v>
                </c:pt>
                <c:pt idx="42">
                  <c:v>120.09665210847056</c:v>
                </c:pt>
                <c:pt idx="43">
                  <c:v>120.4198914357944</c:v>
                </c:pt>
                <c:pt idx="44">
                  <c:v>120.74324686044284</c:v>
                </c:pt>
                <c:pt idx="45">
                  <c:v>121.06671017351418</c:v>
                </c:pt>
                <c:pt idx="46">
                  <c:v>121.39027316610664</c:v>
                </c:pt>
                <c:pt idx="47">
                  <c:v>121.7139276293185</c:v>
                </c:pt>
                <c:pt idx="48">
                  <c:v>122.03766535424801</c:v>
                </c:pt>
                <c:pt idx="49">
                  <c:v>122.36147813199344</c:v>
                </c:pt>
                <c:pt idx="50">
                  <c:v>122.68535775365304</c:v>
                </c:pt>
                <c:pt idx="51">
                  <c:v>123.00929601032506</c:v>
                </c:pt>
                <c:pt idx="52">
                  <c:v>123.3332846931078</c:v>
                </c:pt>
                <c:pt idx="53">
                  <c:v>123.65731559309947</c:v>
                </c:pt>
                <c:pt idx="54">
                  <c:v>123.98138050139835</c:v>
                </c:pt>
                <c:pt idx="55">
                  <c:v>124.30546357970819</c:v>
                </c:pt>
                <c:pt idx="56">
                  <c:v>124.62957950731081</c:v>
                </c:pt>
                <c:pt idx="57">
                  <c:v>124.95369718712087</c:v>
                </c:pt>
                <c:pt idx="58">
                  <c:v>125.2778160396312</c:v>
                </c:pt>
                <c:pt idx="59">
                  <c:v>125.60192785594005</c:v>
                </c:pt>
                <c:pt idx="60">
                  <c:v>125.92602442714566</c:v>
                </c:pt>
                <c:pt idx="61">
                  <c:v>126.2500975443463</c:v>
                </c:pt>
                <c:pt idx="62">
                  <c:v>126.57413899864022</c:v>
                </c:pt>
                <c:pt idx="63">
                  <c:v>126.89814058112569</c:v>
                </c:pt>
                <c:pt idx="64">
                  <c:v>127.22209408290097</c:v>
                </c:pt>
                <c:pt idx="65">
                  <c:v>127.54599129506431</c:v>
                </c:pt>
                <c:pt idx="66">
                  <c:v>127.86982400871396</c:v>
                </c:pt>
                <c:pt idx="67">
                  <c:v>128.19358401494821</c:v>
                </c:pt>
                <c:pt idx="68">
                  <c:v>128.51726310486529</c:v>
                </c:pt>
                <c:pt idx="69">
                  <c:v>128.84085306956348</c:v>
                </c:pt>
                <c:pt idx="70">
                  <c:v>129.16434570014104</c:v>
                </c:pt>
                <c:pt idx="71">
                  <c:v>129.48773278769622</c:v>
                </c:pt>
                <c:pt idx="72">
                  <c:v>129.81100612332727</c:v>
                </c:pt>
                <c:pt idx="73">
                  <c:v>130.13415749813245</c:v>
                </c:pt>
                <c:pt idx="74">
                  <c:v>130.45717870321005</c:v>
                </c:pt>
                <c:pt idx="75">
                  <c:v>130.7800615296583</c:v>
                </c:pt>
                <c:pt idx="76">
                  <c:v>131.10279776857547</c:v>
                </c:pt>
                <c:pt idx="77">
                  <c:v>131.42537921105981</c:v>
                </c:pt>
                <c:pt idx="78">
                  <c:v>131.7477976482096</c:v>
                </c:pt>
                <c:pt idx="79">
                  <c:v>132.07004487112306</c:v>
                </c:pt>
                <c:pt idx="80">
                  <c:v>132.39211267089848</c:v>
                </c:pt>
                <c:pt idx="81">
                  <c:v>132.71399283863414</c:v>
                </c:pt>
                <c:pt idx="82">
                  <c:v>133.03567716542827</c:v>
                </c:pt>
                <c:pt idx="83">
                  <c:v>133.3571574423791</c:v>
                </c:pt>
                <c:pt idx="84">
                  <c:v>133.67842546058495</c:v>
                </c:pt>
                <c:pt idx="85">
                  <c:v>133.99947301114406</c:v>
                </c:pt>
                <c:pt idx="86">
                  <c:v>134.32029188515466</c:v>
                </c:pt>
                <c:pt idx="87">
                  <c:v>134.64087387371504</c:v>
                </c:pt>
                <c:pt idx="88">
                  <c:v>134.96121076792346</c:v>
                </c:pt>
                <c:pt idx="89">
                  <c:v>135.28129435887817</c:v>
                </c:pt>
                <c:pt idx="90">
                  <c:v>135.6011164376774</c:v>
                </c:pt>
                <c:pt idx="91">
                  <c:v>135.92066879541946</c:v>
                </c:pt>
                <c:pt idx="92">
                  <c:v>136.2399432232026</c:v>
                </c:pt>
                <c:pt idx="93">
                  <c:v>136.55893151212504</c:v>
                </c:pt>
                <c:pt idx="94">
                  <c:v>136.87762545328508</c:v>
                </c:pt>
                <c:pt idx="95">
                  <c:v>137.19601683778097</c:v>
                </c:pt>
                <c:pt idx="96">
                  <c:v>137.51409745671097</c:v>
                </c:pt>
                <c:pt idx="97">
                  <c:v>137.83185910117331</c:v>
                </c:pt>
                <c:pt idx="98">
                  <c:v>138.14929356226631</c:v>
                </c:pt>
                <c:pt idx="99">
                  <c:v>138.46639263108815</c:v>
                </c:pt>
                <c:pt idx="100">
                  <c:v>138.78314809873717</c:v>
                </c:pt>
                <c:pt idx="101">
                  <c:v>139.09955175631157</c:v>
                </c:pt>
                <c:pt idx="102">
                  <c:v>139.41559539490964</c:v>
                </c:pt>
                <c:pt idx="103">
                  <c:v>139.73127080562963</c:v>
                </c:pt>
                <c:pt idx="104">
                  <c:v>140.04656977956981</c:v>
                </c:pt>
                <c:pt idx="105">
                  <c:v>140.36148410782843</c:v>
                </c:pt>
                <c:pt idx="106">
                  <c:v>140.67600558150374</c:v>
                </c:pt>
                <c:pt idx="107">
                  <c:v>140.99012599169401</c:v>
                </c:pt>
                <c:pt idx="108">
                  <c:v>141.30383712949751</c:v>
                </c:pt>
                <c:pt idx="109">
                  <c:v>141.61713078601247</c:v>
                </c:pt>
                <c:pt idx="110">
                  <c:v>141.92999875233718</c:v>
                </c:pt>
                <c:pt idx="111">
                  <c:v>142.24243281956987</c:v>
                </c:pt>
                <c:pt idx="112">
                  <c:v>142.55442477880882</c:v>
                </c:pt>
                <c:pt idx="113">
                  <c:v>142.86597023584957</c:v>
                </c:pt>
                <c:pt idx="114">
                  <c:v>143.17704953769854</c:v>
                </c:pt>
                <c:pt idx="115">
                  <c:v>143.48766591954583</c:v>
                </c:pt>
                <c:pt idx="116">
                  <c:v>143.79780735779241</c:v>
                </c:pt>
                <c:pt idx="117">
                  <c:v>144.10746564353653</c:v>
                </c:pt>
                <c:pt idx="118">
                  <c:v>144.41663256787646</c:v>
                </c:pt>
                <c:pt idx="119">
                  <c:v>144.72529992191048</c:v>
                </c:pt>
                <c:pt idx="120">
                  <c:v>145.03345949673681</c:v>
                </c:pt>
                <c:pt idx="121">
                  <c:v>145.34110308345373</c:v>
                </c:pt>
                <c:pt idx="122">
                  <c:v>145.64822247315951</c:v>
                </c:pt>
                <c:pt idx="123">
                  <c:v>145.9548094569524</c:v>
                </c:pt>
                <c:pt idx="124">
                  <c:v>146.26085582593066</c:v>
                </c:pt>
                <c:pt idx="125">
                  <c:v>146.56635337119255</c:v>
                </c:pt>
                <c:pt idx="126">
                  <c:v>146.87129388383633</c:v>
                </c:pt>
                <c:pt idx="127">
                  <c:v>147.17566915496025</c:v>
                </c:pt>
                <c:pt idx="128">
                  <c:v>147.47947097566257</c:v>
                </c:pt>
                <c:pt idx="129">
                  <c:v>147.78269113704155</c:v>
                </c:pt>
                <c:pt idx="130">
                  <c:v>148.08532143019545</c:v>
                </c:pt>
                <c:pt idx="131">
                  <c:v>148.38735364622255</c:v>
                </c:pt>
                <c:pt idx="132">
                  <c:v>148.68877957622109</c:v>
                </c:pt>
                <c:pt idx="133">
                  <c:v>148.98959101128935</c:v>
                </c:pt>
                <c:pt idx="134">
                  <c:v>149.28977974252555</c:v>
                </c:pt>
                <c:pt idx="135">
                  <c:v>149.58933756102797</c:v>
                </c:pt>
                <c:pt idx="136">
                  <c:v>149.88825625789488</c:v>
                </c:pt>
                <c:pt idx="137">
                  <c:v>150.18652762422454</c:v>
                </c:pt>
                <c:pt idx="138">
                  <c:v>150.48414345111519</c:v>
                </c:pt>
                <c:pt idx="139">
                  <c:v>150.78109552966509</c:v>
                </c:pt>
                <c:pt idx="140">
                  <c:v>151.07737565097253</c:v>
                </c:pt>
                <c:pt idx="141">
                  <c:v>151.37297560613573</c:v>
                </c:pt>
                <c:pt idx="142">
                  <c:v>151.66788718625298</c:v>
                </c:pt>
                <c:pt idx="143">
                  <c:v>151.96210218242251</c:v>
                </c:pt>
                <c:pt idx="144">
                  <c:v>152.25561238574261</c:v>
                </c:pt>
                <c:pt idx="145">
                  <c:v>152.54840958731151</c:v>
                </c:pt>
                <c:pt idx="146">
                  <c:v>152.84048557822749</c:v>
                </c:pt>
                <c:pt idx="147">
                  <c:v>153.13183214958883</c:v>
                </c:pt>
                <c:pt idx="148">
                  <c:v>153.42244109249373</c:v>
                </c:pt>
                <c:pt idx="149">
                  <c:v>153.7123041980405</c:v>
                </c:pt>
                <c:pt idx="150">
                  <c:v>154.00141325732739</c:v>
                </c:pt>
                <c:pt idx="151">
                  <c:v>154.28976006145263</c:v>
                </c:pt>
                <c:pt idx="152">
                  <c:v>154.57733640151451</c:v>
                </c:pt>
                <c:pt idx="153">
                  <c:v>154.86413406861129</c:v>
                </c:pt>
                <c:pt idx="154">
                  <c:v>155.1501448538412</c:v>
                </c:pt>
                <c:pt idx="155">
                  <c:v>155.43536054830255</c:v>
                </c:pt>
                <c:pt idx="156">
                  <c:v>155.71977294309355</c:v>
                </c:pt>
                <c:pt idx="157">
                  <c:v>156.00337382931247</c:v>
                </c:pt>
                <c:pt idx="158">
                  <c:v>156.28615499805758</c:v>
                </c:pt>
                <c:pt idx="159">
                  <c:v>156.56810824042716</c:v>
                </c:pt>
                <c:pt idx="160">
                  <c:v>156.84922534751942</c:v>
                </c:pt>
                <c:pt idx="161">
                  <c:v>157.12949811043265</c:v>
                </c:pt>
                <c:pt idx="162">
                  <c:v>157.40891832026512</c:v>
                </c:pt>
                <c:pt idx="163">
                  <c:v>157.68747776811506</c:v>
                </c:pt>
                <c:pt idx="164">
                  <c:v>157.96516824508075</c:v>
                </c:pt>
                <c:pt idx="165">
                  <c:v>158.24198154226045</c:v>
                </c:pt>
                <c:pt idx="166">
                  <c:v>158.5179094507524</c:v>
                </c:pt>
                <c:pt idx="167">
                  <c:v>158.79294376165487</c:v>
                </c:pt>
                <c:pt idx="168">
                  <c:v>159.06707626606615</c:v>
                </c:pt>
                <c:pt idx="169">
                  <c:v>159.34029875508443</c:v>
                </c:pt>
                <c:pt idx="170">
                  <c:v>159.61260301980803</c:v>
                </c:pt>
                <c:pt idx="171">
                  <c:v>159.8839808513352</c:v>
                </c:pt>
                <c:pt idx="172">
                  <c:v>160.15442125071687</c:v>
                </c:pt>
                <c:pt idx="173">
                  <c:v>160.42393335241528</c:v>
                </c:pt>
                <c:pt idx="174">
                  <c:v>160.69250839663738</c:v>
                </c:pt>
                <c:pt idx="175">
                  <c:v>160.96013243448468</c:v>
                </c:pt>
                <c:pt idx="176">
                  <c:v>161.22682134052138</c:v>
                </c:pt>
                <c:pt idx="177">
                  <c:v>161.49259101407571</c:v>
                </c:pt>
                <c:pt idx="178">
                  <c:v>161.75742746910325</c:v>
                </c:pt>
                <c:pt idx="179">
                  <c:v>162.02131608124688</c:v>
                </c:pt>
                <c:pt idx="180">
                  <c:v>162.2842880266098</c:v>
                </c:pt>
                <c:pt idx="181">
                  <c:v>162.54632928300805</c:v>
                </c:pt>
                <c:pt idx="182">
                  <c:v>162.80744032400605</c:v>
                </c:pt>
                <c:pt idx="183">
                  <c:v>163.06760710388608</c:v>
                </c:pt>
                <c:pt idx="184">
                  <c:v>163.3268455458456</c:v>
                </c:pt>
                <c:pt idx="185">
                  <c:v>163.5851715960568</c:v>
                </c:pt>
                <c:pt idx="186">
                  <c:v>163.84257117434004</c:v>
                </c:pt>
                <c:pt idx="187">
                  <c:v>164.09902970362953</c:v>
                </c:pt>
                <c:pt idx="188">
                  <c:v>164.35457840553025</c:v>
                </c:pt>
                <c:pt idx="189">
                  <c:v>164.60918790761818</c:v>
                </c:pt>
                <c:pt idx="190">
                  <c:v>164.86288942600626</c:v>
                </c:pt>
                <c:pt idx="191">
                  <c:v>165.11566842207284</c:v>
                </c:pt>
                <c:pt idx="192">
                  <c:v>165.36751074973412</c:v>
                </c:pt>
                <c:pt idx="193">
                  <c:v>165.61843238262227</c:v>
                </c:pt>
                <c:pt idx="194">
                  <c:v>165.86844931533105</c:v>
                </c:pt>
                <c:pt idx="195">
                  <c:v>166.11754737033434</c:v>
                </c:pt>
                <c:pt idx="196">
                  <c:v>166.36572717497293</c:v>
                </c:pt>
                <c:pt idx="197">
                  <c:v>166.61297453131849</c:v>
                </c:pt>
                <c:pt idx="198">
                  <c:v>166.85931306845978</c:v>
                </c:pt>
                <c:pt idx="199">
                  <c:v>167.1047435471452</c:v>
                </c:pt>
                <c:pt idx="200">
                  <c:v>167.34925173968162</c:v>
                </c:pt>
                <c:pt idx="201">
                  <c:v>167.59284603133509</c:v>
                </c:pt>
                <c:pt idx="202">
                  <c:v>167.83553482654361</c:v>
                </c:pt>
                <c:pt idx="203">
                  <c:v>168.07730386885601</c:v>
                </c:pt>
                <c:pt idx="204">
                  <c:v>168.31815392860659</c:v>
                </c:pt>
                <c:pt idx="205">
                  <c:v>168.55810868281466</c:v>
                </c:pt>
                <c:pt idx="206">
                  <c:v>168.79714621788253</c:v>
                </c:pt>
                <c:pt idx="207">
                  <c:v>169.03528252538695</c:v>
                </c:pt>
                <c:pt idx="208">
                  <c:v>169.27250330318284</c:v>
                </c:pt>
                <c:pt idx="209">
                  <c:v>169.50880934459138</c:v>
                </c:pt>
                <c:pt idx="210">
                  <c:v>169.74422434849984</c:v>
                </c:pt>
                <c:pt idx="211">
                  <c:v>169.9787263572947</c:v>
                </c:pt>
                <c:pt idx="212">
                  <c:v>170.21232380681246</c:v>
                </c:pt>
                <c:pt idx="213">
                  <c:v>170.44502514960135</c:v>
                </c:pt>
                <c:pt idx="214">
                  <c:v>170.67681603237477</c:v>
                </c:pt>
                <c:pt idx="215">
                  <c:v>170.90770490358688</c:v>
                </c:pt>
                <c:pt idx="216">
                  <c:v>171.13770022773247</c:v>
                </c:pt>
                <c:pt idx="217">
                  <c:v>171.36677999806949</c:v>
                </c:pt>
                <c:pt idx="218">
                  <c:v>171.59496793395553</c:v>
                </c:pt>
                <c:pt idx="219">
                  <c:v>171.82226488193422</c:v>
                </c:pt>
                <c:pt idx="220">
                  <c:v>172.0486564416035</c:v>
                </c:pt>
                <c:pt idx="221">
                  <c:v>172.2741587191733</c:v>
                </c:pt>
                <c:pt idx="222">
                  <c:v>172.49874967003657</c:v>
                </c:pt>
                <c:pt idx="223">
                  <c:v>172.72245303262318</c:v>
                </c:pt>
                <c:pt idx="224">
                  <c:v>172.94526967143068</c:v>
                </c:pt>
                <c:pt idx="225">
                  <c:v>173.16718514986962</c:v>
                </c:pt>
                <c:pt idx="226">
                  <c:v>173.38820795835315</c:v>
                </c:pt>
                <c:pt idx="227">
                  <c:v>173.60834660087468</c:v>
                </c:pt>
                <c:pt idx="228">
                  <c:v>173.82758662047436</c:v>
                </c:pt>
                <c:pt idx="229">
                  <c:v>174.04593653373252</c:v>
                </c:pt>
                <c:pt idx="230">
                  <c:v>174.26339717715172</c:v>
                </c:pt>
                <c:pt idx="231">
                  <c:v>174.47996938089173</c:v>
                </c:pt>
                <c:pt idx="232">
                  <c:v>174.69565403063729</c:v>
                </c:pt>
                <c:pt idx="233">
                  <c:v>174.91045958748643</c:v>
                </c:pt>
                <c:pt idx="234">
                  <c:v>175.12436398895184</c:v>
                </c:pt>
                <c:pt idx="235">
                  <c:v>175.33739864730725</c:v>
                </c:pt>
                <c:pt idx="236">
                  <c:v>175.54954150152525</c:v>
                </c:pt>
                <c:pt idx="237">
                  <c:v>175.76080865956823</c:v>
                </c:pt>
                <c:pt idx="238">
                  <c:v>175.97117805338888</c:v>
                </c:pt>
                <c:pt idx="239">
                  <c:v>176.18068110649276</c:v>
                </c:pt>
                <c:pt idx="240">
                  <c:v>176.38929575218054</c:v>
                </c:pt>
                <c:pt idx="241">
                  <c:v>176.59703428371742</c:v>
                </c:pt>
                <c:pt idx="242">
                  <c:v>176.80388607203537</c:v>
                </c:pt>
                <c:pt idx="243">
                  <c:v>177.00986729218775</c:v>
                </c:pt>
                <c:pt idx="244">
                  <c:v>177.21497113103999</c:v>
                </c:pt>
                <c:pt idx="245">
                  <c:v>177.41919458537774</c:v>
                </c:pt>
                <c:pt idx="246">
                  <c:v>177.6225423933281</c:v>
                </c:pt>
                <c:pt idx="247">
                  <c:v>177.82501918222366</c:v>
                </c:pt>
                <c:pt idx="248">
                  <c:v>178.02662198654042</c:v>
                </c:pt>
                <c:pt idx="249">
                  <c:v>178.22734398403713</c:v>
                </c:pt>
                <c:pt idx="250">
                  <c:v>178.42720136570392</c:v>
                </c:pt>
                <c:pt idx="251">
                  <c:v>178.62618731034001</c:v>
                </c:pt>
                <c:pt idx="252">
                  <c:v>178.82429499275034</c:v>
                </c:pt>
                <c:pt idx="253">
                  <c:v>179.02154060991637</c:v>
                </c:pt>
                <c:pt idx="254">
                  <c:v>179.21791733759969</c:v>
                </c:pt>
                <c:pt idx="255">
                  <c:v>179.41342221027642</c:v>
                </c:pt>
                <c:pt idx="256">
                  <c:v>179.60805984329645</c:v>
                </c:pt>
                <c:pt idx="257">
                  <c:v>179.80183499675499</c:v>
                </c:pt>
                <c:pt idx="258">
                  <c:v>179.9947446574522</c:v>
                </c:pt>
                <c:pt idx="259">
                  <c:v>180.18678583442056</c:v>
                </c:pt>
                <c:pt idx="260">
                  <c:v>180.3779632162414</c:v>
                </c:pt>
                <c:pt idx="261">
                  <c:v>180.56827767829256</c:v>
                </c:pt>
                <c:pt idx="262">
                  <c:v>180.75773383249998</c:v>
                </c:pt>
                <c:pt idx="263">
                  <c:v>180.94632685866873</c:v>
                </c:pt>
                <c:pt idx="264">
                  <c:v>181.13405755267343</c:v>
                </c:pt>
                <c:pt idx="265">
                  <c:v>181.3209306323605</c:v>
                </c:pt>
                <c:pt idx="266">
                  <c:v>181.50694498501366</c:v>
                </c:pt>
                <c:pt idx="267">
                  <c:v>181.69209957963579</c:v>
                </c:pt>
                <c:pt idx="268">
                  <c:v>181.876399108378</c:v>
                </c:pt>
                <c:pt idx="269">
                  <c:v>182.05984245687048</c:v>
                </c:pt>
                <c:pt idx="270">
                  <c:v>182.24243053101833</c:v>
                </c:pt>
                <c:pt idx="271">
                  <c:v>182.42416221548913</c:v>
                </c:pt>
                <c:pt idx="272">
                  <c:v>182.60504221723332</c:v>
                </c:pt>
                <c:pt idx="273">
                  <c:v>182.78506946374361</c:v>
                </c:pt>
                <c:pt idx="274">
                  <c:v>182.96424480421439</c:v>
                </c:pt>
                <c:pt idx="275">
                  <c:v>183.14256908783992</c:v>
                </c:pt>
                <c:pt idx="276">
                  <c:v>183.32004316381457</c:v>
                </c:pt>
                <c:pt idx="277">
                  <c:v>183.49666788133266</c:v>
                </c:pt>
                <c:pt idx="278">
                  <c:v>183.67244313591416</c:v>
                </c:pt>
                <c:pt idx="279">
                  <c:v>183.84737072289857</c:v>
                </c:pt>
                <c:pt idx="280">
                  <c:v>184.02145246019117</c:v>
                </c:pt>
                <c:pt idx="281">
                  <c:v>184.194688235808</c:v>
                </c:pt>
                <c:pt idx="282">
                  <c:v>184.3670779376852</c:v>
                </c:pt>
                <c:pt idx="283">
                  <c:v>184.53862409910366</c:v>
                </c:pt>
                <c:pt idx="284">
                  <c:v>184.70932660611354</c:v>
                </c:pt>
                <c:pt idx="285">
                  <c:v>184.87918678759578</c:v>
                </c:pt>
                <c:pt idx="286">
                  <c:v>185.04821121892104</c:v>
                </c:pt>
                <c:pt idx="287">
                  <c:v>185.21638098145112</c:v>
                </c:pt>
                <c:pt idx="288">
                  <c:v>185.3837308712755</c:v>
                </c:pt>
                <c:pt idx="289">
                  <c:v>185.55023559918533</c:v>
                </c:pt>
                <c:pt idx="290">
                  <c:v>185.7159302839822</c:v>
                </c:pt>
                <c:pt idx="291">
                  <c:v>185.88080429036012</c:v>
                </c:pt>
                <c:pt idx="292">
                  <c:v>186.04484755451</c:v>
                </c:pt>
                <c:pt idx="293">
                  <c:v>186.20807995321425</c:v>
                </c:pt>
                <c:pt idx="294">
                  <c:v>186.37053664370228</c:v>
                </c:pt>
                <c:pt idx="295">
                  <c:v>186.53216175331096</c:v>
                </c:pt>
                <c:pt idx="296">
                  <c:v>186.69300553073001</c:v>
                </c:pt>
                <c:pt idx="297">
                  <c:v>186.85304259971795</c:v>
                </c:pt>
                <c:pt idx="298">
                  <c:v>187.01230812279323</c:v>
                </c:pt>
                <c:pt idx="299">
                  <c:v>187.17079150676238</c:v>
                </c:pt>
                <c:pt idx="300">
                  <c:v>187.3284826031902</c:v>
                </c:pt>
                <c:pt idx="301">
                  <c:v>187.48540133137269</c:v>
                </c:pt>
                <c:pt idx="302">
                  <c:v>187.64156763065949</c:v>
                </c:pt>
                <c:pt idx="303">
                  <c:v>187.79697132253497</c:v>
                </c:pt>
                <c:pt idx="304">
                  <c:v>187.95160182383245</c:v>
                </c:pt>
                <c:pt idx="305">
                  <c:v>188.10549434720446</c:v>
                </c:pt>
                <c:pt idx="306">
                  <c:v>188.25862342616821</c:v>
                </c:pt>
                <c:pt idx="307">
                  <c:v>188.41103941970826</c:v>
                </c:pt>
                <c:pt idx="308">
                  <c:v>188.56268632481311</c:v>
                </c:pt>
                <c:pt idx="309">
                  <c:v>188.71359935887293</c:v>
                </c:pt>
                <c:pt idx="310">
                  <c:v>188.86379849893819</c:v>
                </c:pt>
                <c:pt idx="311">
                  <c:v>189.01327349069052</c:v>
                </c:pt>
                <c:pt idx="312">
                  <c:v>189.16201378906516</c:v>
                </c:pt>
                <c:pt idx="313">
                  <c:v>189.31005464321217</c:v>
                </c:pt>
                <c:pt idx="314">
                  <c:v>189.45737051325258</c:v>
                </c:pt>
                <c:pt idx="315">
                  <c:v>189.60399664394981</c:v>
                </c:pt>
                <c:pt idx="316">
                  <c:v>189.74992252094609</c:v>
                </c:pt>
                <c:pt idx="317">
                  <c:v>189.89513783728239</c:v>
                </c:pt>
                <c:pt idx="318">
                  <c:v>190.03966259194283</c:v>
                </c:pt>
                <c:pt idx="319">
                  <c:v>190.18353205934497</c:v>
                </c:pt>
                <c:pt idx="320">
                  <c:v>190.3266901311959</c:v>
                </c:pt>
                <c:pt idx="321">
                  <c:v>190.46918728930848</c:v>
                </c:pt>
                <c:pt idx="322">
                  <c:v>190.61100555621925</c:v>
                </c:pt>
                <c:pt idx="323">
                  <c:v>190.75214969280353</c:v>
                </c:pt>
                <c:pt idx="324">
                  <c:v>190.89264736376194</c:v>
                </c:pt>
                <c:pt idx="325">
                  <c:v>191.03248056816841</c:v>
                </c:pt>
                <c:pt idx="326">
                  <c:v>191.17166170809932</c:v>
                </c:pt>
                <c:pt idx="327">
                  <c:v>191.31020320067114</c:v>
                </c:pt>
                <c:pt idx="328">
                  <c:v>191.44808702239749</c:v>
                </c:pt>
                <c:pt idx="329">
                  <c:v>191.58534084549919</c:v>
                </c:pt>
                <c:pt idx="330">
                  <c:v>191.72196946845193</c:v>
                </c:pt>
                <c:pt idx="331">
                  <c:v>191.85796247550599</c:v>
                </c:pt>
                <c:pt idx="332">
                  <c:v>191.99333991361712</c:v>
                </c:pt>
                <c:pt idx="333">
                  <c:v>192.12809135309837</c:v>
                </c:pt>
                <c:pt idx="334">
                  <c:v>192.26222159590978</c:v>
                </c:pt>
                <c:pt idx="335">
                  <c:v>192.39576597502545</c:v>
                </c:pt>
                <c:pt idx="336">
                  <c:v>192.52868352302639</c:v>
                </c:pt>
                <c:pt idx="337">
                  <c:v>192.66100956960295</c:v>
                </c:pt>
                <c:pt idx="338">
                  <c:v>192.79274893970162</c:v>
                </c:pt>
                <c:pt idx="339">
                  <c:v>192.92389116423004</c:v>
                </c:pt>
                <c:pt idx="340">
                  <c:v>193.05444106500138</c:v>
                </c:pt>
                <c:pt idx="341">
                  <c:v>193.1844339936396</c:v>
                </c:pt>
                <c:pt idx="342">
                  <c:v>193.31382894512524</c:v>
                </c:pt>
                <c:pt idx="343">
                  <c:v>193.44266891133998</c:v>
                </c:pt>
                <c:pt idx="344">
                  <c:v>193.57093580525543</c:v>
                </c:pt>
                <c:pt idx="345">
                  <c:v>193.698642051706</c:v>
                </c:pt>
                <c:pt idx="346">
                  <c:v>193.82579249472667</c:v>
                </c:pt>
                <c:pt idx="347">
                  <c:v>193.95239956054309</c:v>
                </c:pt>
                <c:pt idx="348">
                  <c:v>194.07845280245979</c:v>
                </c:pt>
                <c:pt idx="349">
                  <c:v>194.203964639997</c:v>
                </c:pt>
                <c:pt idx="350">
                  <c:v>194.32893992791847</c:v>
                </c:pt>
                <c:pt idx="351">
                  <c:v>194.45338345764071</c:v>
                </c:pt>
                <c:pt idx="352">
                  <c:v>194.57730001556698</c:v>
                </c:pt>
                <c:pt idx="353">
                  <c:v>194.70069446398114</c:v>
                </c:pt>
                <c:pt idx="354">
                  <c:v>194.82357921989657</c:v>
                </c:pt>
                <c:pt idx="355">
                  <c:v>194.94594383661791</c:v>
                </c:pt>
                <c:pt idx="356">
                  <c:v>195.06780072533053</c:v>
                </c:pt>
                <c:pt idx="357">
                  <c:v>195.18915475764322</c:v>
                </c:pt>
                <c:pt idx="358">
                  <c:v>195.31001834585689</c:v>
                </c:pt>
                <c:pt idx="359">
                  <c:v>195.43037338038266</c:v>
                </c:pt>
                <c:pt idx="360">
                  <c:v>195.55025525687481</c:v>
                </c:pt>
                <c:pt idx="361">
                  <c:v>195.66964968148207</c:v>
                </c:pt>
                <c:pt idx="362">
                  <c:v>195.78856146629806</c:v>
                </c:pt>
                <c:pt idx="363">
                  <c:v>195.90699920070443</c:v>
                </c:pt>
                <c:pt idx="364">
                  <c:v>196.02496777069842</c:v>
                </c:pt>
                <c:pt idx="365">
                  <c:v>196.14247576660168</c:v>
                </c:pt>
                <c:pt idx="366">
                  <c:v>196.25952418581056</c:v>
                </c:pt>
                <c:pt idx="367">
                  <c:v>196.37611017010551</c:v>
                </c:pt>
                <c:pt idx="368">
                  <c:v>196.49225387139185</c:v>
                </c:pt>
                <c:pt idx="369">
                  <c:v>196.60795243228984</c:v>
                </c:pt>
                <c:pt idx="370">
                  <c:v>196.72320299221101</c:v>
                </c:pt>
                <c:pt idx="371">
                  <c:v>196.83802570787361</c:v>
                </c:pt>
                <c:pt idx="372">
                  <c:v>196.95241771945376</c:v>
                </c:pt>
                <c:pt idx="373">
                  <c:v>197.06638000163252</c:v>
                </c:pt>
                <c:pt idx="374">
                  <c:v>197.17992504099664</c:v>
                </c:pt>
                <c:pt idx="375">
                  <c:v>197.2930499745074</c:v>
                </c:pt>
                <c:pt idx="376">
                  <c:v>197.40576345170865</c:v>
                </c:pt>
                <c:pt idx="377">
                  <c:v>197.51807412339764</c:v>
                </c:pt>
                <c:pt idx="378">
                  <c:v>197.62997912465565</c:v>
                </c:pt>
                <c:pt idx="379">
                  <c:v>197.74149094520277</c:v>
                </c:pt>
                <c:pt idx="380">
                  <c:v>197.85260671899232</c:v>
                </c:pt>
                <c:pt idx="381">
                  <c:v>197.96333702947365</c:v>
                </c:pt>
                <c:pt idx="382">
                  <c:v>198.07368282426958</c:v>
                </c:pt>
                <c:pt idx="383">
                  <c:v>198.18365468780704</c:v>
                </c:pt>
                <c:pt idx="384">
                  <c:v>198.29324975208414</c:v>
                </c:pt>
                <c:pt idx="385">
                  <c:v>198.40247666918273</c:v>
                </c:pt>
                <c:pt idx="386">
                  <c:v>198.51134409198687</c:v>
                </c:pt>
                <c:pt idx="387">
                  <c:v>198.61985107175238</c:v>
                </c:pt>
                <c:pt idx="388">
                  <c:v>198.72800242033793</c:v>
                </c:pt>
                <c:pt idx="389">
                  <c:v>198.83580679086251</c:v>
                </c:pt>
                <c:pt idx="390">
                  <c:v>198.94326707497763</c:v>
                </c:pt>
                <c:pt idx="391">
                  <c:v>199.05038713112131</c:v>
                </c:pt>
                <c:pt idx="392">
                  <c:v>199.15717367875467</c:v>
                </c:pt>
                <c:pt idx="393">
                  <c:v>199.26363057631588</c:v>
                </c:pt>
                <c:pt idx="394">
                  <c:v>199.3697616754784</c:v>
                </c:pt>
                <c:pt idx="395">
                  <c:v>199.47557370921527</c:v>
                </c:pt>
                <c:pt idx="396">
                  <c:v>199.58107005238318</c:v>
                </c:pt>
                <c:pt idx="397">
                  <c:v>199.68625599052837</c:v>
                </c:pt>
                <c:pt idx="398">
                  <c:v>199.79113658098478</c:v>
                </c:pt>
                <c:pt idx="399">
                  <c:v>199.89571627313416</c:v>
                </c:pt>
                <c:pt idx="400">
                  <c:v>200.00000000000165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'xVA Calculations'!$P$29</c:f>
              <c:strCache>
                <c:ptCount val="1"/>
              </c:strCache>
            </c:strRef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'xVA Calculations'!$N$30:$N$430</c:f>
              <c:numCache>
                <c:formatCode>0.00</c:formatCode>
                <c:ptCount val="401"/>
                <c:pt idx="0">
                  <c:v>8.7500000000000008E-3</c:v>
                </c:pt>
                <c:pt idx="1">
                  <c:v>1.7500000000000002E-2</c:v>
                </c:pt>
                <c:pt idx="2">
                  <c:v>3.5000000000000003E-2</c:v>
                </c:pt>
                <c:pt idx="3">
                  <c:v>5.2500000000000005E-2</c:v>
                </c:pt>
                <c:pt idx="4">
                  <c:v>7.0000000000000007E-2</c:v>
                </c:pt>
                <c:pt idx="5">
                  <c:v>8.7500000000000008E-2</c:v>
                </c:pt>
                <c:pt idx="6">
                  <c:v>0.10500000000000001</c:v>
                </c:pt>
                <c:pt idx="7">
                  <c:v>0.12250000000000001</c:v>
                </c:pt>
                <c:pt idx="8">
                  <c:v>0.14000000000000001</c:v>
                </c:pt>
                <c:pt idx="9">
                  <c:v>0.15750000000000003</c:v>
                </c:pt>
                <c:pt idx="10">
                  <c:v>0.17500000000000004</c:v>
                </c:pt>
                <c:pt idx="11">
                  <c:v>0.19250000000000006</c:v>
                </c:pt>
                <c:pt idx="12">
                  <c:v>0.21000000000000008</c:v>
                </c:pt>
                <c:pt idx="13">
                  <c:v>0.22750000000000009</c:v>
                </c:pt>
                <c:pt idx="14">
                  <c:v>0.24500000000000011</c:v>
                </c:pt>
                <c:pt idx="15">
                  <c:v>0.26250000000000012</c:v>
                </c:pt>
                <c:pt idx="16">
                  <c:v>0.28000000000000014</c:v>
                </c:pt>
                <c:pt idx="17">
                  <c:v>0.29750000000000015</c:v>
                </c:pt>
                <c:pt idx="18">
                  <c:v>0.31500000000000017</c:v>
                </c:pt>
                <c:pt idx="19">
                  <c:v>0.33250000000000018</c:v>
                </c:pt>
                <c:pt idx="20">
                  <c:v>0.3500000000000002</c:v>
                </c:pt>
                <c:pt idx="21">
                  <c:v>0.36750000000000022</c:v>
                </c:pt>
                <c:pt idx="22">
                  <c:v>0.38500000000000023</c:v>
                </c:pt>
                <c:pt idx="23">
                  <c:v>0.40250000000000025</c:v>
                </c:pt>
                <c:pt idx="24">
                  <c:v>0.42000000000000026</c:v>
                </c:pt>
                <c:pt idx="25">
                  <c:v>0.43750000000000028</c:v>
                </c:pt>
                <c:pt idx="26">
                  <c:v>0.45500000000000029</c:v>
                </c:pt>
                <c:pt idx="27">
                  <c:v>0.47250000000000031</c:v>
                </c:pt>
                <c:pt idx="28">
                  <c:v>0.49000000000000032</c:v>
                </c:pt>
                <c:pt idx="29">
                  <c:v>0.50750000000000028</c:v>
                </c:pt>
                <c:pt idx="30">
                  <c:v>0.52500000000000024</c:v>
                </c:pt>
                <c:pt idx="31">
                  <c:v>0.5425000000000002</c:v>
                </c:pt>
                <c:pt idx="32">
                  <c:v>0.56000000000000016</c:v>
                </c:pt>
                <c:pt idx="33">
                  <c:v>0.57750000000000012</c:v>
                </c:pt>
                <c:pt idx="34">
                  <c:v>0.59500000000000008</c:v>
                </c:pt>
                <c:pt idx="35">
                  <c:v>0.61250000000000004</c:v>
                </c:pt>
                <c:pt idx="36">
                  <c:v>0.63</c:v>
                </c:pt>
                <c:pt idx="37">
                  <c:v>0.64749999999999996</c:v>
                </c:pt>
                <c:pt idx="38">
                  <c:v>0.66499999999999992</c:v>
                </c:pt>
                <c:pt idx="39">
                  <c:v>0.68249999999999988</c:v>
                </c:pt>
                <c:pt idx="40">
                  <c:v>0.69999999999999984</c:v>
                </c:pt>
                <c:pt idx="41">
                  <c:v>0.7174999999999998</c:v>
                </c:pt>
                <c:pt idx="42">
                  <c:v>0.73499999999999976</c:v>
                </c:pt>
                <c:pt idx="43">
                  <c:v>0.75249999999999972</c:v>
                </c:pt>
                <c:pt idx="44">
                  <c:v>0.76999999999999968</c:v>
                </c:pt>
                <c:pt idx="45">
                  <c:v>0.78749999999999964</c:v>
                </c:pt>
                <c:pt idx="46">
                  <c:v>0.8049999999999996</c:v>
                </c:pt>
                <c:pt idx="47">
                  <c:v>0.82249999999999956</c:v>
                </c:pt>
                <c:pt idx="48">
                  <c:v>0.83999999999999952</c:v>
                </c:pt>
                <c:pt idx="49">
                  <c:v>0.85749999999999948</c:v>
                </c:pt>
                <c:pt idx="50">
                  <c:v>0.87499999999999944</c:v>
                </c:pt>
                <c:pt idx="51">
                  <c:v>0.8924999999999994</c:v>
                </c:pt>
                <c:pt idx="52">
                  <c:v>0.90999999999999936</c:v>
                </c:pt>
                <c:pt idx="53">
                  <c:v>0.92749999999999932</c:v>
                </c:pt>
                <c:pt idx="54">
                  <c:v>0.94499999999999929</c:v>
                </c:pt>
                <c:pt idx="55">
                  <c:v>0.96249999999999925</c:v>
                </c:pt>
                <c:pt idx="56">
                  <c:v>0.97999999999999921</c:v>
                </c:pt>
                <c:pt idx="57">
                  <c:v>0.99749999999999917</c:v>
                </c:pt>
                <c:pt idx="58">
                  <c:v>1.0149999999999992</c:v>
                </c:pt>
                <c:pt idx="59">
                  <c:v>1.0324999999999993</c:v>
                </c:pt>
                <c:pt idx="60">
                  <c:v>1.0499999999999994</c:v>
                </c:pt>
                <c:pt idx="61">
                  <c:v>1.0674999999999994</c:v>
                </c:pt>
                <c:pt idx="62">
                  <c:v>1.0849999999999995</c:v>
                </c:pt>
                <c:pt idx="63">
                  <c:v>1.1024999999999996</c:v>
                </c:pt>
                <c:pt idx="64">
                  <c:v>1.1199999999999997</c:v>
                </c:pt>
                <c:pt idx="65">
                  <c:v>1.1374999999999997</c:v>
                </c:pt>
                <c:pt idx="66">
                  <c:v>1.1549999999999998</c:v>
                </c:pt>
                <c:pt idx="67">
                  <c:v>1.1724999999999999</c:v>
                </c:pt>
                <c:pt idx="68">
                  <c:v>1.19</c:v>
                </c:pt>
                <c:pt idx="69">
                  <c:v>1.2075</c:v>
                </c:pt>
                <c:pt idx="70">
                  <c:v>1.2250000000000001</c:v>
                </c:pt>
                <c:pt idx="71">
                  <c:v>1.2425000000000002</c:v>
                </c:pt>
                <c:pt idx="72">
                  <c:v>1.2600000000000002</c:v>
                </c:pt>
                <c:pt idx="73">
                  <c:v>1.2775000000000003</c:v>
                </c:pt>
                <c:pt idx="74">
                  <c:v>1.2950000000000004</c:v>
                </c:pt>
                <c:pt idx="75">
                  <c:v>1.3125000000000004</c:v>
                </c:pt>
                <c:pt idx="76">
                  <c:v>1.3300000000000005</c:v>
                </c:pt>
                <c:pt idx="77">
                  <c:v>1.3475000000000006</c:v>
                </c:pt>
                <c:pt idx="78">
                  <c:v>1.3650000000000007</c:v>
                </c:pt>
                <c:pt idx="79">
                  <c:v>1.3825000000000007</c:v>
                </c:pt>
                <c:pt idx="80">
                  <c:v>1.4000000000000008</c:v>
                </c:pt>
                <c:pt idx="81">
                  <c:v>1.4175000000000009</c:v>
                </c:pt>
                <c:pt idx="82">
                  <c:v>1.4350000000000009</c:v>
                </c:pt>
                <c:pt idx="83">
                  <c:v>1.452500000000001</c:v>
                </c:pt>
                <c:pt idx="84">
                  <c:v>1.4700000000000011</c:v>
                </c:pt>
                <c:pt idx="85">
                  <c:v>1.4875000000000012</c:v>
                </c:pt>
                <c:pt idx="86">
                  <c:v>1.5050000000000012</c:v>
                </c:pt>
                <c:pt idx="87">
                  <c:v>1.5225000000000013</c:v>
                </c:pt>
                <c:pt idx="88">
                  <c:v>1.5400000000000014</c:v>
                </c:pt>
                <c:pt idx="89">
                  <c:v>1.5575000000000014</c:v>
                </c:pt>
                <c:pt idx="90">
                  <c:v>1.5750000000000015</c:v>
                </c:pt>
                <c:pt idx="91">
                  <c:v>1.5925000000000016</c:v>
                </c:pt>
                <c:pt idx="92">
                  <c:v>1.6100000000000017</c:v>
                </c:pt>
                <c:pt idx="93">
                  <c:v>1.6275000000000017</c:v>
                </c:pt>
                <c:pt idx="94">
                  <c:v>1.6450000000000018</c:v>
                </c:pt>
                <c:pt idx="95">
                  <c:v>1.6625000000000019</c:v>
                </c:pt>
                <c:pt idx="96">
                  <c:v>1.6800000000000019</c:v>
                </c:pt>
                <c:pt idx="97">
                  <c:v>1.697500000000002</c:v>
                </c:pt>
                <c:pt idx="98">
                  <c:v>1.7150000000000021</c:v>
                </c:pt>
                <c:pt idx="99">
                  <c:v>1.7325000000000021</c:v>
                </c:pt>
                <c:pt idx="100">
                  <c:v>1.7500000000000022</c:v>
                </c:pt>
                <c:pt idx="101">
                  <c:v>1.7675000000000023</c:v>
                </c:pt>
                <c:pt idx="102">
                  <c:v>1.7850000000000024</c:v>
                </c:pt>
                <c:pt idx="103">
                  <c:v>1.8025000000000024</c:v>
                </c:pt>
                <c:pt idx="104">
                  <c:v>1.8200000000000025</c:v>
                </c:pt>
                <c:pt idx="105">
                  <c:v>1.8375000000000026</c:v>
                </c:pt>
                <c:pt idx="106">
                  <c:v>1.8550000000000026</c:v>
                </c:pt>
                <c:pt idx="107">
                  <c:v>1.8725000000000027</c:v>
                </c:pt>
                <c:pt idx="108">
                  <c:v>1.8900000000000028</c:v>
                </c:pt>
                <c:pt idx="109">
                  <c:v>1.9075000000000029</c:v>
                </c:pt>
                <c:pt idx="110">
                  <c:v>1.9250000000000029</c:v>
                </c:pt>
                <c:pt idx="111">
                  <c:v>1.942500000000003</c:v>
                </c:pt>
                <c:pt idx="112">
                  <c:v>1.9600000000000031</c:v>
                </c:pt>
                <c:pt idx="113">
                  <c:v>1.9775000000000031</c:v>
                </c:pt>
                <c:pt idx="114">
                  <c:v>1.9950000000000032</c:v>
                </c:pt>
                <c:pt idx="115">
                  <c:v>2.0125000000000033</c:v>
                </c:pt>
                <c:pt idx="116">
                  <c:v>2.0300000000000034</c:v>
                </c:pt>
                <c:pt idx="117">
                  <c:v>2.0475000000000034</c:v>
                </c:pt>
                <c:pt idx="118">
                  <c:v>2.0650000000000035</c:v>
                </c:pt>
                <c:pt idx="119">
                  <c:v>2.0825000000000036</c:v>
                </c:pt>
                <c:pt idx="120">
                  <c:v>2.1000000000000036</c:v>
                </c:pt>
                <c:pt idx="121">
                  <c:v>2.1175000000000037</c:v>
                </c:pt>
                <c:pt idx="122">
                  <c:v>2.1350000000000038</c:v>
                </c:pt>
                <c:pt idx="123">
                  <c:v>2.1525000000000039</c:v>
                </c:pt>
                <c:pt idx="124">
                  <c:v>2.1700000000000039</c:v>
                </c:pt>
                <c:pt idx="125">
                  <c:v>2.187500000000004</c:v>
                </c:pt>
                <c:pt idx="126">
                  <c:v>2.2050000000000041</c:v>
                </c:pt>
                <c:pt idx="127">
                  <c:v>2.2225000000000041</c:v>
                </c:pt>
                <c:pt idx="128">
                  <c:v>2.2400000000000042</c:v>
                </c:pt>
                <c:pt idx="129">
                  <c:v>2.2575000000000043</c:v>
                </c:pt>
                <c:pt idx="130">
                  <c:v>2.2750000000000044</c:v>
                </c:pt>
                <c:pt idx="131">
                  <c:v>2.2925000000000044</c:v>
                </c:pt>
                <c:pt idx="132">
                  <c:v>2.3100000000000045</c:v>
                </c:pt>
                <c:pt idx="133">
                  <c:v>2.3275000000000046</c:v>
                </c:pt>
                <c:pt idx="134">
                  <c:v>2.3450000000000046</c:v>
                </c:pt>
                <c:pt idx="135">
                  <c:v>2.3625000000000047</c:v>
                </c:pt>
                <c:pt idx="136">
                  <c:v>2.3800000000000048</c:v>
                </c:pt>
                <c:pt idx="137">
                  <c:v>2.3975000000000048</c:v>
                </c:pt>
                <c:pt idx="138">
                  <c:v>2.4150000000000049</c:v>
                </c:pt>
                <c:pt idx="139">
                  <c:v>2.432500000000005</c:v>
                </c:pt>
                <c:pt idx="140">
                  <c:v>2.4500000000000051</c:v>
                </c:pt>
                <c:pt idx="141">
                  <c:v>2.4675000000000051</c:v>
                </c:pt>
                <c:pt idx="142">
                  <c:v>2.4850000000000052</c:v>
                </c:pt>
                <c:pt idx="143">
                  <c:v>2.5025000000000053</c:v>
                </c:pt>
                <c:pt idx="144">
                  <c:v>2.5200000000000053</c:v>
                </c:pt>
                <c:pt idx="145">
                  <c:v>2.5375000000000054</c:v>
                </c:pt>
                <c:pt idx="146">
                  <c:v>2.5550000000000055</c:v>
                </c:pt>
                <c:pt idx="147">
                  <c:v>2.5725000000000056</c:v>
                </c:pt>
                <c:pt idx="148">
                  <c:v>2.5900000000000056</c:v>
                </c:pt>
                <c:pt idx="149">
                  <c:v>2.6075000000000057</c:v>
                </c:pt>
                <c:pt idx="150">
                  <c:v>2.6250000000000058</c:v>
                </c:pt>
                <c:pt idx="151">
                  <c:v>2.6425000000000058</c:v>
                </c:pt>
                <c:pt idx="152">
                  <c:v>2.6600000000000059</c:v>
                </c:pt>
                <c:pt idx="153">
                  <c:v>2.677500000000006</c:v>
                </c:pt>
                <c:pt idx="154">
                  <c:v>2.6950000000000061</c:v>
                </c:pt>
                <c:pt idx="155">
                  <c:v>2.7125000000000061</c:v>
                </c:pt>
                <c:pt idx="156">
                  <c:v>2.7300000000000062</c:v>
                </c:pt>
                <c:pt idx="157">
                  <c:v>2.7475000000000063</c:v>
                </c:pt>
                <c:pt idx="158">
                  <c:v>2.7650000000000063</c:v>
                </c:pt>
                <c:pt idx="159">
                  <c:v>2.7825000000000064</c:v>
                </c:pt>
                <c:pt idx="160">
                  <c:v>2.8000000000000065</c:v>
                </c:pt>
                <c:pt idx="161">
                  <c:v>2.8175000000000066</c:v>
                </c:pt>
                <c:pt idx="162">
                  <c:v>2.8350000000000066</c:v>
                </c:pt>
                <c:pt idx="163">
                  <c:v>2.8525000000000067</c:v>
                </c:pt>
                <c:pt idx="164">
                  <c:v>2.8700000000000068</c:v>
                </c:pt>
                <c:pt idx="165">
                  <c:v>2.8875000000000068</c:v>
                </c:pt>
                <c:pt idx="166">
                  <c:v>2.9050000000000069</c:v>
                </c:pt>
                <c:pt idx="167">
                  <c:v>2.922500000000007</c:v>
                </c:pt>
                <c:pt idx="168">
                  <c:v>2.9400000000000071</c:v>
                </c:pt>
                <c:pt idx="169">
                  <c:v>2.9575000000000071</c:v>
                </c:pt>
                <c:pt idx="170">
                  <c:v>2.9750000000000072</c:v>
                </c:pt>
                <c:pt idx="171">
                  <c:v>2.9925000000000073</c:v>
                </c:pt>
                <c:pt idx="172">
                  <c:v>3.0100000000000073</c:v>
                </c:pt>
                <c:pt idx="173">
                  <c:v>3.0275000000000074</c:v>
                </c:pt>
                <c:pt idx="174">
                  <c:v>3.0450000000000075</c:v>
                </c:pt>
                <c:pt idx="175">
                  <c:v>3.0625000000000075</c:v>
                </c:pt>
                <c:pt idx="176">
                  <c:v>3.0800000000000076</c:v>
                </c:pt>
                <c:pt idx="177">
                  <c:v>3.0975000000000077</c:v>
                </c:pt>
                <c:pt idx="178">
                  <c:v>3.1150000000000078</c:v>
                </c:pt>
                <c:pt idx="179">
                  <c:v>3.1325000000000078</c:v>
                </c:pt>
                <c:pt idx="180">
                  <c:v>3.1500000000000079</c:v>
                </c:pt>
                <c:pt idx="181">
                  <c:v>3.167500000000008</c:v>
                </c:pt>
                <c:pt idx="182">
                  <c:v>3.185000000000008</c:v>
                </c:pt>
                <c:pt idx="183">
                  <c:v>3.2025000000000081</c:v>
                </c:pt>
                <c:pt idx="184">
                  <c:v>3.2200000000000082</c:v>
                </c:pt>
                <c:pt idx="185">
                  <c:v>3.2375000000000083</c:v>
                </c:pt>
                <c:pt idx="186">
                  <c:v>3.2550000000000083</c:v>
                </c:pt>
                <c:pt idx="187">
                  <c:v>3.2725000000000084</c:v>
                </c:pt>
                <c:pt idx="188">
                  <c:v>3.2900000000000085</c:v>
                </c:pt>
                <c:pt idx="189">
                  <c:v>3.3075000000000085</c:v>
                </c:pt>
                <c:pt idx="190">
                  <c:v>3.3250000000000086</c:v>
                </c:pt>
                <c:pt idx="191">
                  <c:v>3.3425000000000087</c:v>
                </c:pt>
                <c:pt idx="192">
                  <c:v>3.3600000000000088</c:v>
                </c:pt>
                <c:pt idx="193">
                  <c:v>3.3775000000000088</c:v>
                </c:pt>
                <c:pt idx="194">
                  <c:v>3.3950000000000089</c:v>
                </c:pt>
                <c:pt idx="195">
                  <c:v>3.412500000000009</c:v>
                </c:pt>
                <c:pt idx="196">
                  <c:v>3.430000000000009</c:v>
                </c:pt>
                <c:pt idx="197">
                  <c:v>3.4475000000000091</c:v>
                </c:pt>
                <c:pt idx="198">
                  <c:v>3.4650000000000092</c:v>
                </c:pt>
                <c:pt idx="199">
                  <c:v>3.4825000000000093</c:v>
                </c:pt>
                <c:pt idx="200">
                  <c:v>3.5000000000000093</c:v>
                </c:pt>
                <c:pt idx="201">
                  <c:v>3.5175000000000094</c:v>
                </c:pt>
                <c:pt idx="202">
                  <c:v>3.5350000000000095</c:v>
                </c:pt>
                <c:pt idx="203">
                  <c:v>3.5525000000000095</c:v>
                </c:pt>
                <c:pt idx="204">
                  <c:v>3.5700000000000096</c:v>
                </c:pt>
                <c:pt idx="205">
                  <c:v>3.5875000000000097</c:v>
                </c:pt>
                <c:pt idx="206">
                  <c:v>3.6050000000000098</c:v>
                </c:pt>
                <c:pt idx="207">
                  <c:v>3.6225000000000098</c:v>
                </c:pt>
                <c:pt idx="208">
                  <c:v>3.6400000000000099</c:v>
                </c:pt>
                <c:pt idx="209">
                  <c:v>3.65750000000001</c:v>
                </c:pt>
                <c:pt idx="210">
                  <c:v>3.67500000000001</c:v>
                </c:pt>
                <c:pt idx="211">
                  <c:v>3.6925000000000101</c:v>
                </c:pt>
                <c:pt idx="212">
                  <c:v>3.7100000000000102</c:v>
                </c:pt>
                <c:pt idx="213">
                  <c:v>3.7275000000000102</c:v>
                </c:pt>
                <c:pt idx="214">
                  <c:v>3.7450000000000103</c:v>
                </c:pt>
                <c:pt idx="215">
                  <c:v>3.7625000000000104</c:v>
                </c:pt>
                <c:pt idx="216">
                  <c:v>3.7800000000000105</c:v>
                </c:pt>
                <c:pt idx="217">
                  <c:v>3.7975000000000105</c:v>
                </c:pt>
                <c:pt idx="218">
                  <c:v>3.8150000000000106</c:v>
                </c:pt>
                <c:pt idx="219">
                  <c:v>3.8325000000000107</c:v>
                </c:pt>
                <c:pt idx="220">
                  <c:v>3.8500000000000107</c:v>
                </c:pt>
                <c:pt idx="221">
                  <c:v>3.8675000000000108</c:v>
                </c:pt>
                <c:pt idx="222">
                  <c:v>3.8850000000000109</c:v>
                </c:pt>
                <c:pt idx="223">
                  <c:v>3.902500000000011</c:v>
                </c:pt>
                <c:pt idx="224">
                  <c:v>3.920000000000011</c:v>
                </c:pt>
                <c:pt idx="225">
                  <c:v>3.9375000000000111</c:v>
                </c:pt>
                <c:pt idx="226">
                  <c:v>3.9550000000000112</c:v>
                </c:pt>
                <c:pt idx="227">
                  <c:v>3.9725000000000112</c:v>
                </c:pt>
                <c:pt idx="228">
                  <c:v>3.9900000000000113</c:v>
                </c:pt>
                <c:pt idx="229">
                  <c:v>4.0075000000000109</c:v>
                </c:pt>
                <c:pt idx="230">
                  <c:v>4.025000000000011</c:v>
                </c:pt>
                <c:pt idx="231">
                  <c:v>4.0425000000000111</c:v>
                </c:pt>
                <c:pt idx="232">
                  <c:v>4.0600000000000112</c:v>
                </c:pt>
                <c:pt idx="233">
                  <c:v>4.0775000000000112</c:v>
                </c:pt>
                <c:pt idx="234">
                  <c:v>4.0950000000000113</c:v>
                </c:pt>
                <c:pt idx="235">
                  <c:v>4.1125000000000114</c:v>
                </c:pt>
                <c:pt idx="236">
                  <c:v>4.1300000000000114</c:v>
                </c:pt>
                <c:pt idx="237">
                  <c:v>4.1475000000000115</c:v>
                </c:pt>
                <c:pt idx="238">
                  <c:v>4.1650000000000116</c:v>
                </c:pt>
                <c:pt idx="239">
                  <c:v>4.1825000000000117</c:v>
                </c:pt>
                <c:pt idx="240">
                  <c:v>4.2000000000000117</c:v>
                </c:pt>
                <c:pt idx="241">
                  <c:v>4.2175000000000118</c:v>
                </c:pt>
                <c:pt idx="242">
                  <c:v>4.2350000000000119</c:v>
                </c:pt>
                <c:pt idx="243">
                  <c:v>4.2525000000000119</c:v>
                </c:pt>
                <c:pt idx="244">
                  <c:v>4.270000000000012</c:v>
                </c:pt>
                <c:pt idx="245">
                  <c:v>4.2875000000000121</c:v>
                </c:pt>
                <c:pt idx="246">
                  <c:v>4.3050000000000122</c:v>
                </c:pt>
                <c:pt idx="247">
                  <c:v>4.3225000000000122</c:v>
                </c:pt>
                <c:pt idx="248">
                  <c:v>4.3400000000000123</c:v>
                </c:pt>
                <c:pt idx="249">
                  <c:v>4.3575000000000124</c:v>
                </c:pt>
                <c:pt idx="250">
                  <c:v>4.3750000000000124</c:v>
                </c:pt>
                <c:pt idx="251">
                  <c:v>4.3925000000000125</c:v>
                </c:pt>
                <c:pt idx="252">
                  <c:v>4.4100000000000126</c:v>
                </c:pt>
                <c:pt idx="253">
                  <c:v>4.4275000000000126</c:v>
                </c:pt>
                <c:pt idx="254">
                  <c:v>4.4450000000000127</c:v>
                </c:pt>
                <c:pt idx="255">
                  <c:v>4.4625000000000128</c:v>
                </c:pt>
                <c:pt idx="256">
                  <c:v>4.4800000000000129</c:v>
                </c:pt>
                <c:pt idx="257">
                  <c:v>4.4975000000000129</c:v>
                </c:pt>
                <c:pt idx="258">
                  <c:v>4.515000000000013</c:v>
                </c:pt>
                <c:pt idx="259">
                  <c:v>4.5325000000000131</c:v>
                </c:pt>
                <c:pt idx="260">
                  <c:v>4.5500000000000131</c:v>
                </c:pt>
                <c:pt idx="261">
                  <c:v>4.5675000000000132</c:v>
                </c:pt>
                <c:pt idx="262">
                  <c:v>4.5850000000000133</c:v>
                </c:pt>
                <c:pt idx="263">
                  <c:v>4.6025000000000134</c:v>
                </c:pt>
                <c:pt idx="264">
                  <c:v>4.6200000000000134</c:v>
                </c:pt>
                <c:pt idx="265">
                  <c:v>4.6375000000000135</c:v>
                </c:pt>
                <c:pt idx="266">
                  <c:v>4.6550000000000136</c:v>
                </c:pt>
                <c:pt idx="267">
                  <c:v>4.6725000000000136</c:v>
                </c:pt>
                <c:pt idx="268">
                  <c:v>4.6900000000000137</c:v>
                </c:pt>
                <c:pt idx="269">
                  <c:v>4.7075000000000138</c:v>
                </c:pt>
                <c:pt idx="270">
                  <c:v>4.7250000000000139</c:v>
                </c:pt>
                <c:pt idx="271">
                  <c:v>4.7425000000000139</c:v>
                </c:pt>
                <c:pt idx="272">
                  <c:v>4.760000000000014</c:v>
                </c:pt>
                <c:pt idx="273">
                  <c:v>4.7775000000000141</c:v>
                </c:pt>
                <c:pt idx="274">
                  <c:v>4.7950000000000141</c:v>
                </c:pt>
                <c:pt idx="275">
                  <c:v>4.8125000000000142</c:v>
                </c:pt>
                <c:pt idx="276">
                  <c:v>4.8300000000000143</c:v>
                </c:pt>
                <c:pt idx="277">
                  <c:v>4.8475000000000144</c:v>
                </c:pt>
                <c:pt idx="278">
                  <c:v>4.8650000000000144</c:v>
                </c:pt>
                <c:pt idx="279">
                  <c:v>4.8825000000000145</c:v>
                </c:pt>
                <c:pt idx="280">
                  <c:v>4.9000000000000146</c:v>
                </c:pt>
                <c:pt idx="281">
                  <c:v>4.9175000000000146</c:v>
                </c:pt>
                <c:pt idx="282">
                  <c:v>4.9350000000000147</c:v>
                </c:pt>
                <c:pt idx="283">
                  <c:v>4.9525000000000148</c:v>
                </c:pt>
                <c:pt idx="284">
                  <c:v>4.9700000000000149</c:v>
                </c:pt>
                <c:pt idx="285">
                  <c:v>4.9875000000000149</c:v>
                </c:pt>
                <c:pt idx="286">
                  <c:v>5.005000000000015</c:v>
                </c:pt>
                <c:pt idx="287">
                  <c:v>5.0225000000000151</c:v>
                </c:pt>
                <c:pt idx="288">
                  <c:v>5.0400000000000151</c:v>
                </c:pt>
                <c:pt idx="289">
                  <c:v>5.0575000000000152</c:v>
                </c:pt>
                <c:pt idx="290">
                  <c:v>5.0750000000000153</c:v>
                </c:pt>
                <c:pt idx="291">
                  <c:v>5.0925000000000153</c:v>
                </c:pt>
                <c:pt idx="292">
                  <c:v>5.1100000000000154</c:v>
                </c:pt>
                <c:pt idx="293">
                  <c:v>5.1275000000000155</c:v>
                </c:pt>
                <c:pt idx="294">
                  <c:v>5.1450000000000156</c:v>
                </c:pt>
                <c:pt idx="295">
                  <c:v>5.1625000000000156</c:v>
                </c:pt>
                <c:pt idx="296">
                  <c:v>5.1800000000000157</c:v>
                </c:pt>
                <c:pt idx="297">
                  <c:v>5.1975000000000158</c:v>
                </c:pt>
                <c:pt idx="298">
                  <c:v>5.2150000000000158</c:v>
                </c:pt>
                <c:pt idx="299">
                  <c:v>5.2325000000000159</c:v>
                </c:pt>
                <c:pt idx="300">
                  <c:v>5.250000000000016</c:v>
                </c:pt>
                <c:pt idx="301">
                  <c:v>5.2675000000000161</c:v>
                </c:pt>
                <c:pt idx="302">
                  <c:v>5.2850000000000161</c:v>
                </c:pt>
                <c:pt idx="303">
                  <c:v>5.3025000000000162</c:v>
                </c:pt>
                <c:pt idx="304">
                  <c:v>5.3200000000000163</c:v>
                </c:pt>
                <c:pt idx="305">
                  <c:v>5.3375000000000163</c:v>
                </c:pt>
                <c:pt idx="306">
                  <c:v>5.3550000000000164</c:v>
                </c:pt>
                <c:pt idx="307">
                  <c:v>5.3725000000000165</c:v>
                </c:pt>
                <c:pt idx="308">
                  <c:v>5.3900000000000166</c:v>
                </c:pt>
                <c:pt idx="309">
                  <c:v>5.4075000000000166</c:v>
                </c:pt>
                <c:pt idx="310">
                  <c:v>5.4250000000000167</c:v>
                </c:pt>
                <c:pt idx="311">
                  <c:v>5.4425000000000168</c:v>
                </c:pt>
                <c:pt idx="312">
                  <c:v>5.4600000000000168</c:v>
                </c:pt>
                <c:pt idx="313">
                  <c:v>5.4775000000000169</c:v>
                </c:pt>
                <c:pt idx="314">
                  <c:v>5.495000000000017</c:v>
                </c:pt>
                <c:pt idx="315">
                  <c:v>5.5125000000000171</c:v>
                </c:pt>
                <c:pt idx="316">
                  <c:v>5.5300000000000171</c:v>
                </c:pt>
                <c:pt idx="317">
                  <c:v>5.5475000000000172</c:v>
                </c:pt>
                <c:pt idx="318">
                  <c:v>5.5650000000000173</c:v>
                </c:pt>
                <c:pt idx="319">
                  <c:v>5.5825000000000173</c:v>
                </c:pt>
                <c:pt idx="320">
                  <c:v>5.6000000000000174</c:v>
                </c:pt>
                <c:pt idx="321">
                  <c:v>5.6175000000000175</c:v>
                </c:pt>
                <c:pt idx="322">
                  <c:v>5.6350000000000176</c:v>
                </c:pt>
                <c:pt idx="323">
                  <c:v>5.6525000000000176</c:v>
                </c:pt>
                <c:pt idx="324">
                  <c:v>5.6700000000000177</c:v>
                </c:pt>
                <c:pt idx="325">
                  <c:v>5.6875000000000178</c:v>
                </c:pt>
                <c:pt idx="326">
                  <c:v>5.7050000000000178</c:v>
                </c:pt>
                <c:pt idx="327">
                  <c:v>5.7225000000000179</c:v>
                </c:pt>
                <c:pt idx="328">
                  <c:v>5.740000000000018</c:v>
                </c:pt>
                <c:pt idx="329">
                  <c:v>5.757500000000018</c:v>
                </c:pt>
                <c:pt idx="330">
                  <c:v>5.7750000000000181</c:v>
                </c:pt>
                <c:pt idx="331">
                  <c:v>5.7925000000000182</c:v>
                </c:pt>
                <c:pt idx="332">
                  <c:v>5.8100000000000183</c:v>
                </c:pt>
                <c:pt idx="333">
                  <c:v>5.8275000000000183</c:v>
                </c:pt>
                <c:pt idx="334">
                  <c:v>5.8450000000000184</c:v>
                </c:pt>
                <c:pt idx="335">
                  <c:v>5.8625000000000185</c:v>
                </c:pt>
                <c:pt idx="336">
                  <c:v>5.8800000000000185</c:v>
                </c:pt>
                <c:pt idx="337">
                  <c:v>5.8975000000000186</c:v>
                </c:pt>
                <c:pt idx="338">
                  <c:v>5.9150000000000187</c:v>
                </c:pt>
                <c:pt idx="339">
                  <c:v>5.9325000000000188</c:v>
                </c:pt>
                <c:pt idx="340">
                  <c:v>5.9500000000000188</c:v>
                </c:pt>
                <c:pt idx="341">
                  <c:v>5.9675000000000189</c:v>
                </c:pt>
                <c:pt idx="342">
                  <c:v>5.985000000000019</c:v>
                </c:pt>
                <c:pt idx="343">
                  <c:v>6.002500000000019</c:v>
                </c:pt>
                <c:pt idx="344">
                  <c:v>6.0200000000000191</c:v>
                </c:pt>
                <c:pt idx="345">
                  <c:v>6.0375000000000192</c:v>
                </c:pt>
                <c:pt idx="346">
                  <c:v>6.0550000000000193</c:v>
                </c:pt>
                <c:pt idx="347">
                  <c:v>6.0725000000000193</c:v>
                </c:pt>
                <c:pt idx="348">
                  <c:v>6.0900000000000194</c:v>
                </c:pt>
                <c:pt idx="349">
                  <c:v>6.1075000000000195</c:v>
                </c:pt>
                <c:pt idx="350">
                  <c:v>6.1250000000000195</c:v>
                </c:pt>
                <c:pt idx="351">
                  <c:v>6.1425000000000196</c:v>
                </c:pt>
                <c:pt idx="352">
                  <c:v>6.1600000000000197</c:v>
                </c:pt>
                <c:pt idx="353">
                  <c:v>6.1775000000000198</c:v>
                </c:pt>
                <c:pt idx="354">
                  <c:v>6.1950000000000198</c:v>
                </c:pt>
                <c:pt idx="355">
                  <c:v>6.2125000000000199</c:v>
                </c:pt>
                <c:pt idx="356">
                  <c:v>6.23000000000002</c:v>
                </c:pt>
                <c:pt idx="357">
                  <c:v>6.24750000000002</c:v>
                </c:pt>
                <c:pt idx="358">
                  <c:v>6.2650000000000201</c:v>
                </c:pt>
                <c:pt idx="359">
                  <c:v>6.2825000000000202</c:v>
                </c:pt>
                <c:pt idx="360">
                  <c:v>6.3000000000000203</c:v>
                </c:pt>
                <c:pt idx="361">
                  <c:v>6.3175000000000203</c:v>
                </c:pt>
                <c:pt idx="362">
                  <c:v>6.3350000000000204</c:v>
                </c:pt>
                <c:pt idx="363">
                  <c:v>6.3525000000000205</c:v>
                </c:pt>
                <c:pt idx="364">
                  <c:v>6.3700000000000205</c:v>
                </c:pt>
                <c:pt idx="365">
                  <c:v>6.3875000000000206</c:v>
                </c:pt>
                <c:pt idx="366">
                  <c:v>6.4050000000000207</c:v>
                </c:pt>
                <c:pt idx="367">
                  <c:v>6.4225000000000207</c:v>
                </c:pt>
                <c:pt idx="368">
                  <c:v>6.4400000000000208</c:v>
                </c:pt>
                <c:pt idx="369">
                  <c:v>6.4575000000000209</c:v>
                </c:pt>
                <c:pt idx="370">
                  <c:v>6.475000000000021</c:v>
                </c:pt>
                <c:pt idx="371">
                  <c:v>6.492500000000021</c:v>
                </c:pt>
                <c:pt idx="372">
                  <c:v>6.5100000000000211</c:v>
                </c:pt>
                <c:pt idx="373">
                  <c:v>6.5275000000000212</c:v>
                </c:pt>
                <c:pt idx="374">
                  <c:v>6.5450000000000212</c:v>
                </c:pt>
                <c:pt idx="375">
                  <c:v>6.5625000000000213</c:v>
                </c:pt>
                <c:pt idx="376">
                  <c:v>6.5800000000000214</c:v>
                </c:pt>
                <c:pt idx="377">
                  <c:v>6.5975000000000215</c:v>
                </c:pt>
                <c:pt idx="378">
                  <c:v>6.6150000000000215</c:v>
                </c:pt>
                <c:pt idx="379">
                  <c:v>6.6325000000000216</c:v>
                </c:pt>
                <c:pt idx="380">
                  <c:v>6.6500000000000217</c:v>
                </c:pt>
                <c:pt idx="381">
                  <c:v>6.6675000000000217</c:v>
                </c:pt>
                <c:pt idx="382">
                  <c:v>6.6850000000000218</c:v>
                </c:pt>
                <c:pt idx="383">
                  <c:v>6.7025000000000219</c:v>
                </c:pt>
                <c:pt idx="384">
                  <c:v>6.720000000000022</c:v>
                </c:pt>
                <c:pt idx="385">
                  <c:v>6.737500000000022</c:v>
                </c:pt>
                <c:pt idx="386">
                  <c:v>6.7550000000000221</c:v>
                </c:pt>
                <c:pt idx="387">
                  <c:v>6.7725000000000222</c:v>
                </c:pt>
                <c:pt idx="388">
                  <c:v>6.7900000000000222</c:v>
                </c:pt>
                <c:pt idx="389">
                  <c:v>6.8075000000000223</c:v>
                </c:pt>
                <c:pt idx="390">
                  <c:v>6.8250000000000224</c:v>
                </c:pt>
                <c:pt idx="391">
                  <c:v>6.8425000000000225</c:v>
                </c:pt>
                <c:pt idx="392">
                  <c:v>6.8600000000000225</c:v>
                </c:pt>
                <c:pt idx="393">
                  <c:v>6.8775000000000226</c:v>
                </c:pt>
                <c:pt idx="394">
                  <c:v>6.8950000000000227</c:v>
                </c:pt>
                <c:pt idx="395">
                  <c:v>6.9125000000000227</c:v>
                </c:pt>
                <c:pt idx="396">
                  <c:v>6.9300000000000228</c:v>
                </c:pt>
                <c:pt idx="397">
                  <c:v>6.9475000000000229</c:v>
                </c:pt>
                <c:pt idx="398">
                  <c:v>6.965000000000023</c:v>
                </c:pt>
                <c:pt idx="399">
                  <c:v>6.982500000000023</c:v>
                </c:pt>
                <c:pt idx="400">
                  <c:v>7.0000000000000231</c:v>
                </c:pt>
              </c:numCache>
            </c:numRef>
          </c:xVal>
          <c:yVal>
            <c:numRef>
              <c:f>'xVA Calculations'!$P$30:$P$430</c:f>
              <c:numCache>
                <c:formatCode>General</c:formatCode>
                <c:ptCount val="40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  <c:pt idx="51">
                  <c:v>-1</c:v>
                </c:pt>
                <c:pt idx="52">
                  <c:v>-1</c:v>
                </c:pt>
                <c:pt idx="53">
                  <c:v>-1</c:v>
                </c:pt>
                <c:pt idx="54">
                  <c:v>-1</c:v>
                </c:pt>
                <c:pt idx="55">
                  <c:v>-1</c:v>
                </c:pt>
                <c:pt idx="56">
                  <c:v>-1</c:v>
                </c:pt>
                <c:pt idx="57">
                  <c:v>125</c:v>
                </c:pt>
                <c:pt idx="58">
                  <c:v>-1</c:v>
                </c:pt>
                <c:pt idx="59">
                  <c:v>-1</c:v>
                </c:pt>
                <c:pt idx="60">
                  <c:v>-1</c:v>
                </c:pt>
                <c:pt idx="61">
                  <c:v>-1</c:v>
                </c:pt>
                <c:pt idx="62">
                  <c:v>-1</c:v>
                </c:pt>
                <c:pt idx="63">
                  <c:v>-1</c:v>
                </c:pt>
                <c:pt idx="64">
                  <c:v>-1</c:v>
                </c:pt>
                <c:pt idx="65">
                  <c:v>-1</c:v>
                </c:pt>
                <c:pt idx="66">
                  <c:v>-1</c:v>
                </c:pt>
                <c:pt idx="67">
                  <c:v>-1</c:v>
                </c:pt>
                <c:pt idx="68">
                  <c:v>-1</c:v>
                </c:pt>
                <c:pt idx="69">
                  <c:v>-1</c:v>
                </c:pt>
                <c:pt idx="70">
                  <c:v>-1</c:v>
                </c:pt>
                <c:pt idx="71">
                  <c:v>-1</c:v>
                </c:pt>
                <c:pt idx="72">
                  <c:v>-1</c:v>
                </c:pt>
                <c:pt idx="73">
                  <c:v>-1</c:v>
                </c:pt>
                <c:pt idx="74">
                  <c:v>-1</c:v>
                </c:pt>
                <c:pt idx="75">
                  <c:v>-1</c:v>
                </c:pt>
                <c:pt idx="76">
                  <c:v>-1</c:v>
                </c:pt>
                <c:pt idx="77">
                  <c:v>-1</c:v>
                </c:pt>
                <c:pt idx="78">
                  <c:v>-1</c:v>
                </c:pt>
                <c:pt idx="79">
                  <c:v>-1</c:v>
                </c:pt>
                <c:pt idx="80">
                  <c:v>-1</c:v>
                </c:pt>
                <c:pt idx="81">
                  <c:v>-1</c:v>
                </c:pt>
                <c:pt idx="82">
                  <c:v>-1</c:v>
                </c:pt>
                <c:pt idx="83">
                  <c:v>-1</c:v>
                </c:pt>
                <c:pt idx="84">
                  <c:v>-1</c:v>
                </c:pt>
                <c:pt idx="85">
                  <c:v>-1</c:v>
                </c:pt>
                <c:pt idx="86">
                  <c:v>-1</c:v>
                </c:pt>
                <c:pt idx="87">
                  <c:v>-1</c:v>
                </c:pt>
                <c:pt idx="88">
                  <c:v>-1</c:v>
                </c:pt>
                <c:pt idx="89">
                  <c:v>-1</c:v>
                </c:pt>
                <c:pt idx="90">
                  <c:v>-1</c:v>
                </c:pt>
                <c:pt idx="91">
                  <c:v>-1</c:v>
                </c:pt>
                <c:pt idx="92">
                  <c:v>-1</c:v>
                </c:pt>
                <c:pt idx="93">
                  <c:v>-1</c:v>
                </c:pt>
                <c:pt idx="94">
                  <c:v>-1</c:v>
                </c:pt>
                <c:pt idx="95">
                  <c:v>-1</c:v>
                </c:pt>
                <c:pt idx="96">
                  <c:v>-1</c:v>
                </c:pt>
                <c:pt idx="97">
                  <c:v>-1</c:v>
                </c:pt>
                <c:pt idx="98">
                  <c:v>-1</c:v>
                </c:pt>
                <c:pt idx="99">
                  <c:v>-1</c:v>
                </c:pt>
                <c:pt idx="100">
                  <c:v>-1</c:v>
                </c:pt>
                <c:pt idx="101">
                  <c:v>-1</c:v>
                </c:pt>
                <c:pt idx="102">
                  <c:v>-1</c:v>
                </c:pt>
                <c:pt idx="103">
                  <c:v>-1</c:v>
                </c:pt>
                <c:pt idx="104">
                  <c:v>-1</c:v>
                </c:pt>
                <c:pt idx="105">
                  <c:v>-1</c:v>
                </c:pt>
                <c:pt idx="106">
                  <c:v>-1</c:v>
                </c:pt>
                <c:pt idx="107">
                  <c:v>-1</c:v>
                </c:pt>
                <c:pt idx="108">
                  <c:v>-1</c:v>
                </c:pt>
                <c:pt idx="109">
                  <c:v>-1</c:v>
                </c:pt>
                <c:pt idx="110">
                  <c:v>-1</c:v>
                </c:pt>
                <c:pt idx="111">
                  <c:v>-1</c:v>
                </c:pt>
                <c:pt idx="112">
                  <c:v>-1</c:v>
                </c:pt>
                <c:pt idx="113">
                  <c:v>-1</c:v>
                </c:pt>
                <c:pt idx="114">
                  <c:v>-1</c:v>
                </c:pt>
                <c:pt idx="115">
                  <c:v>-1</c:v>
                </c:pt>
                <c:pt idx="116">
                  <c:v>-1</c:v>
                </c:pt>
                <c:pt idx="117">
                  <c:v>-1</c:v>
                </c:pt>
                <c:pt idx="118">
                  <c:v>-1</c:v>
                </c:pt>
                <c:pt idx="119">
                  <c:v>-1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-1</c:v>
                </c:pt>
                <c:pt idx="124">
                  <c:v>-1</c:v>
                </c:pt>
                <c:pt idx="125">
                  <c:v>-1</c:v>
                </c:pt>
                <c:pt idx="126">
                  <c:v>-1</c:v>
                </c:pt>
                <c:pt idx="127">
                  <c:v>-1</c:v>
                </c:pt>
                <c:pt idx="128">
                  <c:v>-1</c:v>
                </c:pt>
                <c:pt idx="129">
                  <c:v>-1</c:v>
                </c:pt>
                <c:pt idx="130">
                  <c:v>-1</c:v>
                </c:pt>
                <c:pt idx="131">
                  <c:v>-1</c:v>
                </c:pt>
                <c:pt idx="132">
                  <c:v>-1</c:v>
                </c:pt>
                <c:pt idx="133">
                  <c:v>-1</c:v>
                </c:pt>
                <c:pt idx="134">
                  <c:v>-1</c:v>
                </c:pt>
                <c:pt idx="135">
                  <c:v>-1</c:v>
                </c:pt>
                <c:pt idx="136">
                  <c:v>-1</c:v>
                </c:pt>
                <c:pt idx="137">
                  <c:v>-1</c:v>
                </c:pt>
                <c:pt idx="138">
                  <c:v>-1</c:v>
                </c:pt>
                <c:pt idx="139">
                  <c:v>-1</c:v>
                </c:pt>
                <c:pt idx="140">
                  <c:v>-1</c:v>
                </c:pt>
                <c:pt idx="141">
                  <c:v>-1</c:v>
                </c:pt>
                <c:pt idx="142">
                  <c:v>-1</c:v>
                </c:pt>
                <c:pt idx="143">
                  <c:v>-1</c:v>
                </c:pt>
                <c:pt idx="144">
                  <c:v>-1</c:v>
                </c:pt>
                <c:pt idx="145">
                  <c:v>-1</c:v>
                </c:pt>
                <c:pt idx="146">
                  <c:v>-1</c:v>
                </c:pt>
                <c:pt idx="147">
                  <c:v>-1</c:v>
                </c:pt>
                <c:pt idx="148">
                  <c:v>-1</c:v>
                </c:pt>
                <c:pt idx="149">
                  <c:v>-1</c:v>
                </c:pt>
                <c:pt idx="150">
                  <c:v>-1</c:v>
                </c:pt>
                <c:pt idx="151">
                  <c:v>-1</c:v>
                </c:pt>
                <c:pt idx="152">
                  <c:v>-1</c:v>
                </c:pt>
                <c:pt idx="153">
                  <c:v>-1</c:v>
                </c:pt>
                <c:pt idx="154">
                  <c:v>-1</c:v>
                </c:pt>
                <c:pt idx="155">
                  <c:v>-1</c:v>
                </c:pt>
                <c:pt idx="156">
                  <c:v>-1</c:v>
                </c:pt>
                <c:pt idx="157">
                  <c:v>-1</c:v>
                </c:pt>
                <c:pt idx="158">
                  <c:v>-1</c:v>
                </c:pt>
                <c:pt idx="159">
                  <c:v>-1</c:v>
                </c:pt>
                <c:pt idx="160">
                  <c:v>-1</c:v>
                </c:pt>
                <c:pt idx="161">
                  <c:v>-1</c:v>
                </c:pt>
                <c:pt idx="162">
                  <c:v>-1</c:v>
                </c:pt>
                <c:pt idx="163">
                  <c:v>-1</c:v>
                </c:pt>
                <c:pt idx="164">
                  <c:v>-1</c:v>
                </c:pt>
                <c:pt idx="165">
                  <c:v>-1</c:v>
                </c:pt>
                <c:pt idx="166">
                  <c:v>-1</c:v>
                </c:pt>
                <c:pt idx="167">
                  <c:v>-1</c:v>
                </c:pt>
                <c:pt idx="168">
                  <c:v>-1</c:v>
                </c:pt>
                <c:pt idx="169">
                  <c:v>-1</c:v>
                </c:pt>
                <c:pt idx="170">
                  <c:v>-1</c:v>
                </c:pt>
                <c:pt idx="171">
                  <c:v>160</c:v>
                </c:pt>
                <c:pt idx="172">
                  <c:v>-1</c:v>
                </c:pt>
                <c:pt idx="173">
                  <c:v>-1</c:v>
                </c:pt>
                <c:pt idx="174">
                  <c:v>-1</c:v>
                </c:pt>
                <c:pt idx="175">
                  <c:v>-1</c:v>
                </c:pt>
                <c:pt idx="176">
                  <c:v>-1</c:v>
                </c:pt>
                <c:pt idx="177">
                  <c:v>-1</c:v>
                </c:pt>
                <c:pt idx="178">
                  <c:v>-1</c:v>
                </c:pt>
                <c:pt idx="179">
                  <c:v>-1</c:v>
                </c:pt>
                <c:pt idx="180">
                  <c:v>-1</c:v>
                </c:pt>
                <c:pt idx="181">
                  <c:v>-1</c:v>
                </c:pt>
                <c:pt idx="182">
                  <c:v>-1</c:v>
                </c:pt>
                <c:pt idx="183">
                  <c:v>-1</c:v>
                </c:pt>
                <c:pt idx="184">
                  <c:v>-1</c:v>
                </c:pt>
                <c:pt idx="185">
                  <c:v>-1</c:v>
                </c:pt>
                <c:pt idx="186">
                  <c:v>-1</c:v>
                </c:pt>
                <c:pt idx="187">
                  <c:v>-1</c:v>
                </c:pt>
                <c:pt idx="188">
                  <c:v>-1</c:v>
                </c:pt>
                <c:pt idx="189">
                  <c:v>-1</c:v>
                </c:pt>
                <c:pt idx="190">
                  <c:v>-1</c:v>
                </c:pt>
                <c:pt idx="191">
                  <c:v>-1</c:v>
                </c:pt>
                <c:pt idx="192">
                  <c:v>-1</c:v>
                </c:pt>
                <c:pt idx="193">
                  <c:v>-1</c:v>
                </c:pt>
                <c:pt idx="194">
                  <c:v>-1</c:v>
                </c:pt>
                <c:pt idx="195">
                  <c:v>-1</c:v>
                </c:pt>
                <c:pt idx="196">
                  <c:v>-1</c:v>
                </c:pt>
                <c:pt idx="197">
                  <c:v>-1</c:v>
                </c:pt>
                <c:pt idx="198">
                  <c:v>-1</c:v>
                </c:pt>
                <c:pt idx="199">
                  <c:v>-1</c:v>
                </c:pt>
                <c:pt idx="200">
                  <c:v>-1</c:v>
                </c:pt>
                <c:pt idx="201">
                  <c:v>-1</c:v>
                </c:pt>
                <c:pt idx="202">
                  <c:v>-1</c:v>
                </c:pt>
                <c:pt idx="203">
                  <c:v>-1</c:v>
                </c:pt>
                <c:pt idx="204">
                  <c:v>-1</c:v>
                </c:pt>
                <c:pt idx="205">
                  <c:v>-1</c:v>
                </c:pt>
                <c:pt idx="206">
                  <c:v>-1</c:v>
                </c:pt>
                <c:pt idx="207">
                  <c:v>-1</c:v>
                </c:pt>
                <c:pt idx="208">
                  <c:v>-1</c:v>
                </c:pt>
                <c:pt idx="209">
                  <c:v>-1</c:v>
                </c:pt>
                <c:pt idx="210">
                  <c:v>-1</c:v>
                </c:pt>
                <c:pt idx="211">
                  <c:v>-1</c:v>
                </c:pt>
                <c:pt idx="212">
                  <c:v>-1</c:v>
                </c:pt>
                <c:pt idx="213">
                  <c:v>-1</c:v>
                </c:pt>
                <c:pt idx="214">
                  <c:v>-1</c:v>
                </c:pt>
                <c:pt idx="215">
                  <c:v>-1</c:v>
                </c:pt>
                <c:pt idx="216">
                  <c:v>-1</c:v>
                </c:pt>
                <c:pt idx="217">
                  <c:v>-1</c:v>
                </c:pt>
                <c:pt idx="218">
                  <c:v>-1</c:v>
                </c:pt>
                <c:pt idx="219">
                  <c:v>-1</c:v>
                </c:pt>
                <c:pt idx="220">
                  <c:v>-1</c:v>
                </c:pt>
                <c:pt idx="221">
                  <c:v>-1</c:v>
                </c:pt>
                <c:pt idx="222">
                  <c:v>-1</c:v>
                </c:pt>
                <c:pt idx="223">
                  <c:v>-1</c:v>
                </c:pt>
                <c:pt idx="224">
                  <c:v>-1</c:v>
                </c:pt>
                <c:pt idx="225">
                  <c:v>-1</c:v>
                </c:pt>
                <c:pt idx="226">
                  <c:v>-1</c:v>
                </c:pt>
                <c:pt idx="227">
                  <c:v>-1</c:v>
                </c:pt>
                <c:pt idx="228">
                  <c:v>-1</c:v>
                </c:pt>
                <c:pt idx="229">
                  <c:v>-1</c:v>
                </c:pt>
                <c:pt idx="230">
                  <c:v>-1</c:v>
                </c:pt>
                <c:pt idx="231">
                  <c:v>-1</c:v>
                </c:pt>
                <c:pt idx="232">
                  <c:v>-1</c:v>
                </c:pt>
                <c:pt idx="233">
                  <c:v>-1</c:v>
                </c:pt>
                <c:pt idx="234">
                  <c:v>-1</c:v>
                </c:pt>
                <c:pt idx="235">
                  <c:v>-1</c:v>
                </c:pt>
                <c:pt idx="236">
                  <c:v>-1</c:v>
                </c:pt>
                <c:pt idx="237">
                  <c:v>-1</c:v>
                </c:pt>
                <c:pt idx="238">
                  <c:v>-1</c:v>
                </c:pt>
                <c:pt idx="239">
                  <c:v>-1</c:v>
                </c:pt>
                <c:pt idx="240">
                  <c:v>-1</c:v>
                </c:pt>
                <c:pt idx="241">
                  <c:v>-1</c:v>
                </c:pt>
                <c:pt idx="242">
                  <c:v>-1</c:v>
                </c:pt>
                <c:pt idx="243">
                  <c:v>-1</c:v>
                </c:pt>
                <c:pt idx="244">
                  <c:v>-1</c:v>
                </c:pt>
                <c:pt idx="245">
                  <c:v>-1</c:v>
                </c:pt>
                <c:pt idx="246">
                  <c:v>-1</c:v>
                </c:pt>
                <c:pt idx="247">
                  <c:v>-1</c:v>
                </c:pt>
                <c:pt idx="248">
                  <c:v>-1</c:v>
                </c:pt>
                <c:pt idx="249">
                  <c:v>-1</c:v>
                </c:pt>
                <c:pt idx="250">
                  <c:v>-1</c:v>
                </c:pt>
                <c:pt idx="251">
                  <c:v>-1</c:v>
                </c:pt>
                <c:pt idx="252">
                  <c:v>-1</c:v>
                </c:pt>
                <c:pt idx="253">
                  <c:v>-1</c:v>
                </c:pt>
                <c:pt idx="254">
                  <c:v>-1</c:v>
                </c:pt>
                <c:pt idx="255">
                  <c:v>-1</c:v>
                </c:pt>
                <c:pt idx="256">
                  <c:v>-1</c:v>
                </c:pt>
                <c:pt idx="257">
                  <c:v>-1</c:v>
                </c:pt>
                <c:pt idx="258">
                  <c:v>-1</c:v>
                </c:pt>
                <c:pt idx="259">
                  <c:v>-1</c:v>
                </c:pt>
                <c:pt idx="260">
                  <c:v>-1</c:v>
                </c:pt>
                <c:pt idx="261">
                  <c:v>-1</c:v>
                </c:pt>
                <c:pt idx="262">
                  <c:v>-1</c:v>
                </c:pt>
                <c:pt idx="263">
                  <c:v>-1</c:v>
                </c:pt>
                <c:pt idx="264">
                  <c:v>-1</c:v>
                </c:pt>
                <c:pt idx="265">
                  <c:v>-1</c:v>
                </c:pt>
                <c:pt idx="266">
                  <c:v>-1</c:v>
                </c:pt>
                <c:pt idx="267">
                  <c:v>-1</c:v>
                </c:pt>
                <c:pt idx="268">
                  <c:v>-1</c:v>
                </c:pt>
                <c:pt idx="269">
                  <c:v>-1</c:v>
                </c:pt>
                <c:pt idx="270">
                  <c:v>-1</c:v>
                </c:pt>
                <c:pt idx="271">
                  <c:v>-1</c:v>
                </c:pt>
                <c:pt idx="272">
                  <c:v>-1</c:v>
                </c:pt>
                <c:pt idx="273">
                  <c:v>-1</c:v>
                </c:pt>
                <c:pt idx="274">
                  <c:v>-1</c:v>
                </c:pt>
                <c:pt idx="275">
                  <c:v>-1</c:v>
                </c:pt>
                <c:pt idx="276">
                  <c:v>-1</c:v>
                </c:pt>
                <c:pt idx="277">
                  <c:v>-1</c:v>
                </c:pt>
                <c:pt idx="278">
                  <c:v>-1</c:v>
                </c:pt>
                <c:pt idx="279">
                  <c:v>-1</c:v>
                </c:pt>
                <c:pt idx="280">
                  <c:v>-1</c:v>
                </c:pt>
                <c:pt idx="281">
                  <c:v>-1</c:v>
                </c:pt>
                <c:pt idx="282">
                  <c:v>-1</c:v>
                </c:pt>
                <c:pt idx="283">
                  <c:v>-1</c:v>
                </c:pt>
                <c:pt idx="284">
                  <c:v>-1</c:v>
                </c:pt>
                <c:pt idx="285">
                  <c:v>185</c:v>
                </c:pt>
                <c:pt idx="286">
                  <c:v>-1</c:v>
                </c:pt>
                <c:pt idx="287">
                  <c:v>-1</c:v>
                </c:pt>
                <c:pt idx="288">
                  <c:v>-1</c:v>
                </c:pt>
                <c:pt idx="289">
                  <c:v>-1</c:v>
                </c:pt>
                <c:pt idx="290">
                  <c:v>-1</c:v>
                </c:pt>
                <c:pt idx="291">
                  <c:v>-1</c:v>
                </c:pt>
                <c:pt idx="292">
                  <c:v>-1</c:v>
                </c:pt>
                <c:pt idx="293">
                  <c:v>-1</c:v>
                </c:pt>
                <c:pt idx="294">
                  <c:v>-1</c:v>
                </c:pt>
                <c:pt idx="295">
                  <c:v>-1</c:v>
                </c:pt>
                <c:pt idx="296">
                  <c:v>-1</c:v>
                </c:pt>
                <c:pt idx="297">
                  <c:v>-1</c:v>
                </c:pt>
                <c:pt idx="298">
                  <c:v>-1</c:v>
                </c:pt>
                <c:pt idx="299">
                  <c:v>-1</c:v>
                </c:pt>
                <c:pt idx="300">
                  <c:v>-1</c:v>
                </c:pt>
                <c:pt idx="301">
                  <c:v>-1</c:v>
                </c:pt>
                <c:pt idx="302">
                  <c:v>-1</c:v>
                </c:pt>
                <c:pt idx="303">
                  <c:v>-1</c:v>
                </c:pt>
                <c:pt idx="304">
                  <c:v>-1</c:v>
                </c:pt>
                <c:pt idx="305">
                  <c:v>-1</c:v>
                </c:pt>
                <c:pt idx="306">
                  <c:v>-1</c:v>
                </c:pt>
                <c:pt idx="307">
                  <c:v>-1</c:v>
                </c:pt>
                <c:pt idx="308">
                  <c:v>-1</c:v>
                </c:pt>
                <c:pt idx="309">
                  <c:v>-1</c:v>
                </c:pt>
                <c:pt idx="310">
                  <c:v>-1</c:v>
                </c:pt>
                <c:pt idx="311">
                  <c:v>-1</c:v>
                </c:pt>
                <c:pt idx="312">
                  <c:v>-1</c:v>
                </c:pt>
                <c:pt idx="313">
                  <c:v>-1</c:v>
                </c:pt>
                <c:pt idx="314">
                  <c:v>-1</c:v>
                </c:pt>
                <c:pt idx="315">
                  <c:v>-1</c:v>
                </c:pt>
                <c:pt idx="316">
                  <c:v>-1</c:v>
                </c:pt>
                <c:pt idx="317">
                  <c:v>-1</c:v>
                </c:pt>
                <c:pt idx="318">
                  <c:v>-1</c:v>
                </c:pt>
                <c:pt idx="319">
                  <c:v>-1</c:v>
                </c:pt>
                <c:pt idx="320">
                  <c:v>-1</c:v>
                </c:pt>
                <c:pt idx="321">
                  <c:v>-1</c:v>
                </c:pt>
                <c:pt idx="322">
                  <c:v>-1</c:v>
                </c:pt>
                <c:pt idx="323">
                  <c:v>-1</c:v>
                </c:pt>
                <c:pt idx="324">
                  <c:v>-1</c:v>
                </c:pt>
                <c:pt idx="325">
                  <c:v>-1</c:v>
                </c:pt>
                <c:pt idx="326">
                  <c:v>-1</c:v>
                </c:pt>
                <c:pt idx="327">
                  <c:v>-1</c:v>
                </c:pt>
                <c:pt idx="328">
                  <c:v>-1</c:v>
                </c:pt>
                <c:pt idx="329">
                  <c:v>-1</c:v>
                </c:pt>
                <c:pt idx="330">
                  <c:v>-1</c:v>
                </c:pt>
                <c:pt idx="331">
                  <c:v>-1</c:v>
                </c:pt>
                <c:pt idx="332">
                  <c:v>-1</c:v>
                </c:pt>
                <c:pt idx="333">
                  <c:v>-1</c:v>
                </c:pt>
                <c:pt idx="334">
                  <c:v>-1</c:v>
                </c:pt>
                <c:pt idx="335">
                  <c:v>-1</c:v>
                </c:pt>
                <c:pt idx="336">
                  <c:v>-1</c:v>
                </c:pt>
                <c:pt idx="337">
                  <c:v>-1</c:v>
                </c:pt>
                <c:pt idx="338">
                  <c:v>-1</c:v>
                </c:pt>
                <c:pt idx="339">
                  <c:v>-1</c:v>
                </c:pt>
                <c:pt idx="340">
                  <c:v>-1</c:v>
                </c:pt>
                <c:pt idx="341">
                  <c:v>-1</c:v>
                </c:pt>
                <c:pt idx="342">
                  <c:v>-1</c:v>
                </c:pt>
                <c:pt idx="343">
                  <c:v>-1</c:v>
                </c:pt>
                <c:pt idx="344">
                  <c:v>-1</c:v>
                </c:pt>
                <c:pt idx="345">
                  <c:v>-1</c:v>
                </c:pt>
                <c:pt idx="346">
                  <c:v>-1</c:v>
                </c:pt>
                <c:pt idx="347">
                  <c:v>-1</c:v>
                </c:pt>
                <c:pt idx="348">
                  <c:v>-1</c:v>
                </c:pt>
                <c:pt idx="349">
                  <c:v>-1</c:v>
                </c:pt>
                <c:pt idx="350">
                  <c:v>-1</c:v>
                </c:pt>
                <c:pt idx="351">
                  <c:v>-1</c:v>
                </c:pt>
                <c:pt idx="352">
                  <c:v>-1</c:v>
                </c:pt>
                <c:pt idx="353">
                  <c:v>-1</c:v>
                </c:pt>
                <c:pt idx="354">
                  <c:v>-1</c:v>
                </c:pt>
                <c:pt idx="355">
                  <c:v>-1</c:v>
                </c:pt>
                <c:pt idx="356">
                  <c:v>-1</c:v>
                </c:pt>
                <c:pt idx="357">
                  <c:v>-1</c:v>
                </c:pt>
                <c:pt idx="358">
                  <c:v>-1</c:v>
                </c:pt>
                <c:pt idx="359">
                  <c:v>-1</c:v>
                </c:pt>
                <c:pt idx="360">
                  <c:v>-1</c:v>
                </c:pt>
                <c:pt idx="361">
                  <c:v>-1</c:v>
                </c:pt>
                <c:pt idx="362">
                  <c:v>-1</c:v>
                </c:pt>
                <c:pt idx="363">
                  <c:v>-1</c:v>
                </c:pt>
                <c:pt idx="364">
                  <c:v>-1</c:v>
                </c:pt>
                <c:pt idx="365">
                  <c:v>-1</c:v>
                </c:pt>
                <c:pt idx="366">
                  <c:v>-1</c:v>
                </c:pt>
                <c:pt idx="367">
                  <c:v>-1</c:v>
                </c:pt>
                <c:pt idx="368">
                  <c:v>-1</c:v>
                </c:pt>
                <c:pt idx="369">
                  <c:v>-1</c:v>
                </c:pt>
                <c:pt idx="370">
                  <c:v>-1</c:v>
                </c:pt>
                <c:pt idx="371">
                  <c:v>-1</c:v>
                </c:pt>
                <c:pt idx="372">
                  <c:v>-1</c:v>
                </c:pt>
                <c:pt idx="373">
                  <c:v>-1</c:v>
                </c:pt>
                <c:pt idx="374">
                  <c:v>-1</c:v>
                </c:pt>
                <c:pt idx="375">
                  <c:v>-1</c:v>
                </c:pt>
                <c:pt idx="376">
                  <c:v>-1</c:v>
                </c:pt>
                <c:pt idx="377">
                  <c:v>-1</c:v>
                </c:pt>
                <c:pt idx="378">
                  <c:v>-1</c:v>
                </c:pt>
                <c:pt idx="379">
                  <c:v>-1</c:v>
                </c:pt>
                <c:pt idx="380">
                  <c:v>-1</c:v>
                </c:pt>
                <c:pt idx="381">
                  <c:v>-1</c:v>
                </c:pt>
                <c:pt idx="382">
                  <c:v>-1</c:v>
                </c:pt>
                <c:pt idx="383">
                  <c:v>-1</c:v>
                </c:pt>
                <c:pt idx="384">
                  <c:v>-1</c:v>
                </c:pt>
                <c:pt idx="385">
                  <c:v>-1</c:v>
                </c:pt>
                <c:pt idx="386">
                  <c:v>-1</c:v>
                </c:pt>
                <c:pt idx="387">
                  <c:v>-1</c:v>
                </c:pt>
                <c:pt idx="388">
                  <c:v>-1</c:v>
                </c:pt>
                <c:pt idx="389">
                  <c:v>-1</c:v>
                </c:pt>
                <c:pt idx="390">
                  <c:v>-1</c:v>
                </c:pt>
                <c:pt idx="391">
                  <c:v>-1</c:v>
                </c:pt>
                <c:pt idx="392">
                  <c:v>-1</c:v>
                </c:pt>
                <c:pt idx="393">
                  <c:v>-1</c:v>
                </c:pt>
                <c:pt idx="394">
                  <c:v>-1</c:v>
                </c:pt>
                <c:pt idx="395">
                  <c:v>-1</c:v>
                </c:pt>
                <c:pt idx="396">
                  <c:v>-1</c:v>
                </c:pt>
                <c:pt idx="397">
                  <c:v>-1</c:v>
                </c:pt>
                <c:pt idx="398">
                  <c:v>-1</c:v>
                </c:pt>
                <c:pt idx="399">
                  <c:v>-1</c:v>
                </c:pt>
                <c:pt idx="400">
                  <c:v>200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'xVA Calculations'!$Q$29</c:f>
              <c:strCache>
                <c:ptCount val="1"/>
                <c:pt idx="0">
                  <c:v>Own Spread</c:v>
                </c:pt>
              </c:strCache>
            </c:strRef>
          </c:tx>
          <c:spPr>
            <a:ln w="22225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'xVA Calculations'!$N$30:$N$430</c:f>
              <c:numCache>
                <c:formatCode>0.00</c:formatCode>
                <c:ptCount val="401"/>
                <c:pt idx="0">
                  <c:v>8.7500000000000008E-3</c:v>
                </c:pt>
                <c:pt idx="1">
                  <c:v>1.7500000000000002E-2</c:v>
                </c:pt>
                <c:pt idx="2">
                  <c:v>3.5000000000000003E-2</c:v>
                </c:pt>
                <c:pt idx="3">
                  <c:v>5.2500000000000005E-2</c:v>
                </c:pt>
                <c:pt idx="4">
                  <c:v>7.0000000000000007E-2</c:v>
                </c:pt>
                <c:pt idx="5">
                  <c:v>8.7500000000000008E-2</c:v>
                </c:pt>
                <c:pt idx="6">
                  <c:v>0.10500000000000001</c:v>
                </c:pt>
                <c:pt idx="7">
                  <c:v>0.12250000000000001</c:v>
                </c:pt>
                <c:pt idx="8">
                  <c:v>0.14000000000000001</c:v>
                </c:pt>
                <c:pt idx="9">
                  <c:v>0.15750000000000003</c:v>
                </c:pt>
                <c:pt idx="10">
                  <c:v>0.17500000000000004</c:v>
                </c:pt>
                <c:pt idx="11">
                  <c:v>0.19250000000000006</c:v>
                </c:pt>
                <c:pt idx="12">
                  <c:v>0.21000000000000008</c:v>
                </c:pt>
                <c:pt idx="13">
                  <c:v>0.22750000000000009</c:v>
                </c:pt>
                <c:pt idx="14">
                  <c:v>0.24500000000000011</c:v>
                </c:pt>
                <c:pt idx="15">
                  <c:v>0.26250000000000012</c:v>
                </c:pt>
                <c:pt idx="16">
                  <c:v>0.28000000000000014</c:v>
                </c:pt>
                <c:pt idx="17">
                  <c:v>0.29750000000000015</c:v>
                </c:pt>
                <c:pt idx="18">
                  <c:v>0.31500000000000017</c:v>
                </c:pt>
                <c:pt idx="19">
                  <c:v>0.33250000000000018</c:v>
                </c:pt>
                <c:pt idx="20">
                  <c:v>0.3500000000000002</c:v>
                </c:pt>
                <c:pt idx="21">
                  <c:v>0.36750000000000022</c:v>
                </c:pt>
                <c:pt idx="22">
                  <c:v>0.38500000000000023</c:v>
                </c:pt>
                <c:pt idx="23">
                  <c:v>0.40250000000000025</c:v>
                </c:pt>
                <c:pt idx="24">
                  <c:v>0.42000000000000026</c:v>
                </c:pt>
                <c:pt idx="25">
                  <c:v>0.43750000000000028</c:v>
                </c:pt>
                <c:pt idx="26">
                  <c:v>0.45500000000000029</c:v>
                </c:pt>
                <c:pt idx="27">
                  <c:v>0.47250000000000031</c:v>
                </c:pt>
                <c:pt idx="28">
                  <c:v>0.49000000000000032</c:v>
                </c:pt>
                <c:pt idx="29">
                  <c:v>0.50750000000000028</c:v>
                </c:pt>
                <c:pt idx="30">
                  <c:v>0.52500000000000024</c:v>
                </c:pt>
                <c:pt idx="31">
                  <c:v>0.5425000000000002</c:v>
                </c:pt>
                <c:pt idx="32">
                  <c:v>0.56000000000000016</c:v>
                </c:pt>
                <c:pt idx="33">
                  <c:v>0.57750000000000012</c:v>
                </c:pt>
                <c:pt idx="34">
                  <c:v>0.59500000000000008</c:v>
                </c:pt>
                <c:pt idx="35">
                  <c:v>0.61250000000000004</c:v>
                </c:pt>
                <c:pt idx="36">
                  <c:v>0.63</c:v>
                </c:pt>
                <c:pt idx="37">
                  <c:v>0.64749999999999996</c:v>
                </c:pt>
                <c:pt idx="38">
                  <c:v>0.66499999999999992</c:v>
                </c:pt>
                <c:pt idx="39">
                  <c:v>0.68249999999999988</c:v>
                </c:pt>
                <c:pt idx="40">
                  <c:v>0.69999999999999984</c:v>
                </c:pt>
                <c:pt idx="41">
                  <c:v>0.7174999999999998</c:v>
                </c:pt>
                <c:pt idx="42">
                  <c:v>0.73499999999999976</c:v>
                </c:pt>
                <c:pt idx="43">
                  <c:v>0.75249999999999972</c:v>
                </c:pt>
                <c:pt idx="44">
                  <c:v>0.76999999999999968</c:v>
                </c:pt>
                <c:pt idx="45">
                  <c:v>0.78749999999999964</c:v>
                </c:pt>
                <c:pt idx="46">
                  <c:v>0.8049999999999996</c:v>
                </c:pt>
                <c:pt idx="47">
                  <c:v>0.82249999999999956</c:v>
                </c:pt>
                <c:pt idx="48">
                  <c:v>0.83999999999999952</c:v>
                </c:pt>
                <c:pt idx="49">
                  <c:v>0.85749999999999948</c:v>
                </c:pt>
                <c:pt idx="50">
                  <c:v>0.87499999999999944</c:v>
                </c:pt>
                <c:pt idx="51">
                  <c:v>0.8924999999999994</c:v>
                </c:pt>
                <c:pt idx="52">
                  <c:v>0.90999999999999936</c:v>
                </c:pt>
                <c:pt idx="53">
                  <c:v>0.92749999999999932</c:v>
                </c:pt>
                <c:pt idx="54">
                  <c:v>0.94499999999999929</c:v>
                </c:pt>
                <c:pt idx="55">
                  <c:v>0.96249999999999925</c:v>
                </c:pt>
                <c:pt idx="56">
                  <c:v>0.97999999999999921</c:v>
                </c:pt>
                <c:pt idx="57">
                  <c:v>0.99749999999999917</c:v>
                </c:pt>
                <c:pt idx="58">
                  <c:v>1.0149999999999992</c:v>
                </c:pt>
                <c:pt idx="59">
                  <c:v>1.0324999999999993</c:v>
                </c:pt>
                <c:pt idx="60">
                  <c:v>1.0499999999999994</c:v>
                </c:pt>
                <c:pt idx="61">
                  <c:v>1.0674999999999994</c:v>
                </c:pt>
                <c:pt idx="62">
                  <c:v>1.0849999999999995</c:v>
                </c:pt>
                <c:pt idx="63">
                  <c:v>1.1024999999999996</c:v>
                </c:pt>
                <c:pt idx="64">
                  <c:v>1.1199999999999997</c:v>
                </c:pt>
                <c:pt idx="65">
                  <c:v>1.1374999999999997</c:v>
                </c:pt>
                <c:pt idx="66">
                  <c:v>1.1549999999999998</c:v>
                </c:pt>
                <c:pt idx="67">
                  <c:v>1.1724999999999999</c:v>
                </c:pt>
                <c:pt idx="68">
                  <c:v>1.19</c:v>
                </c:pt>
                <c:pt idx="69">
                  <c:v>1.2075</c:v>
                </c:pt>
                <c:pt idx="70">
                  <c:v>1.2250000000000001</c:v>
                </c:pt>
                <c:pt idx="71">
                  <c:v>1.2425000000000002</c:v>
                </c:pt>
                <c:pt idx="72">
                  <c:v>1.2600000000000002</c:v>
                </c:pt>
                <c:pt idx="73">
                  <c:v>1.2775000000000003</c:v>
                </c:pt>
                <c:pt idx="74">
                  <c:v>1.2950000000000004</c:v>
                </c:pt>
                <c:pt idx="75">
                  <c:v>1.3125000000000004</c:v>
                </c:pt>
                <c:pt idx="76">
                  <c:v>1.3300000000000005</c:v>
                </c:pt>
                <c:pt idx="77">
                  <c:v>1.3475000000000006</c:v>
                </c:pt>
                <c:pt idx="78">
                  <c:v>1.3650000000000007</c:v>
                </c:pt>
                <c:pt idx="79">
                  <c:v>1.3825000000000007</c:v>
                </c:pt>
                <c:pt idx="80">
                  <c:v>1.4000000000000008</c:v>
                </c:pt>
                <c:pt idx="81">
                  <c:v>1.4175000000000009</c:v>
                </c:pt>
                <c:pt idx="82">
                  <c:v>1.4350000000000009</c:v>
                </c:pt>
                <c:pt idx="83">
                  <c:v>1.452500000000001</c:v>
                </c:pt>
                <c:pt idx="84">
                  <c:v>1.4700000000000011</c:v>
                </c:pt>
                <c:pt idx="85">
                  <c:v>1.4875000000000012</c:v>
                </c:pt>
                <c:pt idx="86">
                  <c:v>1.5050000000000012</c:v>
                </c:pt>
                <c:pt idx="87">
                  <c:v>1.5225000000000013</c:v>
                </c:pt>
                <c:pt idx="88">
                  <c:v>1.5400000000000014</c:v>
                </c:pt>
                <c:pt idx="89">
                  <c:v>1.5575000000000014</c:v>
                </c:pt>
                <c:pt idx="90">
                  <c:v>1.5750000000000015</c:v>
                </c:pt>
                <c:pt idx="91">
                  <c:v>1.5925000000000016</c:v>
                </c:pt>
                <c:pt idx="92">
                  <c:v>1.6100000000000017</c:v>
                </c:pt>
                <c:pt idx="93">
                  <c:v>1.6275000000000017</c:v>
                </c:pt>
                <c:pt idx="94">
                  <c:v>1.6450000000000018</c:v>
                </c:pt>
                <c:pt idx="95">
                  <c:v>1.6625000000000019</c:v>
                </c:pt>
                <c:pt idx="96">
                  <c:v>1.6800000000000019</c:v>
                </c:pt>
                <c:pt idx="97">
                  <c:v>1.697500000000002</c:v>
                </c:pt>
                <c:pt idx="98">
                  <c:v>1.7150000000000021</c:v>
                </c:pt>
                <c:pt idx="99">
                  <c:v>1.7325000000000021</c:v>
                </c:pt>
                <c:pt idx="100">
                  <c:v>1.7500000000000022</c:v>
                </c:pt>
                <c:pt idx="101">
                  <c:v>1.7675000000000023</c:v>
                </c:pt>
                <c:pt idx="102">
                  <c:v>1.7850000000000024</c:v>
                </c:pt>
                <c:pt idx="103">
                  <c:v>1.8025000000000024</c:v>
                </c:pt>
                <c:pt idx="104">
                  <c:v>1.8200000000000025</c:v>
                </c:pt>
                <c:pt idx="105">
                  <c:v>1.8375000000000026</c:v>
                </c:pt>
                <c:pt idx="106">
                  <c:v>1.8550000000000026</c:v>
                </c:pt>
                <c:pt idx="107">
                  <c:v>1.8725000000000027</c:v>
                </c:pt>
                <c:pt idx="108">
                  <c:v>1.8900000000000028</c:v>
                </c:pt>
                <c:pt idx="109">
                  <c:v>1.9075000000000029</c:v>
                </c:pt>
                <c:pt idx="110">
                  <c:v>1.9250000000000029</c:v>
                </c:pt>
                <c:pt idx="111">
                  <c:v>1.942500000000003</c:v>
                </c:pt>
                <c:pt idx="112">
                  <c:v>1.9600000000000031</c:v>
                </c:pt>
                <c:pt idx="113">
                  <c:v>1.9775000000000031</c:v>
                </c:pt>
                <c:pt idx="114">
                  <c:v>1.9950000000000032</c:v>
                </c:pt>
                <c:pt idx="115">
                  <c:v>2.0125000000000033</c:v>
                </c:pt>
                <c:pt idx="116">
                  <c:v>2.0300000000000034</c:v>
                </c:pt>
                <c:pt idx="117">
                  <c:v>2.0475000000000034</c:v>
                </c:pt>
                <c:pt idx="118">
                  <c:v>2.0650000000000035</c:v>
                </c:pt>
                <c:pt idx="119">
                  <c:v>2.0825000000000036</c:v>
                </c:pt>
                <c:pt idx="120">
                  <c:v>2.1000000000000036</c:v>
                </c:pt>
                <c:pt idx="121">
                  <c:v>2.1175000000000037</c:v>
                </c:pt>
                <c:pt idx="122">
                  <c:v>2.1350000000000038</c:v>
                </c:pt>
                <c:pt idx="123">
                  <c:v>2.1525000000000039</c:v>
                </c:pt>
                <c:pt idx="124">
                  <c:v>2.1700000000000039</c:v>
                </c:pt>
                <c:pt idx="125">
                  <c:v>2.187500000000004</c:v>
                </c:pt>
                <c:pt idx="126">
                  <c:v>2.2050000000000041</c:v>
                </c:pt>
                <c:pt idx="127">
                  <c:v>2.2225000000000041</c:v>
                </c:pt>
                <c:pt idx="128">
                  <c:v>2.2400000000000042</c:v>
                </c:pt>
                <c:pt idx="129">
                  <c:v>2.2575000000000043</c:v>
                </c:pt>
                <c:pt idx="130">
                  <c:v>2.2750000000000044</c:v>
                </c:pt>
                <c:pt idx="131">
                  <c:v>2.2925000000000044</c:v>
                </c:pt>
                <c:pt idx="132">
                  <c:v>2.3100000000000045</c:v>
                </c:pt>
                <c:pt idx="133">
                  <c:v>2.3275000000000046</c:v>
                </c:pt>
                <c:pt idx="134">
                  <c:v>2.3450000000000046</c:v>
                </c:pt>
                <c:pt idx="135">
                  <c:v>2.3625000000000047</c:v>
                </c:pt>
                <c:pt idx="136">
                  <c:v>2.3800000000000048</c:v>
                </c:pt>
                <c:pt idx="137">
                  <c:v>2.3975000000000048</c:v>
                </c:pt>
                <c:pt idx="138">
                  <c:v>2.4150000000000049</c:v>
                </c:pt>
                <c:pt idx="139">
                  <c:v>2.432500000000005</c:v>
                </c:pt>
                <c:pt idx="140">
                  <c:v>2.4500000000000051</c:v>
                </c:pt>
                <c:pt idx="141">
                  <c:v>2.4675000000000051</c:v>
                </c:pt>
                <c:pt idx="142">
                  <c:v>2.4850000000000052</c:v>
                </c:pt>
                <c:pt idx="143">
                  <c:v>2.5025000000000053</c:v>
                </c:pt>
                <c:pt idx="144">
                  <c:v>2.5200000000000053</c:v>
                </c:pt>
                <c:pt idx="145">
                  <c:v>2.5375000000000054</c:v>
                </c:pt>
                <c:pt idx="146">
                  <c:v>2.5550000000000055</c:v>
                </c:pt>
                <c:pt idx="147">
                  <c:v>2.5725000000000056</c:v>
                </c:pt>
                <c:pt idx="148">
                  <c:v>2.5900000000000056</c:v>
                </c:pt>
                <c:pt idx="149">
                  <c:v>2.6075000000000057</c:v>
                </c:pt>
                <c:pt idx="150">
                  <c:v>2.6250000000000058</c:v>
                </c:pt>
                <c:pt idx="151">
                  <c:v>2.6425000000000058</c:v>
                </c:pt>
                <c:pt idx="152">
                  <c:v>2.6600000000000059</c:v>
                </c:pt>
                <c:pt idx="153">
                  <c:v>2.677500000000006</c:v>
                </c:pt>
                <c:pt idx="154">
                  <c:v>2.6950000000000061</c:v>
                </c:pt>
                <c:pt idx="155">
                  <c:v>2.7125000000000061</c:v>
                </c:pt>
                <c:pt idx="156">
                  <c:v>2.7300000000000062</c:v>
                </c:pt>
                <c:pt idx="157">
                  <c:v>2.7475000000000063</c:v>
                </c:pt>
                <c:pt idx="158">
                  <c:v>2.7650000000000063</c:v>
                </c:pt>
                <c:pt idx="159">
                  <c:v>2.7825000000000064</c:v>
                </c:pt>
                <c:pt idx="160">
                  <c:v>2.8000000000000065</c:v>
                </c:pt>
                <c:pt idx="161">
                  <c:v>2.8175000000000066</c:v>
                </c:pt>
                <c:pt idx="162">
                  <c:v>2.8350000000000066</c:v>
                </c:pt>
                <c:pt idx="163">
                  <c:v>2.8525000000000067</c:v>
                </c:pt>
                <c:pt idx="164">
                  <c:v>2.8700000000000068</c:v>
                </c:pt>
                <c:pt idx="165">
                  <c:v>2.8875000000000068</c:v>
                </c:pt>
                <c:pt idx="166">
                  <c:v>2.9050000000000069</c:v>
                </c:pt>
                <c:pt idx="167">
                  <c:v>2.922500000000007</c:v>
                </c:pt>
                <c:pt idx="168">
                  <c:v>2.9400000000000071</c:v>
                </c:pt>
                <c:pt idx="169">
                  <c:v>2.9575000000000071</c:v>
                </c:pt>
                <c:pt idx="170">
                  <c:v>2.9750000000000072</c:v>
                </c:pt>
                <c:pt idx="171">
                  <c:v>2.9925000000000073</c:v>
                </c:pt>
                <c:pt idx="172">
                  <c:v>3.0100000000000073</c:v>
                </c:pt>
                <c:pt idx="173">
                  <c:v>3.0275000000000074</c:v>
                </c:pt>
                <c:pt idx="174">
                  <c:v>3.0450000000000075</c:v>
                </c:pt>
                <c:pt idx="175">
                  <c:v>3.0625000000000075</c:v>
                </c:pt>
                <c:pt idx="176">
                  <c:v>3.0800000000000076</c:v>
                </c:pt>
                <c:pt idx="177">
                  <c:v>3.0975000000000077</c:v>
                </c:pt>
                <c:pt idx="178">
                  <c:v>3.1150000000000078</c:v>
                </c:pt>
                <c:pt idx="179">
                  <c:v>3.1325000000000078</c:v>
                </c:pt>
                <c:pt idx="180">
                  <c:v>3.1500000000000079</c:v>
                </c:pt>
                <c:pt idx="181">
                  <c:v>3.167500000000008</c:v>
                </c:pt>
                <c:pt idx="182">
                  <c:v>3.185000000000008</c:v>
                </c:pt>
                <c:pt idx="183">
                  <c:v>3.2025000000000081</c:v>
                </c:pt>
                <c:pt idx="184">
                  <c:v>3.2200000000000082</c:v>
                </c:pt>
                <c:pt idx="185">
                  <c:v>3.2375000000000083</c:v>
                </c:pt>
                <c:pt idx="186">
                  <c:v>3.2550000000000083</c:v>
                </c:pt>
                <c:pt idx="187">
                  <c:v>3.2725000000000084</c:v>
                </c:pt>
                <c:pt idx="188">
                  <c:v>3.2900000000000085</c:v>
                </c:pt>
                <c:pt idx="189">
                  <c:v>3.3075000000000085</c:v>
                </c:pt>
                <c:pt idx="190">
                  <c:v>3.3250000000000086</c:v>
                </c:pt>
                <c:pt idx="191">
                  <c:v>3.3425000000000087</c:v>
                </c:pt>
                <c:pt idx="192">
                  <c:v>3.3600000000000088</c:v>
                </c:pt>
                <c:pt idx="193">
                  <c:v>3.3775000000000088</c:v>
                </c:pt>
                <c:pt idx="194">
                  <c:v>3.3950000000000089</c:v>
                </c:pt>
                <c:pt idx="195">
                  <c:v>3.412500000000009</c:v>
                </c:pt>
                <c:pt idx="196">
                  <c:v>3.430000000000009</c:v>
                </c:pt>
                <c:pt idx="197">
                  <c:v>3.4475000000000091</c:v>
                </c:pt>
                <c:pt idx="198">
                  <c:v>3.4650000000000092</c:v>
                </c:pt>
                <c:pt idx="199">
                  <c:v>3.4825000000000093</c:v>
                </c:pt>
                <c:pt idx="200">
                  <c:v>3.5000000000000093</c:v>
                </c:pt>
                <c:pt idx="201">
                  <c:v>3.5175000000000094</c:v>
                </c:pt>
                <c:pt idx="202">
                  <c:v>3.5350000000000095</c:v>
                </c:pt>
                <c:pt idx="203">
                  <c:v>3.5525000000000095</c:v>
                </c:pt>
                <c:pt idx="204">
                  <c:v>3.5700000000000096</c:v>
                </c:pt>
                <c:pt idx="205">
                  <c:v>3.5875000000000097</c:v>
                </c:pt>
                <c:pt idx="206">
                  <c:v>3.6050000000000098</c:v>
                </c:pt>
                <c:pt idx="207">
                  <c:v>3.6225000000000098</c:v>
                </c:pt>
                <c:pt idx="208">
                  <c:v>3.6400000000000099</c:v>
                </c:pt>
                <c:pt idx="209">
                  <c:v>3.65750000000001</c:v>
                </c:pt>
                <c:pt idx="210">
                  <c:v>3.67500000000001</c:v>
                </c:pt>
                <c:pt idx="211">
                  <c:v>3.6925000000000101</c:v>
                </c:pt>
                <c:pt idx="212">
                  <c:v>3.7100000000000102</c:v>
                </c:pt>
                <c:pt idx="213">
                  <c:v>3.7275000000000102</c:v>
                </c:pt>
                <c:pt idx="214">
                  <c:v>3.7450000000000103</c:v>
                </c:pt>
                <c:pt idx="215">
                  <c:v>3.7625000000000104</c:v>
                </c:pt>
                <c:pt idx="216">
                  <c:v>3.7800000000000105</c:v>
                </c:pt>
                <c:pt idx="217">
                  <c:v>3.7975000000000105</c:v>
                </c:pt>
                <c:pt idx="218">
                  <c:v>3.8150000000000106</c:v>
                </c:pt>
                <c:pt idx="219">
                  <c:v>3.8325000000000107</c:v>
                </c:pt>
                <c:pt idx="220">
                  <c:v>3.8500000000000107</c:v>
                </c:pt>
                <c:pt idx="221">
                  <c:v>3.8675000000000108</c:v>
                </c:pt>
                <c:pt idx="222">
                  <c:v>3.8850000000000109</c:v>
                </c:pt>
                <c:pt idx="223">
                  <c:v>3.902500000000011</c:v>
                </c:pt>
                <c:pt idx="224">
                  <c:v>3.920000000000011</c:v>
                </c:pt>
                <c:pt idx="225">
                  <c:v>3.9375000000000111</c:v>
                </c:pt>
                <c:pt idx="226">
                  <c:v>3.9550000000000112</c:v>
                </c:pt>
                <c:pt idx="227">
                  <c:v>3.9725000000000112</c:v>
                </c:pt>
                <c:pt idx="228">
                  <c:v>3.9900000000000113</c:v>
                </c:pt>
                <c:pt idx="229">
                  <c:v>4.0075000000000109</c:v>
                </c:pt>
                <c:pt idx="230">
                  <c:v>4.025000000000011</c:v>
                </c:pt>
                <c:pt idx="231">
                  <c:v>4.0425000000000111</c:v>
                </c:pt>
                <c:pt idx="232">
                  <c:v>4.0600000000000112</c:v>
                </c:pt>
                <c:pt idx="233">
                  <c:v>4.0775000000000112</c:v>
                </c:pt>
                <c:pt idx="234">
                  <c:v>4.0950000000000113</c:v>
                </c:pt>
                <c:pt idx="235">
                  <c:v>4.1125000000000114</c:v>
                </c:pt>
                <c:pt idx="236">
                  <c:v>4.1300000000000114</c:v>
                </c:pt>
                <c:pt idx="237">
                  <c:v>4.1475000000000115</c:v>
                </c:pt>
                <c:pt idx="238">
                  <c:v>4.1650000000000116</c:v>
                </c:pt>
                <c:pt idx="239">
                  <c:v>4.1825000000000117</c:v>
                </c:pt>
                <c:pt idx="240">
                  <c:v>4.2000000000000117</c:v>
                </c:pt>
                <c:pt idx="241">
                  <c:v>4.2175000000000118</c:v>
                </c:pt>
                <c:pt idx="242">
                  <c:v>4.2350000000000119</c:v>
                </c:pt>
                <c:pt idx="243">
                  <c:v>4.2525000000000119</c:v>
                </c:pt>
                <c:pt idx="244">
                  <c:v>4.270000000000012</c:v>
                </c:pt>
                <c:pt idx="245">
                  <c:v>4.2875000000000121</c:v>
                </c:pt>
                <c:pt idx="246">
                  <c:v>4.3050000000000122</c:v>
                </c:pt>
                <c:pt idx="247">
                  <c:v>4.3225000000000122</c:v>
                </c:pt>
                <c:pt idx="248">
                  <c:v>4.3400000000000123</c:v>
                </c:pt>
                <c:pt idx="249">
                  <c:v>4.3575000000000124</c:v>
                </c:pt>
                <c:pt idx="250">
                  <c:v>4.3750000000000124</c:v>
                </c:pt>
                <c:pt idx="251">
                  <c:v>4.3925000000000125</c:v>
                </c:pt>
                <c:pt idx="252">
                  <c:v>4.4100000000000126</c:v>
                </c:pt>
                <c:pt idx="253">
                  <c:v>4.4275000000000126</c:v>
                </c:pt>
                <c:pt idx="254">
                  <c:v>4.4450000000000127</c:v>
                </c:pt>
                <c:pt idx="255">
                  <c:v>4.4625000000000128</c:v>
                </c:pt>
                <c:pt idx="256">
                  <c:v>4.4800000000000129</c:v>
                </c:pt>
                <c:pt idx="257">
                  <c:v>4.4975000000000129</c:v>
                </c:pt>
                <c:pt idx="258">
                  <c:v>4.515000000000013</c:v>
                </c:pt>
                <c:pt idx="259">
                  <c:v>4.5325000000000131</c:v>
                </c:pt>
                <c:pt idx="260">
                  <c:v>4.5500000000000131</c:v>
                </c:pt>
                <c:pt idx="261">
                  <c:v>4.5675000000000132</c:v>
                </c:pt>
                <c:pt idx="262">
                  <c:v>4.5850000000000133</c:v>
                </c:pt>
                <c:pt idx="263">
                  <c:v>4.6025000000000134</c:v>
                </c:pt>
                <c:pt idx="264">
                  <c:v>4.6200000000000134</c:v>
                </c:pt>
                <c:pt idx="265">
                  <c:v>4.6375000000000135</c:v>
                </c:pt>
                <c:pt idx="266">
                  <c:v>4.6550000000000136</c:v>
                </c:pt>
                <c:pt idx="267">
                  <c:v>4.6725000000000136</c:v>
                </c:pt>
                <c:pt idx="268">
                  <c:v>4.6900000000000137</c:v>
                </c:pt>
                <c:pt idx="269">
                  <c:v>4.7075000000000138</c:v>
                </c:pt>
                <c:pt idx="270">
                  <c:v>4.7250000000000139</c:v>
                </c:pt>
                <c:pt idx="271">
                  <c:v>4.7425000000000139</c:v>
                </c:pt>
                <c:pt idx="272">
                  <c:v>4.760000000000014</c:v>
                </c:pt>
                <c:pt idx="273">
                  <c:v>4.7775000000000141</c:v>
                </c:pt>
                <c:pt idx="274">
                  <c:v>4.7950000000000141</c:v>
                </c:pt>
                <c:pt idx="275">
                  <c:v>4.8125000000000142</c:v>
                </c:pt>
                <c:pt idx="276">
                  <c:v>4.8300000000000143</c:v>
                </c:pt>
                <c:pt idx="277">
                  <c:v>4.8475000000000144</c:v>
                </c:pt>
                <c:pt idx="278">
                  <c:v>4.8650000000000144</c:v>
                </c:pt>
                <c:pt idx="279">
                  <c:v>4.8825000000000145</c:v>
                </c:pt>
                <c:pt idx="280">
                  <c:v>4.9000000000000146</c:v>
                </c:pt>
                <c:pt idx="281">
                  <c:v>4.9175000000000146</c:v>
                </c:pt>
                <c:pt idx="282">
                  <c:v>4.9350000000000147</c:v>
                </c:pt>
                <c:pt idx="283">
                  <c:v>4.9525000000000148</c:v>
                </c:pt>
                <c:pt idx="284">
                  <c:v>4.9700000000000149</c:v>
                </c:pt>
                <c:pt idx="285">
                  <c:v>4.9875000000000149</c:v>
                </c:pt>
                <c:pt idx="286">
                  <c:v>5.005000000000015</c:v>
                </c:pt>
                <c:pt idx="287">
                  <c:v>5.0225000000000151</c:v>
                </c:pt>
                <c:pt idx="288">
                  <c:v>5.0400000000000151</c:v>
                </c:pt>
                <c:pt idx="289">
                  <c:v>5.0575000000000152</c:v>
                </c:pt>
                <c:pt idx="290">
                  <c:v>5.0750000000000153</c:v>
                </c:pt>
                <c:pt idx="291">
                  <c:v>5.0925000000000153</c:v>
                </c:pt>
                <c:pt idx="292">
                  <c:v>5.1100000000000154</c:v>
                </c:pt>
                <c:pt idx="293">
                  <c:v>5.1275000000000155</c:v>
                </c:pt>
                <c:pt idx="294">
                  <c:v>5.1450000000000156</c:v>
                </c:pt>
                <c:pt idx="295">
                  <c:v>5.1625000000000156</c:v>
                </c:pt>
                <c:pt idx="296">
                  <c:v>5.1800000000000157</c:v>
                </c:pt>
                <c:pt idx="297">
                  <c:v>5.1975000000000158</c:v>
                </c:pt>
                <c:pt idx="298">
                  <c:v>5.2150000000000158</c:v>
                </c:pt>
                <c:pt idx="299">
                  <c:v>5.2325000000000159</c:v>
                </c:pt>
                <c:pt idx="300">
                  <c:v>5.250000000000016</c:v>
                </c:pt>
                <c:pt idx="301">
                  <c:v>5.2675000000000161</c:v>
                </c:pt>
                <c:pt idx="302">
                  <c:v>5.2850000000000161</c:v>
                </c:pt>
                <c:pt idx="303">
                  <c:v>5.3025000000000162</c:v>
                </c:pt>
                <c:pt idx="304">
                  <c:v>5.3200000000000163</c:v>
                </c:pt>
                <c:pt idx="305">
                  <c:v>5.3375000000000163</c:v>
                </c:pt>
                <c:pt idx="306">
                  <c:v>5.3550000000000164</c:v>
                </c:pt>
                <c:pt idx="307">
                  <c:v>5.3725000000000165</c:v>
                </c:pt>
                <c:pt idx="308">
                  <c:v>5.3900000000000166</c:v>
                </c:pt>
                <c:pt idx="309">
                  <c:v>5.4075000000000166</c:v>
                </c:pt>
                <c:pt idx="310">
                  <c:v>5.4250000000000167</c:v>
                </c:pt>
                <c:pt idx="311">
                  <c:v>5.4425000000000168</c:v>
                </c:pt>
                <c:pt idx="312">
                  <c:v>5.4600000000000168</c:v>
                </c:pt>
                <c:pt idx="313">
                  <c:v>5.4775000000000169</c:v>
                </c:pt>
                <c:pt idx="314">
                  <c:v>5.495000000000017</c:v>
                </c:pt>
                <c:pt idx="315">
                  <c:v>5.5125000000000171</c:v>
                </c:pt>
                <c:pt idx="316">
                  <c:v>5.5300000000000171</c:v>
                </c:pt>
                <c:pt idx="317">
                  <c:v>5.5475000000000172</c:v>
                </c:pt>
                <c:pt idx="318">
                  <c:v>5.5650000000000173</c:v>
                </c:pt>
                <c:pt idx="319">
                  <c:v>5.5825000000000173</c:v>
                </c:pt>
                <c:pt idx="320">
                  <c:v>5.6000000000000174</c:v>
                </c:pt>
                <c:pt idx="321">
                  <c:v>5.6175000000000175</c:v>
                </c:pt>
                <c:pt idx="322">
                  <c:v>5.6350000000000176</c:v>
                </c:pt>
                <c:pt idx="323">
                  <c:v>5.6525000000000176</c:v>
                </c:pt>
                <c:pt idx="324">
                  <c:v>5.6700000000000177</c:v>
                </c:pt>
                <c:pt idx="325">
                  <c:v>5.6875000000000178</c:v>
                </c:pt>
                <c:pt idx="326">
                  <c:v>5.7050000000000178</c:v>
                </c:pt>
                <c:pt idx="327">
                  <c:v>5.7225000000000179</c:v>
                </c:pt>
                <c:pt idx="328">
                  <c:v>5.740000000000018</c:v>
                </c:pt>
                <c:pt idx="329">
                  <c:v>5.757500000000018</c:v>
                </c:pt>
                <c:pt idx="330">
                  <c:v>5.7750000000000181</c:v>
                </c:pt>
                <c:pt idx="331">
                  <c:v>5.7925000000000182</c:v>
                </c:pt>
                <c:pt idx="332">
                  <c:v>5.8100000000000183</c:v>
                </c:pt>
                <c:pt idx="333">
                  <c:v>5.8275000000000183</c:v>
                </c:pt>
                <c:pt idx="334">
                  <c:v>5.8450000000000184</c:v>
                </c:pt>
                <c:pt idx="335">
                  <c:v>5.8625000000000185</c:v>
                </c:pt>
                <c:pt idx="336">
                  <c:v>5.8800000000000185</c:v>
                </c:pt>
                <c:pt idx="337">
                  <c:v>5.8975000000000186</c:v>
                </c:pt>
                <c:pt idx="338">
                  <c:v>5.9150000000000187</c:v>
                </c:pt>
                <c:pt idx="339">
                  <c:v>5.9325000000000188</c:v>
                </c:pt>
                <c:pt idx="340">
                  <c:v>5.9500000000000188</c:v>
                </c:pt>
                <c:pt idx="341">
                  <c:v>5.9675000000000189</c:v>
                </c:pt>
                <c:pt idx="342">
                  <c:v>5.985000000000019</c:v>
                </c:pt>
                <c:pt idx="343">
                  <c:v>6.002500000000019</c:v>
                </c:pt>
                <c:pt idx="344">
                  <c:v>6.0200000000000191</c:v>
                </c:pt>
                <c:pt idx="345">
                  <c:v>6.0375000000000192</c:v>
                </c:pt>
                <c:pt idx="346">
                  <c:v>6.0550000000000193</c:v>
                </c:pt>
                <c:pt idx="347">
                  <c:v>6.0725000000000193</c:v>
                </c:pt>
                <c:pt idx="348">
                  <c:v>6.0900000000000194</c:v>
                </c:pt>
                <c:pt idx="349">
                  <c:v>6.1075000000000195</c:v>
                </c:pt>
                <c:pt idx="350">
                  <c:v>6.1250000000000195</c:v>
                </c:pt>
                <c:pt idx="351">
                  <c:v>6.1425000000000196</c:v>
                </c:pt>
                <c:pt idx="352">
                  <c:v>6.1600000000000197</c:v>
                </c:pt>
                <c:pt idx="353">
                  <c:v>6.1775000000000198</c:v>
                </c:pt>
                <c:pt idx="354">
                  <c:v>6.1950000000000198</c:v>
                </c:pt>
                <c:pt idx="355">
                  <c:v>6.2125000000000199</c:v>
                </c:pt>
                <c:pt idx="356">
                  <c:v>6.23000000000002</c:v>
                </c:pt>
                <c:pt idx="357">
                  <c:v>6.24750000000002</c:v>
                </c:pt>
                <c:pt idx="358">
                  <c:v>6.2650000000000201</c:v>
                </c:pt>
                <c:pt idx="359">
                  <c:v>6.2825000000000202</c:v>
                </c:pt>
                <c:pt idx="360">
                  <c:v>6.3000000000000203</c:v>
                </c:pt>
                <c:pt idx="361">
                  <c:v>6.3175000000000203</c:v>
                </c:pt>
                <c:pt idx="362">
                  <c:v>6.3350000000000204</c:v>
                </c:pt>
                <c:pt idx="363">
                  <c:v>6.3525000000000205</c:v>
                </c:pt>
                <c:pt idx="364">
                  <c:v>6.3700000000000205</c:v>
                </c:pt>
                <c:pt idx="365">
                  <c:v>6.3875000000000206</c:v>
                </c:pt>
                <c:pt idx="366">
                  <c:v>6.4050000000000207</c:v>
                </c:pt>
                <c:pt idx="367">
                  <c:v>6.4225000000000207</c:v>
                </c:pt>
                <c:pt idx="368">
                  <c:v>6.4400000000000208</c:v>
                </c:pt>
                <c:pt idx="369">
                  <c:v>6.4575000000000209</c:v>
                </c:pt>
                <c:pt idx="370">
                  <c:v>6.475000000000021</c:v>
                </c:pt>
                <c:pt idx="371">
                  <c:v>6.492500000000021</c:v>
                </c:pt>
                <c:pt idx="372">
                  <c:v>6.5100000000000211</c:v>
                </c:pt>
                <c:pt idx="373">
                  <c:v>6.5275000000000212</c:v>
                </c:pt>
                <c:pt idx="374">
                  <c:v>6.5450000000000212</c:v>
                </c:pt>
                <c:pt idx="375">
                  <c:v>6.5625000000000213</c:v>
                </c:pt>
                <c:pt idx="376">
                  <c:v>6.5800000000000214</c:v>
                </c:pt>
                <c:pt idx="377">
                  <c:v>6.5975000000000215</c:v>
                </c:pt>
                <c:pt idx="378">
                  <c:v>6.6150000000000215</c:v>
                </c:pt>
                <c:pt idx="379">
                  <c:v>6.6325000000000216</c:v>
                </c:pt>
                <c:pt idx="380">
                  <c:v>6.6500000000000217</c:v>
                </c:pt>
                <c:pt idx="381">
                  <c:v>6.6675000000000217</c:v>
                </c:pt>
                <c:pt idx="382">
                  <c:v>6.6850000000000218</c:v>
                </c:pt>
                <c:pt idx="383">
                  <c:v>6.7025000000000219</c:v>
                </c:pt>
                <c:pt idx="384">
                  <c:v>6.720000000000022</c:v>
                </c:pt>
                <c:pt idx="385">
                  <c:v>6.737500000000022</c:v>
                </c:pt>
                <c:pt idx="386">
                  <c:v>6.7550000000000221</c:v>
                </c:pt>
                <c:pt idx="387">
                  <c:v>6.7725000000000222</c:v>
                </c:pt>
                <c:pt idx="388">
                  <c:v>6.7900000000000222</c:v>
                </c:pt>
                <c:pt idx="389">
                  <c:v>6.8075000000000223</c:v>
                </c:pt>
                <c:pt idx="390">
                  <c:v>6.8250000000000224</c:v>
                </c:pt>
                <c:pt idx="391">
                  <c:v>6.8425000000000225</c:v>
                </c:pt>
                <c:pt idx="392">
                  <c:v>6.8600000000000225</c:v>
                </c:pt>
                <c:pt idx="393">
                  <c:v>6.8775000000000226</c:v>
                </c:pt>
                <c:pt idx="394">
                  <c:v>6.8950000000000227</c:v>
                </c:pt>
                <c:pt idx="395">
                  <c:v>6.9125000000000227</c:v>
                </c:pt>
                <c:pt idx="396">
                  <c:v>6.9300000000000228</c:v>
                </c:pt>
                <c:pt idx="397">
                  <c:v>6.9475000000000229</c:v>
                </c:pt>
                <c:pt idx="398">
                  <c:v>6.965000000000023</c:v>
                </c:pt>
                <c:pt idx="399">
                  <c:v>6.982500000000023</c:v>
                </c:pt>
                <c:pt idx="400">
                  <c:v>7.0000000000000231</c:v>
                </c:pt>
              </c:numCache>
            </c:numRef>
          </c:xVal>
          <c:yVal>
            <c:numRef>
              <c:f>'xVA Calculations'!$Q$30:$Q$430</c:f>
              <c:numCache>
                <c:formatCode>0</c:formatCode>
                <c:ptCount val="4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'xVA Calculations'!$R$29</c:f>
              <c:strCache>
                <c:ptCount val="1"/>
              </c:strCache>
            </c:strRef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7030A0"/>
              </a:solidFill>
              <a:ln>
                <a:noFill/>
              </a:ln>
            </c:spPr>
          </c:marker>
          <c:xVal>
            <c:numRef>
              <c:f>'xVA Calculations'!$N$30:$N$430</c:f>
              <c:numCache>
                <c:formatCode>0.00</c:formatCode>
                <c:ptCount val="401"/>
                <c:pt idx="0">
                  <c:v>8.7500000000000008E-3</c:v>
                </c:pt>
                <c:pt idx="1">
                  <c:v>1.7500000000000002E-2</c:v>
                </c:pt>
                <c:pt idx="2">
                  <c:v>3.5000000000000003E-2</c:v>
                </c:pt>
                <c:pt idx="3">
                  <c:v>5.2500000000000005E-2</c:v>
                </c:pt>
                <c:pt idx="4">
                  <c:v>7.0000000000000007E-2</c:v>
                </c:pt>
                <c:pt idx="5">
                  <c:v>8.7500000000000008E-2</c:v>
                </c:pt>
                <c:pt idx="6">
                  <c:v>0.10500000000000001</c:v>
                </c:pt>
                <c:pt idx="7">
                  <c:v>0.12250000000000001</c:v>
                </c:pt>
                <c:pt idx="8">
                  <c:v>0.14000000000000001</c:v>
                </c:pt>
                <c:pt idx="9">
                  <c:v>0.15750000000000003</c:v>
                </c:pt>
                <c:pt idx="10">
                  <c:v>0.17500000000000004</c:v>
                </c:pt>
                <c:pt idx="11">
                  <c:v>0.19250000000000006</c:v>
                </c:pt>
                <c:pt idx="12">
                  <c:v>0.21000000000000008</c:v>
                </c:pt>
                <c:pt idx="13">
                  <c:v>0.22750000000000009</c:v>
                </c:pt>
                <c:pt idx="14">
                  <c:v>0.24500000000000011</c:v>
                </c:pt>
                <c:pt idx="15">
                  <c:v>0.26250000000000012</c:v>
                </c:pt>
                <c:pt idx="16">
                  <c:v>0.28000000000000014</c:v>
                </c:pt>
                <c:pt idx="17">
                  <c:v>0.29750000000000015</c:v>
                </c:pt>
                <c:pt idx="18">
                  <c:v>0.31500000000000017</c:v>
                </c:pt>
                <c:pt idx="19">
                  <c:v>0.33250000000000018</c:v>
                </c:pt>
                <c:pt idx="20">
                  <c:v>0.3500000000000002</c:v>
                </c:pt>
                <c:pt idx="21">
                  <c:v>0.36750000000000022</c:v>
                </c:pt>
                <c:pt idx="22">
                  <c:v>0.38500000000000023</c:v>
                </c:pt>
                <c:pt idx="23">
                  <c:v>0.40250000000000025</c:v>
                </c:pt>
                <c:pt idx="24">
                  <c:v>0.42000000000000026</c:v>
                </c:pt>
                <c:pt idx="25">
                  <c:v>0.43750000000000028</c:v>
                </c:pt>
                <c:pt idx="26">
                  <c:v>0.45500000000000029</c:v>
                </c:pt>
                <c:pt idx="27">
                  <c:v>0.47250000000000031</c:v>
                </c:pt>
                <c:pt idx="28">
                  <c:v>0.49000000000000032</c:v>
                </c:pt>
                <c:pt idx="29">
                  <c:v>0.50750000000000028</c:v>
                </c:pt>
                <c:pt idx="30">
                  <c:v>0.52500000000000024</c:v>
                </c:pt>
                <c:pt idx="31">
                  <c:v>0.5425000000000002</c:v>
                </c:pt>
                <c:pt idx="32">
                  <c:v>0.56000000000000016</c:v>
                </c:pt>
                <c:pt idx="33">
                  <c:v>0.57750000000000012</c:v>
                </c:pt>
                <c:pt idx="34">
                  <c:v>0.59500000000000008</c:v>
                </c:pt>
                <c:pt idx="35">
                  <c:v>0.61250000000000004</c:v>
                </c:pt>
                <c:pt idx="36">
                  <c:v>0.63</c:v>
                </c:pt>
                <c:pt idx="37">
                  <c:v>0.64749999999999996</c:v>
                </c:pt>
                <c:pt idx="38">
                  <c:v>0.66499999999999992</c:v>
                </c:pt>
                <c:pt idx="39">
                  <c:v>0.68249999999999988</c:v>
                </c:pt>
                <c:pt idx="40">
                  <c:v>0.69999999999999984</c:v>
                </c:pt>
                <c:pt idx="41">
                  <c:v>0.7174999999999998</c:v>
                </c:pt>
                <c:pt idx="42">
                  <c:v>0.73499999999999976</c:v>
                </c:pt>
                <c:pt idx="43">
                  <c:v>0.75249999999999972</c:v>
                </c:pt>
                <c:pt idx="44">
                  <c:v>0.76999999999999968</c:v>
                </c:pt>
                <c:pt idx="45">
                  <c:v>0.78749999999999964</c:v>
                </c:pt>
                <c:pt idx="46">
                  <c:v>0.8049999999999996</c:v>
                </c:pt>
                <c:pt idx="47">
                  <c:v>0.82249999999999956</c:v>
                </c:pt>
                <c:pt idx="48">
                  <c:v>0.83999999999999952</c:v>
                </c:pt>
                <c:pt idx="49">
                  <c:v>0.85749999999999948</c:v>
                </c:pt>
                <c:pt idx="50">
                  <c:v>0.87499999999999944</c:v>
                </c:pt>
                <c:pt idx="51">
                  <c:v>0.8924999999999994</c:v>
                </c:pt>
                <c:pt idx="52">
                  <c:v>0.90999999999999936</c:v>
                </c:pt>
                <c:pt idx="53">
                  <c:v>0.92749999999999932</c:v>
                </c:pt>
                <c:pt idx="54">
                  <c:v>0.94499999999999929</c:v>
                </c:pt>
                <c:pt idx="55">
                  <c:v>0.96249999999999925</c:v>
                </c:pt>
                <c:pt idx="56">
                  <c:v>0.97999999999999921</c:v>
                </c:pt>
                <c:pt idx="57">
                  <c:v>0.99749999999999917</c:v>
                </c:pt>
                <c:pt idx="58">
                  <c:v>1.0149999999999992</c:v>
                </c:pt>
                <c:pt idx="59">
                  <c:v>1.0324999999999993</c:v>
                </c:pt>
                <c:pt idx="60">
                  <c:v>1.0499999999999994</c:v>
                </c:pt>
                <c:pt idx="61">
                  <c:v>1.0674999999999994</c:v>
                </c:pt>
                <c:pt idx="62">
                  <c:v>1.0849999999999995</c:v>
                </c:pt>
                <c:pt idx="63">
                  <c:v>1.1024999999999996</c:v>
                </c:pt>
                <c:pt idx="64">
                  <c:v>1.1199999999999997</c:v>
                </c:pt>
                <c:pt idx="65">
                  <c:v>1.1374999999999997</c:v>
                </c:pt>
                <c:pt idx="66">
                  <c:v>1.1549999999999998</c:v>
                </c:pt>
                <c:pt idx="67">
                  <c:v>1.1724999999999999</c:v>
                </c:pt>
                <c:pt idx="68">
                  <c:v>1.19</c:v>
                </c:pt>
                <c:pt idx="69">
                  <c:v>1.2075</c:v>
                </c:pt>
                <c:pt idx="70">
                  <c:v>1.2250000000000001</c:v>
                </c:pt>
                <c:pt idx="71">
                  <c:v>1.2425000000000002</c:v>
                </c:pt>
                <c:pt idx="72">
                  <c:v>1.2600000000000002</c:v>
                </c:pt>
                <c:pt idx="73">
                  <c:v>1.2775000000000003</c:v>
                </c:pt>
                <c:pt idx="74">
                  <c:v>1.2950000000000004</c:v>
                </c:pt>
                <c:pt idx="75">
                  <c:v>1.3125000000000004</c:v>
                </c:pt>
                <c:pt idx="76">
                  <c:v>1.3300000000000005</c:v>
                </c:pt>
                <c:pt idx="77">
                  <c:v>1.3475000000000006</c:v>
                </c:pt>
                <c:pt idx="78">
                  <c:v>1.3650000000000007</c:v>
                </c:pt>
                <c:pt idx="79">
                  <c:v>1.3825000000000007</c:v>
                </c:pt>
                <c:pt idx="80">
                  <c:v>1.4000000000000008</c:v>
                </c:pt>
                <c:pt idx="81">
                  <c:v>1.4175000000000009</c:v>
                </c:pt>
                <c:pt idx="82">
                  <c:v>1.4350000000000009</c:v>
                </c:pt>
                <c:pt idx="83">
                  <c:v>1.452500000000001</c:v>
                </c:pt>
                <c:pt idx="84">
                  <c:v>1.4700000000000011</c:v>
                </c:pt>
                <c:pt idx="85">
                  <c:v>1.4875000000000012</c:v>
                </c:pt>
                <c:pt idx="86">
                  <c:v>1.5050000000000012</c:v>
                </c:pt>
                <c:pt idx="87">
                  <c:v>1.5225000000000013</c:v>
                </c:pt>
                <c:pt idx="88">
                  <c:v>1.5400000000000014</c:v>
                </c:pt>
                <c:pt idx="89">
                  <c:v>1.5575000000000014</c:v>
                </c:pt>
                <c:pt idx="90">
                  <c:v>1.5750000000000015</c:v>
                </c:pt>
                <c:pt idx="91">
                  <c:v>1.5925000000000016</c:v>
                </c:pt>
                <c:pt idx="92">
                  <c:v>1.6100000000000017</c:v>
                </c:pt>
                <c:pt idx="93">
                  <c:v>1.6275000000000017</c:v>
                </c:pt>
                <c:pt idx="94">
                  <c:v>1.6450000000000018</c:v>
                </c:pt>
                <c:pt idx="95">
                  <c:v>1.6625000000000019</c:v>
                </c:pt>
                <c:pt idx="96">
                  <c:v>1.6800000000000019</c:v>
                </c:pt>
                <c:pt idx="97">
                  <c:v>1.697500000000002</c:v>
                </c:pt>
                <c:pt idx="98">
                  <c:v>1.7150000000000021</c:v>
                </c:pt>
                <c:pt idx="99">
                  <c:v>1.7325000000000021</c:v>
                </c:pt>
                <c:pt idx="100">
                  <c:v>1.7500000000000022</c:v>
                </c:pt>
                <c:pt idx="101">
                  <c:v>1.7675000000000023</c:v>
                </c:pt>
                <c:pt idx="102">
                  <c:v>1.7850000000000024</c:v>
                </c:pt>
                <c:pt idx="103">
                  <c:v>1.8025000000000024</c:v>
                </c:pt>
                <c:pt idx="104">
                  <c:v>1.8200000000000025</c:v>
                </c:pt>
                <c:pt idx="105">
                  <c:v>1.8375000000000026</c:v>
                </c:pt>
                <c:pt idx="106">
                  <c:v>1.8550000000000026</c:v>
                </c:pt>
                <c:pt idx="107">
                  <c:v>1.8725000000000027</c:v>
                </c:pt>
                <c:pt idx="108">
                  <c:v>1.8900000000000028</c:v>
                </c:pt>
                <c:pt idx="109">
                  <c:v>1.9075000000000029</c:v>
                </c:pt>
                <c:pt idx="110">
                  <c:v>1.9250000000000029</c:v>
                </c:pt>
                <c:pt idx="111">
                  <c:v>1.942500000000003</c:v>
                </c:pt>
                <c:pt idx="112">
                  <c:v>1.9600000000000031</c:v>
                </c:pt>
                <c:pt idx="113">
                  <c:v>1.9775000000000031</c:v>
                </c:pt>
                <c:pt idx="114">
                  <c:v>1.9950000000000032</c:v>
                </c:pt>
                <c:pt idx="115">
                  <c:v>2.0125000000000033</c:v>
                </c:pt>
                <c:pt idx="116">
                  <c:v>2.0300000000000034</c:v>
                </c:pt>
                <c:pt idx="117">
                  <c:v>2.0475000000000034</c:v>
                </c:pt>
                <c:pt idx="118">
                  <c:v>2.0650000000000035</c:v>
                </c:pt>
                <c:pt idx="119">
                  <c:v>2.0825000000000036</c:v>
                </c:pt>
                <c:pt idx="120">
                  <c:v>2.1000000000000036</c:v>
                </c:pt>
                <c:pt idx="121">
                  <c:v>2.1175000000000037</c:v>
                </c:pt>
                <c:pt idx="122">
                  <c:v>2.1350000000000038</c:v>
                </c:pt>
                <c:pt idx="123">
                  <c:v>2.1525000000000039</c:v>
                </c:pt>
                <c:pt idx="124">
                  <c:v>2.1700000000000039</c:v>
                </c:pt>
                <c:pt idx="125">
                  <c:v>2.187500000000004</c:v>
                </c:pt>
                <c:pt idx="126">
                  <c:v>2.2050000000000041</c:v>
                </c:pt>
                <c:pt idx="127">
                  <c:v>2.2225000000000041</c:v>
                </c:pt>
                <c:pt idx="128">
                  <c:v>2.2400000000000042</c:v>
                </c:pt>
                <c:pt idx="129">
                  <c:v>2.2575000000000043</c:v>
                </c:pt>
                <c:pt idx="130">
                  <c:v>2.2750000000000044</c:v>
                </c:pt>
                <c:pt idx="131">
                  <c:v>2.2925000000000044</c:v>
                </c:pt>
                <c:pt idx="132">
                  <c:v>2.3100000000000045</c:v>
                </c:pt>
                <c:pt idx="133">
                  <c:v>2.3275000000000046</c:v>
                </c:pt>
                <c:pt idx="134">
                  <c:v>2.3450000000000046</c:v>
                </c:pt>
                <c:pt idx="135">
                  <c:v>2.3625000000000047</c:v>
                </c:pt>
                <c:pt idx="136">
                  <c:v>2.3800000000000048</c:v>
                </c:pt>
                <c:pt idx="137">
                  <c:v>2.3975000000000048</c:v>
                </c:pt>
                <c:pt idx="138">
                  <c:v>2.4150000000000049</c:v>
                </c:pt>
                <c:pt idx="139">
                  <c:v>2.432500000000005</c:v>
                </c:pt>
                <c:pt idx="140">
                  <c:v>2.4500000000000051</c:v>
                </c:pt>
                <c:pt idx="141">
                  <c:v>2.4675000000000051</c:v>
                </c:pt>
                <c:pt idx="142">
                  <c:v>2.4850000000000052</c:v>
                </c:pt>
                <c:pt idx="143">
                  <c:v>2.5025000000000053</c:v>
                </c:pt>
                <c:pt idx="144">
                  <c:v>2.5200000000000053</c:v>
                </c:pt>
                <c:pt idx="145">
                  <c:v>2.5375000000000054</c:v>
                </c:pt>
                <c:pt idx="146">
                  <c:v>2.5550000000000055</c:v>
                </c:pt>
                <c:pt idx="147">
                  <c:v>2.5725000000000056</c:v>
                </c:pt>
                <c:pt idx="148">
                  <c:v>2.5900000000000056</c:v>
                </c:pt>
                <c:pt idx="149">
                  <c:v>2.6075000000000057</c:v>
                </c:pt>
                <c:pt idx="150">
                  <c:v>2.6250000000000058</c:v>
                </c:pt>
                <c:pt idx="151">
                  <c:v>2.6425000000000058</c:v>
                </c:pt>
                <c:pt idx="152">
                  <c:v>2.6600000000000059</c:v>
                </c:pt>
                <c:pt idx="153">
                  <c:v>2.677500000000006</c:v>
                </c:pt>
                <c:pt idx="154">
                  <c:v>2.6950000000000061</c:v>
                </c:pt>
                <c:pt idx="155">
                  <c:v>2.7125000000000061</c:v>
                </c:pt>
                <c:pt idx="156">
                  <c:v>2.7300000000000062</c:v>
                </c:pt>
                <c:pt idx="157">
                  <c:v>2.7475000000000063</c:v>
                </c:pt>
                <c:pt idx="158">
                  <c:v>2.7650000000000063</c:v>
                </c:pt>
                <c:pt idx="159">
                  <c:v>2.7825000000000064</c:v>
                </c:pt>
                <c:pt idx="160">
                  <c:v>2.8000000000000065</c:v>
                </c:pt>
                <c:pt idx="161">
                  <c:v>2.8175000000000066</c:v>
                </c:pt>
                <c:pt idx="162">
                  <c:v>2.8350000000000066</c:v>
                </c:pt>
                <c:pt idx="163">
                  <c:v>2.8525000000000067</c:v>
                </c:pt>
                <c:pt idx="164">
                  <c:v>2.8700000000000068</c:v>
                </c:pt>
                <c:pt idx="165">
                  <c:v>2.8875000000000068</c:v>
                </c:pt>
                <c:pt idx="166">
                  <c:v>2.9050000000000069</c:v>
                </c:pt>
                <c:pt idx="167">
                  <c:v>2.922500000000007</c:v>
                </c:pt>
                <c:pt idx="168">
                  <c:v>2.9400000000000071</c:v>
                </c:pt>
                <c:pt idx="169">
                  <c:v>2.9575000000000071</c:v>
                </c:pt>
                <c:pt idx="170">
                  <c:v>2.9750000000000072</c:v>
                </c:pt>
                <c:pt idx="171">
                  <c:v>2.9925000000000073</c:v>
                </c:pt>
                <c:pt idx="172">
                  <c:v>3.0100000000000073</c:v>
                </c:pt>
                <c:pt idx="173">
                  <c:v>3.0275000000000074</c:v>
                </c:pt>
                <c:pt idx="174">
                  <c:v>3.0450000000000075</c:v>
                </c:pt>
                <c:pt idx="175">
                  <c:v>3.0625000000000075</c:v>
                </c:pt>
                <c:pt idx="176">
                  <c:v>3.0800000000000076</c:v>
                </c:pt>
                <c:pt idx="177">
                  <c:v>3.0975000000000077</c:v>
                </c:pt>
                <c:pt idx="178">
                  <c:v>3.1150000000000078</c:v>
                </c:pt>
                <c:pt idx="179">
                  <c:v>3.1325000000000078</c:v>
                </c:pt>
                <c:pt idx="180">
                  <c:v>3.1500000000000079</c:v>
                </c:pt>
                <c:pt idx="181">
                  <c:v>3.167500000000008</c:v>
                </c:pt>
                <c:pt idx="182">
                  <c:v>3.185000000000008</c:v>
                </c:pt>
                <c:pt idx="183">
                  <c:v>3.2025000000000081</c:v>
                </c:pt>
                <c:pt idx="184">
                  <c:v>3.2200000000000082</c:v>
                </c:pt>
                <c:pt idx="185">
                  <c:v>3.2375000000000083</c:v>
                </c:pt>
                <c:pt idx="186">
                  <c:v>3.2550000000000083</c:v>
                </c:pt>
                <c:pt idx="187">
                  <c:v>3.2725000000000084</c:v>
                </c:pt>
                <c:pt idx="188">
                  <c:v>3.2900000000000085</c:v>
                </c:pt>
                <c:pt idx="189">
                  <c:v>3.3075000000000085</c:v>
                </c:pt>
                <c:pt idx="190">
                  <c:v>3.3250000000000086</c:v>
                </c:pt>
                <c:pt idx="191">
                  <c:v>3.3425000000000087</c:v>
                </c:pt>
                <c:pt idx="192">
                  <c:v>3.3600000000000088</c:v>
                </c:pt>
                <c:pt idx="193">
                  <c:v>3.3775000000000088</c:v>
                </c:pt>
                <c:pt idx="194">
                  <c:v>3.3950000000000089</c:v>
                </c:pt>
                <c:pt idx="195">
                  <c:v>3.412500000000009</c:v>
                </c:pt>
                <c:pt idx="196">
                  <c:v>3.430000000000009</c:v>
                </c:pt>
                <c:pt idx="197">
                  <c:v>3.4475000000000091</c:v>
                </c:pt>
                <c:pt idx="198">
                  <c:v>3.4650000000000092</c:v>
                </c:pt>
                <c:pt idx="199">
                  <c:v>3.4825000000000093</c:v>
                </c:pt>
                <c:pt idx="200">
                  <c:v>3.5000000000000093</c:v>
                </c:pt>
                <c:pt idx="201">
                  <c:v>3.5175000000000094</c:v>
                </c:pt>
                <c:pt idx="202">
                  <c:v>3.5350000000000095</c:v>
                </c:pt>
                <c:pt idx="203">
                  <c:v>3.5525000000000095</c:v>
                </c:pt>
                <c:pt idx="204">
                  <c:v>3.5700000000000096</c:v>
                </c:pt>
                <c:pt idx="205">
                  <c:v>3.5875000000000097</c:v>
                </c:pt>
                <c:pt idx="206">
                  <c:v>3.6050000000000098</c:v>
                </c:pt>
                <c:pt idx="207">
                  <c:v>3.6225000000000098</c:v>
                </c:pt>
                <c:pt idx="208">
                  <c:v>3.6400000000000099</c:v>
                </c:pt>
                <c:pt idx="209">
                  <c:v>3.65750000000001</c:v>
                </c:pt>
                <c:pt idx="210">
                  <c:v>3.67500000000001</c:v>
                </c:pt>
                <c:pt idx="211">
                  <c:v>3.6925000000000101</c:v>
                </c:pt>
                <c:pt idx="212">
                  <c:v>3.7100000000000102</c:v>
                </c:pt>
                <c:pt idx="213">
                  <c:v>3.7275000000000102</c:v>
                </c:pt>
                <c:pt idx="214">
                  <c:v>3.7450000000000103</c:v>
                </c:pt>
                <c:pt idx="215">
                  <c:v>3.7625000000000104</c:v>
                </c:pt>
                <c:pt idx="216">
                  <c:v>3.7800000000000105</c:v>
                </c:pt>
                <c:pt idx="217">
                  <c:v>3.7975000000000105</c:v>
                </c:pt>
                <c:pt idx="218">
                  <c:v>3.8150000000000106</c:v>
                </c:pt>
                <c:pt idx="219">
                  <c:v>3.8325000000000107</c:v>
                </c:pt>
                <c:pt idx="220">
                  <c:v>3.8500000000000107</c:v>
                </c:pt>
                <c:pt idx="221">
                  <c:v>3.8675000000000108</c:v>
                </c:pt>
                <c:pt idx="222">
                  <c:v>3.8850000000000109</c:v>
                </c:pt>
                <c:pt idx="223">
                  <c:v>3.902500000000011</c:v>
                </c:pt>
                <c:pt idx="224">
                  <c:v>3.920000000000011</c:v>
                </c:pt>
                <c:pt idx="225">
                  <c:v>3.9375000000000111</c:v>
                </c:pt>
                <c:pt idx="226">
                  <c:v>3.9550000000000112</c:v>
                </c:pt>
                <c:pt idx="227">
                  <c:v>3.9725000000000112</c:v>
                </c:pt>
                <c:pt idx="228">
                  <c:v>3.9900000000000113</c:v>
                </c:pt>
                <c:pt idx="229">
                  <c:v>4.0075000000000109</c:v>
                </c:pt>
                <c:pt idx="230">
                  <c:v>4.025000000000011</c:v>
                </c:pt>
                <c:pt idx="231">
                  <c:v>4.0425000000000111</c:v>
                </c:pt>
                <c:pt idx="232">
                  <c:v>4.0600000000000112</c:v>
                </c:pt>
                <c:pt idx="233">
                  <c:v>4.0775000000000112</c:v>
                </c:pt>
                <c:pt idx="234">
                  <c:v>4.0950000000000113</c:v>
                </c:pt>
                <c:pt idx="235">
                  <c:v>4.1125000000000114</c:v>
                </c:pt>
                <c:pt idx="236">
                  <c:v>4.1300000000000114</c:v>
                </c:pt>
                <c:pt idx="237">
                  <c:v>4.1475000000000115</c:v>
                </c:pt>
                <c:pt idx="238">
                  <c:v>4.1650000000000116</c:v>
                </c:pt>
                <c:pt idx="239">
                  <c:v>4.1825000000000117</c:v>
                </c:pt>
                <c:pt idx="240">
                  <c:v>4.2000000000000117</c:v>
                </c:pt>
                <c:pt idx="241">
                  <c:v>4.2175000000000118</c:v>
                </c:pt>
                <c:pt idx="242">
                  <c:v>4.2350000000000119</c:v>
                </c:pt>
                <c:pt idx="243">
                  <c:v>4.2525000000000119</c:v>
                </c:pt>
                <c:pt idx="244">
                  <c:v>4.270000000000012</c:v>
                </c:pt>
                <c:pt idx="245">
                  <c:v>4.2875000000000121</c:v>
                </c:pt>
                <c:pt idx="246">
                  <c:v>4.3050000000000122</c:v>
                </c:pt>
                <c:pt idx="247">
                  <c:v>4.3225000000000122</c:v>
                </c:pt>
                <c:pt idx="248">
                  <c:v>4.3400000000000123</c:v>
                </c:pt>
                <c:pt idx="249">
                  <c:v>4.3575000000000124</c:v>
                </c:pt>
                <c:pt idx="250">
                  <c:v>4.3750000000000124</c:v>
                </c:pt>
                <c:pt idx="251">
                  <c:v>4.3925000000000125</c:v>
                </c:pt>
                <c:pt idx="252">
                  <c:v>4.4100000000000126</c:v>
                </c:pt>
                <c:pt idx="253">
                  <c:v>4.4275000000000126</c:v>
                </c:pt>
                <c:pt idx="254">
                  <c:v>4.4450000000000127</c:v>
                </c:pt>
                <c:pt idx="255">
                  <c:v>4.4625000000000128</c:v>
                </c:pt>
                <c:pt idx="256">
                  <c:v>4.4800000000000129</c:v>
                </c:pt>
                <c:pt idx="257">
                  <c:v>4.4975000000000129</c:v>
                </c:pt>
                <c:pt idx="258">
                  <c:v>4.515000000000013</c:v>
                </c:pt>
                <c:pt idx="259">
                  <c:v>4.5325000000000131</c:v>
                </c:pt>
                <c:pt idx="260">
                  <c:v>4.5500000000000131</c:v>
                </c:pt>
                <c:pt idx="261">
                  <c:v>4.5675000000000132</c:v>
                </c:pt>
                <c:pt idx="262">
                  <c:v>4.5850000000000133</c:v>
                </c:pt>
                <c:pt idx="263">
                  <c:v>4.6025000000000134</c:v>
                </c:pt>
                <c:pt idx="264">
                  <c:v>4.6200000000000134</c:v>
                </c:pt>
                <c:pt idx="265">
                  <c:v>4.6375000000000135</c:v>
                </c:pt>
                <c:pt idx="266">
                  <c:v>4.6550000000000136</c:v>
                </c:pt>
                <c:pt idx="267">
                  <c:v>4.6725000000000136</c:v>
                </c:pt>
                <c:pt idx="268">
                  <c:v>4.6900000000000137</c:v>
                </c:pt>
                <c:pt idx="269">
                  <c:v>4.7075000000000138</c:v>
                </c:pt>
                <c:pt idx="270">
                  <c:v>4.7250000000000139</c:v>
                </c:pt>
                <c:pt idx="271">
                  <c:v>4.7425000000000139</c:v>
                </c:pt>
                <c:pt idx="272">
                  <c:v>4.760000000000014</c:v>
                </c:pt>
                <c:pt idx="273">
                  <c:v>4.7775000000000141</c:v>
                </c:pt>
                <c:pt idx="274">
                  <c:v>4.7950000000000141</c:v>
                </c:pt>
                <c:pt idx="275">
                  <c:v>4.8125000000000142</c:v>
                </c:pt>
                <c:pt idx="276">
                  <c:v>4.8300000000000143</c:v>
                </c:pt>
                <c:pt idx="277">
                  <c:v>4.8475000000000144</c:v>
                </c:pt>
                <c:pt idx="278">
                  <c:v>4.8650000000000144</c:v>
                </c:pt>
                <c:pt idx="279">
                  <c:v>4.8825000000000145</c:v>
                </c:pt>
                <c:pt idx="280">
                  <c:v>4.9000000000000146</c:v>
                </c:pt>
                <c:pt idx="281">
                  <c:v>4.9175000000000146</c:v>
                </c:pt>
                <c:pt idx="282">
                  <c:v>4.9350000000000147</c:v>
                </c:pt>
                <c:pt idx="283">
                  <c:v>4.9525000000000148</c:v>
                </c:pt>
                <c:pt idx="284">
                  <c:v>4.9700000000000149</c:v>
                </c:pt>
                <c:pt idx="285">
                  <c:v>4.9875000000000149</c:v>
                </c:pt>
                <c:pt idx="286">
                  <c:v>5.005000000000015</c:v>
                </c:pt>
                <c:pt idx="287">
                  <c:v>5.0225000000000151</c:v>
                </c:pt>
                <c:pt idx="288">
                  <c:v>5.0400000000000151</c:v>
                </c:pt>
                <c:pt idx="289">
                  <c:v>5.0575000000000152</c:v>
                </c:pt>
                <c:pt idx="290">
                  <c:v>5.0750000000000153</c:v>
                </c:pt>
                <c:pt idx="291">
                  <c:v>5.0925000000000153</c:v>
                </c:pt>
                <c:pt idx="292">
                  <c:v>5.1100000000000154</c:v>
                </c:pt>
                <c:pt idx="293">
                  <c:v>5.1275000000000155</c:v>
                </c:pt>
                <c:pt idx="294">
                  <c:v>5.1450000000000156</c:v>
                </c:pt>
                <c:pt idx="295">
                  <c:v>5.1625000000000156</c:v>
                </c:pt>
                <c:pt idx="296">
                  <c:v>5.1800000000000157</c:v>
                </c:pt>
                <c:pt idx="297">
                  <c:v>5.1975000000000158</c:v>
                </c:pt>
                <c:pt idx="298">
                  <c:v>5.2150000000000158</c:v>
                </c:pt>
                <c:pt idx="299">
                  <c:v>5.2325000000000159</c:v>
                </c:pt>
                <c:pt idx="300">
                  <c:v>5.250000000000016</c:v>
                </c:pt>
                <c:pt idx="301">
                  <c:v>5.2675000000000161</c:v>
                </c:pt>
                <c:pt idx="302">
                  <c:v>5.2850000000000161</c:v>
                </c:pt>
                <c:pt idx="303">
                  <c:v>5.3025000000000162</c:v>
                </c:pt>
                <c:pt idx="304">
                  <c:v>5.3200000000000163</c:v>
                </c:pt>
                <c:pt idx="305">
                  <c:v>5.3375000000000163</c:v>
                </c:pt>
                <c:pt idx="306">
                  <c:v>5.3550000000000164</c:v>
                </c:pt>
                <c:pt idx="307">
                  <c:v>5.3725000000000165</c:v>
                </c:pt>
                <c:pt idx="308">
                  <c:v>5.3900000000000166</c:v>
                </c:pt>
                <c:pt idx="309">
                  <c:v>5.4075000000000166</c:v>
                </c:pt>
                <c:pt idx="310">
                  <c:v>5.4250000000000167</c:v>
                </c:pt>
                <c:pt idx="311">
                  <c:v>5.4425000000000168</c:v>
                </c:pt>
                <c:pt idx="312">
                  <c:v>5.4600000000000168</c:v>
                </c:pt>
                <c:pt idx="313">
                  <c:v>5.4775000000000169</c:v>
                </c:pt>
                <c:pt idx="314">
                  <c:v>5.495000000000017</c:v>
                </c:pt>
                <c:pt idx="315">
                  <c:v>5.5125000000000171</c:v>
                </c:pt>
                <c:pt idx="316">
                  <c:v>5.5300000000000171</c:v>
                </c:pt>
                <c:pt idx="317">
                  <c:v>5.5475000000000172</c:v>
                </c:pt>
                <c:pt idx="318">
                  <c:v>5.5650000000000173</c:v>
                </c:pt>
                <c:pt idx="319">
                  <c:v>5.5825000000000173</c:v>
                </c:pt>
                <c:pt idx="320">
                  <c:v>5.6000000000000174</c:v>
                </c:pt>
                <c:pt idx="321">
                  <c:v>5.6175000000000175</c:v>
                </c:pt>
                <c:pt idx="322">
                  <c:v>5.6350000000000176</c:v>
                </c:pt>
                <c:pt idx="323">
                  <c:v>5.6525000000000176</c:v>
                </c:pt>
                <c:pt idx="324">
                  <c:v>5.6700000000000177</c:v>
                </c:pt>
                <c:pt idx="325">
                  <c:v>5.6875000000000178</c:v>
                </c:pt>
                <c:pt idx="326">
                  <c:v>5.7050000000000178</c:v>
                </c:pt>
                <c:pt idx="327">
                  <c:v>5.7225000000000179</c:v>
                </c:pt>
                <c:pt idx="328">
                  <c:v>5.740000000000018</c:v>
                </c:pt>
                <c:pt idx="329">
                  <c:v>5.757500000000018</c:v>
                </c:pt>
                <c:pt idx="330">
                  <c:v>5.7750000000000181</c:v>
                </c:pt>
                <c:pt idx="331">
                  <c:v>5.7925000000000182</c:v>
                </c:pt>
                <c:pt idx="332">
                  <c:v>5.8100000000000183</c:v>
                </c:pt>
                <c:pt idx="333">
                  <c:v>5.8275000000000183</c:v>
                </c:pt>
                <c:pt idx="334">
                  <c:v>5.8450000000000184</c:v>
                </c:pt>
                <c:pt idx="335">
                  <c:v>5.8625000000000185</c:v>
                </c:pt>
                <c:pt idx="336">
                  <c:v>5.8800000000000185</c:v>
                </c:pt>
                <c:pt idx="337">
                  <c:v>5.8975000000000186</c:v>
                </c:pt>
                <c:pt idx="338">
                  <c:v>5.9150000000000187</c:v>
                </c:pt>
                <c:pt idx="339">
                  <c:v>5.9325000000000188</c:v>
                </c:pt>
                <c:pt idx="340">
                  <c:v>5.9500000000000188</c:v>
                </c:pt>
                <c:pt idx="341">
                  <c:v>5.9675000000000189</c:v>
                </c:pt>
                <c:pt idx="342">
                  <c:v>5.985000000000019</c:v>
                </c:pt>
                <c:pt idx="343">
                  <c:v>6.002500000000019</c:v>
                </c:pt>
                <c:pt idx="344">
                  <c:v>6.0200000000000191</c:v>
                </c:pt>
                <c:pt idx="345">
                  <c:v>6.0375000000000192</c:v>
                </c:pt>
                <c:pt idx="346">
                  <c:v>6.0550000000000193</c:v>
                </c:pt>
                <c:pt idx="347">
                  <c:v>6.0725000000000193</c:v>
                </c:pt>
                <c:pt idx="348">
                  <c:v>6.0900000000000194</c:v>
                </c:pt>
                <c:pt idx="349">
                  <c:v>6.1075000000000195</c:v>
                </c:pt>
                <c:pt idx="350">
                  <c:v>6.1250000000000195</c:v>
                </c:pt>
                <c:pt idx="351">
                  <c:v>6.1425000000000196</c:v>
                </c:pt>
                <c:pt idx="352">
                  <c:v>6.1600000000000197</c:v>
                </c:pt>
                <c:pt idx="353">
                  <c:v>6.1775000000000198</c:v>
                </c:pt>
                <c:pt idx="354">
                  <c:v>6.1950000000000198</c:v>
                </c:pt>
                <c:pt idx="355">
                  <c:v>6.2125000000000199</c:v>
                </c:pt>
                <c:pt idx="356">
                  <c:v>6.23000000000002</c:v>
                </c:pt>
                <c:pt idx="357">
                  <c:v>6.24750000000002</c:v>
                </c:pt>
                <c:pt idx="358">
                  <c:v>6.2650000000000201</c:v>
                </c:pt>
                <c:pt idx="359">
                  <c:v>6.2825000000000202</c:v>
                </c:pt>
                <c:pt idx="360">
                  <c:v>6.3000000000000203</c:v>
                </c:pt>
                <c:pt idx="361">
                  <c:v>6.3175000000000203</c:v>
                </c:pt>
                <c:pt idx="362">
                  <c:v>6.3350000000000204</c:v>
                </c:pt>
                <c:pt idx="363">
                  <c:v>6.3525000000000205</c:v>
                </c:pt>
                <c:pt idx="364">
                  <c:v>6.3700000000000205</c:v>
                </c:pt>
                <c:pt idx="365">
                  <c:v>6.3875000000000206</c:v>
                </c:pt>
                <c:pt idx="366">
                  <c:v>6.4050000000000207</c:v>
                </c:pt>
                <c:pt idx="367">
                  <c:v>6.4225000000000207</c:v>
                </c:pt>
                <c:pt idx="368">
                  <c:v>6.4400000000000208</c:v>
                </c:pt>
                <c:pt idx="369">
                  <c:v>6.4575000000000209</c:v>
                </c:pt>
                <c:pt idx="370">
                  <c:v>6.475000000000021</c:v>
                </c:pt>
                <c:pt idx="371">
                  <c:v>6.492500000000021</c:v>
                </c:pt>
                <c:pt idx="372">
                  <c:v>6.5100000000000211</c:v>
                </c:pt>
                <c:pt idx="373">
                  <c:v>6.5275000000000212</c:v>
                </c:pt>
                <c:pt idx="374">
                  <c:v>6.5450000000000212</c:v>
                </c:pt>
                <c:pt idx="375">
                  <c:v>6.5625000000000213</c:v>
                </c:pt>
                <c:pt idx="376">
                  <c:v>6.5800000000000214</c:v>
                </c:pt>
                <c:pt idx="377">
                  <c:v>6.5975000000000215</c:v>
                </c:pt>
                <c:pt idx="378">
                  <c:v>6.6150000000000215</c:v>
                </c:pt>
                <c:pt idx="379">
                  <c:v>6.6325000000000216</c:v>
                </c:pt>
                <c:pt idx="380">
                  <c:v>6.6500000000000217</c:v>
                </c:pt>
                <c:pt idx="381">
                  <c:v>6.6675000000000217</c:v>
                </c:pt>
                <c:pt idx="382">
                  <c:v>6.6850000000000218</c:v>
                </c:pt>
                <c:pt idx="383">
                  <c:v>6.7025000000000219</c:v>
                </c:pt>
                <c:pt idx="384">
                  <c:v>6.720000000000022</c:v>
                </c:pt>
                <c:pt idx="385">
                  <c:v>6.737500000000022</c:v>
                </c:pt>
                <c:pt idx="386">
                  <c:v>6.7550000000000221</c:v>
                </c:pt>
                <c:pt idx="387">
                  <c:v>6.7725000000000222</c:v>
                </c:pt>
                <c:pt idx="388">
                  <c:v>6.7900000000000222</c:v>
                </c:pt>
                <c:pt idx="389">
                  <c:v>6.8075000000000223</c:v>
                </c:pt>
                <c:pt idx="390">
                  <c:v>6.8250000000000224</c:v>
                </c:pt>
                <c:pt idx="391">
                  <c:v>6.8425000000000225</c:v>
                </c:pt>
                <c:pt idx="392">
                  <c:v>6.8600000000000225</c:v>
                </c:pt>
                <c:pt idx="393">
                  <c:v>6.8775000000000226</c:v>
                </c:pt>
                <c:pt idx="394">
                  <c:v>6.8950000000000227</c:v>
                </c:pt>
                <c:pt idx="395">
                  <c:v>6.9125000000000227</c:v>
                </c:pt>
                <c:pt idx="396">
                  <c:v>6.9300000000000228</c:v>
                </c:pt>
                <c:pt idx="397">
                  <c:v>6.9475000000000229</c:v>
                </c:pt>
                <c:pt idx="398">
                  <c:v>6.965000000000023</c:v>
                </c:pt>
                <c:pt idx="399">
                  <c:v>6.982500000000023</c:v>
                </c:pt>
                <c:pt idx="400">
                  <c:v>7.0000000000000231</c:v>
                </c:pt>
              </c:numCache>
            </c:numRef>
          </c:xVal>
          <c:yVal>
            <c:numRef>
              <c:f>'xVA Calculations'!$R$30:$R$430</c:f>
              <c:numCache>
                <c:formatCode>General</c:formatCode>
                <c:ptCount val="40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  <c:pt idx="51">
                  <c:v>-1</c:v>
                </c:pt>
                <c:pt idx="52">
                  <c:v>-1</c:v>
                </c:pt>
                <c:pt idx="53">
                  <c:v>-1</c:v>
                </c:pt>
                <c:pt idx="54">
                  <c:v>-1</c:v>
                </c:pt>
                <c:pt idx="55">
                  <c:v>-1</c:v>
                </c:pt>
                <c:pt idx="56">
                  <c:v>-1</c:v>
                </c:pt>
                <c:pt idx="57">
                  <c:v>0</c:v>
                </c:pt>
                <c:pt idx="58">
                  <c:v>-1</c:v>
                </c:pt>
                <c:pt idx="59">
                  <c:v>-1</c:v>
                </c:pt>
                <c:pt idx="60">
                  <c:v>-1</c:v>
                </c:pt>
                <c:pt idx="61">
                  <c:v>-1</c:v>
                </c:pt>
                <c:pt idx="62">
                  <c:v>-1</c:v>
                </c:pt>
                <c:pt idx="63">
                  <c:v>-1</c:v>
                </c:pt>
                <c:pt idx="64">
                  <c:v>-1</c:v>
                </c:pt>
                <c:pt idx="65">
                  <c:v>-1</c:v>
                </c:pt>
                <c:pt idx="66">
                  <c:v>-1</c:v>
                </c:pt>
                <c:pt idx="67">
                  <c:v>-1</c:v>
                </c:pt>
                <c:pt idx="68">
                  <c:v>-1</c:v>
                </c:pt>
                <c:pt idx="69">
                  <c:v>-1</c:v>
                </c:pt>
                <c:pt idx="70">
                  <c:v>-1</c:v>
                </c:pt>
                <c:pt idx="71">
                  <c:v>-1</c:v>
                </c:pt>
                <c:pt idx="72">
                  <c:v>-1</c:v>
                </c:pt>
                <c:pt idx="73">
                  <c:v>-1</c:v>
                </c:pt>
                <c:pt idx="74">
                  <c:v>-1</c:v>
                </c:pt>
                <c:pt idx="75">
                  <c:v>-1</c:v>
                </c:pt>
                <c:pt idx="76">
                  <c:v>-1</c:v>
                </c:pt>
                <c:pt idx="77">
                  <c:v>-1</c:v>
                </c:pt>
                <c:pt idx="78">
                  <c:v>-1</c:v>
                </c:pt>
                <c:pt idx="79">
                  <c:v>-1</c:v>
                </c:pt>
                <c:pt idx="80">
                  <c:v>-1</c:v>
                </c:pt>
                <c:pt idx="81">
                  <c:v>-1</c:v>
                </c:pt>
                <c:pt idx="82">
                  <c:v>-1</c:v>
                </c:pt>
                <c:pt idx="83">
                  <c:v>-1</c:v>
                </c:pt>
                <c:pt idx="84">
                  <c:v>-1</c:v>
                </c:pt>
                <c:pt idx="85">
                  <c:v>-1</c:v>
                </c:pt>
                <c:pt idx="86">
                  <c:v>-1</c:v>
                </c:pt>
                <c:pt idx="87">
                  <c:v>-1</c:v>
                </c:pt>
                <c:pt idx="88">
                  <c:v>-1</c:v>
                </c:pt>
                <c:pt idx="89">
                  <c:v>-1</c:v>
                </c:pt>
                <c:pt idx="90">
                  <c:v>-1</c:v>
                </c:pt>
                <c:pt idx="91">
                  <c:v>-1</c:v>
                </c:pt>
                <c:pt idx="92">
                  <c:v>-1</c:v>
                </c:pt>
                <c:pt idx="93">
                  <c:v>-1</c:v>
                </c:pt>
                <c:pt idx="94">
                  <c:v>-1</c:v>
                </c:pt>
                <c:pt idx="95">
                  <c:v>-1</c:v>
                </c:pt>
                <c:pt idx="96">
                  <c:v>-1</c:v>
                </c:pt>
                <c:pt idx="97">
                  <c:v>-1</c:v>
                </c:pt>
                <c:pt idx="98">
                  <c:v>-1</c:v>
                </c:pt>
                <c:pt idx="99">
                  <c:v>-1</c:v>
                </c:pt>
                <c:pt idx="100">
                  <c:v>-1</c:v>
                </c:pt>
                <c:pt idx="101">
                  <c:v>-1</c:v>
                </c:pt>
                <c:pt idx="102">
                  <c:v>-1</c:v>
                </c:pt>
                <c:pt idx="103">
                  <c:v>-1</c:v>
                </c:pt>
                <c:pt idx="104">
                  <c:v>-1</c:v>
                </c:pt>
                <c:pt idx="105">
                  <c:v>-1</c:v>
                </c:pt>
                <c:pt idx="106">
                  <c:v>-1</c:v>
                </c:pt>
                <c:pt idx="107">
                  <c:v>-1</c:v>
                </c:pt>
                <c:pt idx="108">
                  <c:v>-1</c:v>
                </c:pt>
                <c:pt idx="109">
                  <c:v>-1</c:v>
                </c:pt>
                <c:pt idx="110">
                  <c:v>-1</c:v>
                </c:pt>
                <c:pt idx="111">
                  <c:v>-1</c:v>
                </c:pt>
                <c:pt idx="112">
                  <c:v>-1</c:v>
                </c:pt>
                <c:pt idx="113">
                  <c:v>-1</c:v>
                </c:pt>
                <c:pt idx="114">
                  <c:v>-1</c:v>
                </c:pt>
                <c:pt idx="115">
                  <c:v>-1</c:v>
                </c:pt>
                <c:pt idx="116">
                  <c:v>-1</c:v>
                </c:pt>
                <c:pt idx="117">
                  <c:v>-1</c:v>
                </c:pt>
                <c:pt idx="118">
                  <c:v>-1</c:v>
                </c:pt>
                <c:pt idx="119">
                  <c:v>-1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-1</c:v>
                </c:pt>
                <c:pt idx="124">
                  <c:v>-1</c:v>
                </c:pt>
                <c:pt idx="125">
                  <c:v>-1</c:v>
                </c:pt>
                <c:pt idx="126">
                  <c:v>-1</c:v>
                </c:pt>
                <c:pt idx="127">
                  <c:v>-1</c:v>
                </c:pt>
                <c:pt idx="128">
                  <c:v>-1</c:v>
                </c:pt>
                <c:pt idx="129">
                  <c:v>-1</c:v>
                </c:pt>
                <c:pt idx="130">
                  <c:v>-1</c:v>
                </c:pt>
                <c:pt idx="131">
                  <c:v>-1</c:v>
                </c:pt>
                <c:pt idx="132">
                  <c:v>-1</c:v>
                </c:pt>
                <c:pt idx="133">
                  <c:v>-1</c:v>
                </c:pt>
                <c:pt idx="134">
                  <c:v>-1</c:v>
                </c:pt>
                <c:pt idx="135">
                  <c:v>-1</c:v>
                </c:pt>
                <c:pt idx="136">
                  <c:v>-1</c:v>
                </c:pt>
                <c:pt idx="137">
                  <c:v>-1</c:v>
                </c:pt>
                <c:pt idx="138">
                  <c:v>-1</c:v>
                </c:pt>
                <c:pt idx="139">
                  <c:v>-1</c:v>
                </c:pt>
                <c:pt idx="140">
                  <c:v>-1</c:v>
                </c:pt>
                <c:pt idx="141">
                  <c:v>-1</c:v>
                </c:pt>
                <c:pt idx="142">
                  <c:v>-1</c:v>
                </c:pt>
                <c:pt idx="143">
                  <c:v>-1</c:v>
                </c:pt>
                <c:pt idx="144">
                  <c:v>-1</c:v>
                </c:pt>
                <c:pt idx="145">
                  <c:v>-1</c:v>
                </c:pt>
                <c:pt idx="146">
                  <c:v>-1</c:v>
                </c:pt>
                <c:pt idx="147">
                  <c:v>-1</c:v>
                </c:pt>
                <c:pt idx="148">
                  <c:v>-1</c:v>
                </c:pt>
                <c:pt idx="149">
                  <c:v>-1</c:v>
                </c:pt>
                <c:pt idx="150">
                  <c:v>-1</c:v>
                </c:pt>
                <c:pt idx="151">
                  <c:v>-1</c:v>
                </c:pt>
                <c:pt idx="152">
                  <c:v>-1</c:v>
                </c:pt>
                <c:pt idx="153">
                  <c:v>-1</c:v>
                </c:pt>
                <c:pt idx="154">
                  <c:v>-1</c:v>
                </c:pt>
                <c:pt idx="155">
                  <c:v>-1</c:v>
                </c:pt>
                <c:pt idx="156">
                  <c:v>-1</c:v>
                </c:pt>
                <c:pt idx="157">
                  <c:v>-1</c:v>
                </c:pt>
                <c:pt idx="158">
                  <c:v>-1</c:v>
                </c:pt>
                <c:pt idx="159">
                  <c:v>-1</c:v>
                </c:pt>
                <c:pt idx="160">
                  <c:v>-1</c:v>
                </c:pt>
                <c:pt idx="161">
                  <c:v>-1</c:v>
                </c:pt>
                <c:pt idx="162">
                  <c:v>-1</c:v>
                </c:pt>
                <c:pt idx="163">
                  <c:v>-1</c:v>
                </c:pt>
                <c:pt idx="164">
                  <c:v>-1</c:v>
                </c:pt>
                <c:pt idx="165">
                  <c:v>-1</c:v>
                </c:pt>
                <c:pt idx="166">
                  <c:v>-1</c:v>
                </c:pt>
                <c:pt idx="167">
                  <c:v>-1</c:v>
                </c:pt>
                <c:pt idx="168">
                  <c:v>-1</c:v>
                </c:pt>
                <c:pt idx="169">
                  <c:v>-1</c:v>
                </c:pt>
                <c:pt idx="170">
                  <c:v>-1</c:v>
                </c:pt>
                <c:pt idx="171">
                  <c:v>0</c:v>
                </c:pt>
                <c:pt idx="172">
                  <c:v>-1</c:v>
                </c:pt>
                <c:pt idx="173">
                  <c:v>-1</c:v>
                </c:pt>
                <c:pt idx="174">
                  <c:v>-1</c:v>
                </c:pt>
                <c:pt idx="175">
                  <c:v>-1</c:v>
                </c:pt>
                <c:pt idx="176">
                  <c:v>-1</c:v>
                </c:pt>
                <c:pt idx="177">
                  <c:v>-1</c:v>
                </c:pt>
                <c:pt idx="178">
                  <c:v>-1</c:v>
                </c:pt>
                <c:pt idx="179">
                  <c:v>-1</c:v>
                </c:pt>
                <c:pt idx="180">
                  <c:v>-1</c:v>
                </c:pt>
                <c:pt idx="181">
                  <c:v>-1</c:v>
                </c:pt>
                <c:pt idx="182">
                  <c:v>-1</c:v>
                </c:pt>
                <c:pt idx="183">
                  <c:v>-1</c:v>
                </c:pt>
                <c:pt idx="184">
                  <c:v>-1</c:v>
                </c:pt>
                <c:pt idx="185">
                  <c:v>-1</c:v>
                </c:pt>
                <c:pt idx="186">
                  <c:v>-1</c:v>
                </c:pt>
                <c:pt idx="187">
                  <c:v>-1</c:v>
                </c:pt>
                <c:pt idx="188">
                  <c:v>-1</c:v>
                </c:pt>
                <c:pt idx="189">
                  <c:v>-1</c:v>
                </c:pt>
                <c:pt idx="190">
                  <c:v>-1</c:v>
                </c:pt>
                <c:pt idx="191">
                  <c:v>-1</c:v>
                </c:pt>
                <c:pt idx="192">
                  <c:v>-1</c:v>
                </c:pt>
                <c:pt idx="193">
                  <c:v>-1</c:v>
                </c:pt>
                <c:pt idx="194">
                  <c:v>-1</c:v>
                </c:pt>
                <c:pt idx="195">
                  <c:v>-1</c:v>
                </c:pt>
                <c:pt idx="196">
                  <c:v>-1</c:v>
                </c:pt>
                <c:pt idx="197">
                  <c:v>-1</c:v>
                </c:pt>
                <c:pt idx="198">
                  <c:v>-1</c:v>
                </c:pt>
                <c:pt idx="199">
                  <c:v>-1</c:v>
                </c:pt>
                <c:pt idx="200">
                  <c:v>-1</c:v>
                </c:pt>
                <c:pt idx="201">
                  <c:v>-1</c:v>
                </c:pt>
                <c:pt idx="202">
                  <c:v>-1</c:v>
                </c:pt>
                <c:pt idx="203">
                  <c:v>-1</c:v>
                </c:pt>
                <c:pt idx="204">
                  <c:v>-1</c:v>
                </c:pt>
                <c:pt idx="205">
                  <c:v>-1</c:v>
                </c:pt>
                <c:pt idx="206">
                  <c:v>-1</c:v>
                </c:pt>
                <c:pt idx="207">
                  <c:v>-1</c:v>
                </c:pt>
                <c:pt idx="208">
                  <c:v>-1</c:v>
                </c:pt>
                <c:pt idx="209">
                  <c:v>-1</c:v>
                </c:pt>
                <c:pt idx="210">
                  <c:v>-1</c:v>
                </c:pt>
                <c:pt idx="211">
                  <c:v>-1</c:v>
                </c:pt>
                <c:pt idx="212">
                  <c:v>-1</c:v>
                </c:pt>
                <c:pt idx="213">
                  <c:v>-1</c:v>
                </c:pt>
                <c:pt idx="214">
                  <c:v>-1</c:v>
                </c:pt>
                <c:pt idx="215">
                  <c:v>-1</c:v>
                </c:pt>
                <c:pt idx="216">
                  <c:v>-1</c:v>
                </c:pt>
                <c:pt idx="217">
                  <c:v>-1</c:v>
                </c:pt>
                <c:pt idx="218">
                  <c:v>-1</c:v>
                </c:pt>
                <c:pt idx="219">
                  <c:v>-1</c:v>
                </c:pt>
                <c:pt idx="220">
                  <c:v>-1</c:v>
                </c:pt>
                <c:pt idx="221">
                  <c:v>-1</c:v>
                </c:pt>
                <c:pt idx="222">
                  <c:v>-1</c:v>
                </c:pt>
                <c:pt idx="223">
                  <c:v>-1</c:v>
                </c:pt>
                <c:pt idx="224">
                  <c:v>-1</c:v>
                </c:pt>
                <c:pt idx="225">
                  <c:v>-1</c:v>
                </c:pt>
                <c:pt idx="226">
                  <c:v>-1</c:v>
                </c:pt>
                <c:pt idx="227">
                  <c:v>-1</c:v>
                </c:pt>
                <c:pt idx="228">
                  <c:v>-1</c:v>
                </c:pt>
                <c:pt idx="229">
                  <c:v>-1</c:v>
                </c:pt>
                <c:pt idx="230">
                  <c:v>-1</c:v>
                </c:pt>
                <c:pt idx="231">
                  <c:v>-1</c:v>
                </c:pt>
                <c:pt idx="232">
                  <c:v>-1</c:v>
                </c:pt>
                <c:pt idx="233">
                  <c:v>-1</c:v>
                </c:pt>
                <c:pt idx="234">
                  <c:v>-1</c:v>
                </c:pt>
                <c:pt idx="235">
                  <c:v>-1</c:v>
                </c:pt>
                <c:pt idx="236">
                  <c:v>-1</c:v>
                </c:pt>
                <c:pt idx="237">
                  <c:v>-1</c:v>
                </c:pt>
                <c:pt idx="238">
                  <c:v>-1</c:v>
                </c:pt>
                <c:pt idx="239">
                  <c:v>-1</c:v>
                </c:pt>
                <c:pt idx="240">
                  <c:v>-1</c:v>
                </c:pt>
                <c:pt idx="241">
                  <c:v>-1</c:v>
                </c:pt>
                <c:pt idx="242">
                  <c:v>-1</c:v>
                </c:pt>
                <c:pt idx="243">
                  <c:v>-1</c:v>
                </c:pt>
                <c:pt idx="244">
                  <c:v>-1</c:v>
                </c:pt>
                <c:pt idx="245">
                  <c:v>-1</c:v>
                </c:pt>
                <c:pt idx="246">
                  <c:v>-1</c:v>
                </c:pt>
                <c:pt idx="247">
                  <c:v>-1</c:v>
                </c:pt>
                <c:pt idx="248">
                  <c:v>-1</c:v>
                </c:pt>
                <c:pt idx="249">
                  <c:v>-1</c:v>
                </c:pt>
                <c:pt idx="250">
                  <c:v>-1</c:v>
                </c:pt>
                <c:pt idx="251">
                  <c:v>-1</c:v>
                </c:pt>
                <c:pt idx="252">
                  <c:v>-1</c:v>
                </c:pt>
                <c:pt idx="253">
                  <c:v>-1</c:v>
                </c:pt>
                <c:pt idx="254">
                  <c:v>-1</c:v>
                </c:pt>
                <c:pt idx="255">
                  <c:v>-1</c:v>
                </c:pt>
                <c:pt idx="256">
                  <c:v>-1</c:v>
                </c:pt>
                <c:pt idx="257">
                  <c:v>-1</c:v>
                </c:pt>
                <c:pt idx="258">
                  <c:v>-1</c:v>
                </c:pt>
                <c:pt idx="259">
                  <c:v>-1</c:v>
                </c:pt>
                <c:pt idx="260">
                  <c:v>-1</c:v>
                </c:pt>
                <c:pt idx="261">
                  <c:v>-1</c:v>
                </c:pt>
                <c:pt idx="262">
                  <c:v>-1</c:v>
                </c:pt>
                <c:pt idx="263">
                  <c:v>-1</c:v>
                </c:pt>
                <c:pt idx="264">
                  <c:v>-1</c:v>
                </c:pt>
                <c:pt idx="265">
                  <c:v>-1</c:v>
                </c:pt>
                <c:pt idx="266">
                  <c:v>-1</c:v>
                </c:pt>
                <c:pt idx="267">
                  <c:v>-1</c:v>
                </c:pt>
                <c:pt idx="268">
                  <c:v>-1</c:v>
                </c:pt>
                <c:pt idx="269">
                  <c:v>-1</c:v>
                </c:pt>
                <c:pt idx="270">
                  <c:v>-1</c:v>
                </c:pt>
                <c:pt idx="271">
                  <c:v>-1</c:v>
                </c:pt>
                <c:pt idx="272">
                  <c:v>-1</c:v>
                </c:pt>
                <c:pt idx="273">
                  <c:v>-1</c:v>
                </c:pt>
                <c:pt idx="274">
                  <c:v>-1</c:v>
                </c:pt>
                <c:pt idx="275">
                  <c:v>-1</c:v>
                </c:pt>
                <c:pt idx="276">
                  <c:v>-1</c:v>
                </c:pt>
                <c:pt idx="277">
                  <c:v>-1</c:v>
                </c:pt>
                <c:pt idx="278">
                  <c:v>-1</c:v>
                </c:pt>
                <c:pt idx="279">
                  <c:v>-1</c:v>
                </c:pt>
                <c:pt idx="280">
                  <c:v>-1</c:v>
                </c:pt>
                <c:pt idx="281">
                  <c:v>-1</c:v>
                </c:pt>
                <c:pt idx="282">
                  <c:v>-1</c:v>
                </c:pt>
                <c:pt idx="283">
                  <c:v>-1</c:v>
                </c:pt>
                <c:pt idx="284">
                  <c:v>-1</c:v>
                </c:pt>
                <c:pt idx="285">
                  <c:v>0</c:v>
                </c:pt>
                <c:pt idx="286">
                  <c:v>-1</c:v>
                </c:pt>
                <c:pt idx="287">
                  <c:v>-1</c:v>
                </c:pt>
                <c:pt idx="288">
                  <c:v>-1</c:v>
                </c:pt>
                <c:pt idx="289">
                  <c:v>-1</c:v>
                </c:pt>
                <c:pt idx="290">
                  <c:v>-1</c:v>
                </c:pt>
                <c:pt idx="291">
                  <c:v>-1</c:v>
                </c:pt>
                <c:pt idx="292">
                  <c:v>-1</c:v>
                </c:pt>
                <c:pt idx="293">
                  <c:v>-1</c:v>
                </c:pt>
                <c:pt idx="294">
                  <c:v>-1</c:v>
                </c:pt>
                <c:pt idx="295">
                  <c:v>-1</c:v>
                </c:pt>
                <c:pt idx="296">
                  <c:v>-1</c:v>
                </c:pt>
                <c:pt idx="297">
                  <c:v>-1</c:v>
                </c:pt>
                <c:pt idx="298">
                  <c:v>-1</c:v>
                </c:pt>
                <c:pt idx="299">
                  <c:v>-1</c:v>
                </c:pt>
                <c:pt idx="300">
                  <c:v>-1</c:v>
                </c:pt>
                <c:pt idx="301">
                  <c:v>-1</c:v>
                </c:pt>
                <c:pt idx="302">
                  <c:v>-1</c:v>
                </c:pt>
                <c:pt idx="303">
                  <c:v>-1</c:v>
                </c:pt>
                <c:pt idx="304">
                  <c:v>-1</c:v>
                </c:pt>
                <c:pt idx="305">
                  <c:v>-1</c:v>
                </c:pt>
                <c:pt idx="306">
                  <c:v>-1</c:v>
                </c:pt>
                <c:pt idx="307">
                  <c:v>-1</c:v>
                </c:pt>
                <c:pt idx="308">
                  <c:v>-1</c:v>
                </c:pt>
                <c:pt idx="309">
                  <c:v>-1</c:v>
                </c:pt>
                <c:pt idx="310">
                  <c:v>-1</c:v>
                </c:pt>
                <c:pt idx="311">
                  <c:v>-1</c:v>
                </c:pt>
                <c:pt idx="312">
                  <c:v>-1</c:v>
                </c:pt>
                <c:pt idx="313">
                  <c:v>-1</c:v>
                </c:pt>
                <c:pt idx="314">
                  <c:v>-1</c:v>
                </c:pt>
                <c:pt idx="315">
                  <c:v>-1</c:v>
                </c:pt>
                <c:pt idx="316">
                  <c:v>-1</c:v>
                </c:pt>
                <c:pt idx="317">
                  <c:v>-1</c:v>
                </c:pt>
                <c:pt idx="318">
                  <c:v>-1</c:v>
                </c:pt>
                <c:pt idx="319">
                  <c:v>-1</c:v>
                </c:pt>
                <c:pt idx="320">
                  <c:v>-1</c:v>
                </c:pt>
                <c:pt idx="321">
                  <c:v>-1</c:v>
                </c:pt>
                <c:pt idx="322">
                  <c:v>-1</c:v>
                </c:pt>
                <c:pt idx="323">
                  <c:v>-1</c:v>
                </c:pt>
                <c:pt idx="324">
                  <c:v>-1</c:v>
                </c:pt>
                <c:pt idx="325">
                  <c:v>-1</c:v>
                </c:pt>
                <c:pt idx="326">
                  <c:v>-1</c:v>
                </c:pt>
                <c:pt idx="327">
                  <c:v>-1</c:v>
                </c:pt>
                <c:pt idx="328">
                  <c:v>-1</c:v>
                </c:pt>
                <c:pt idx="329">
                  <c:v>-1</c:v>
                </c:pt>
                <c:pt idx="330">
                  <c:v>-1</c:v>
                </c:pt>
                <c:pt idx="331">
                  <c:v>-1</c:v>
                </c:pt>
                <c:pt idx="332">
                  <c:v>-1</c:v>
                </c:pt>
                <c:pt idx="333">
                  <c:v>-1</c:v>
                </c:pt>
                <c:pt idx="334">
                  <c:v>-1</c:v>
                </c:pt>
                <c:pt idx="335">
                  <c:v>-1</c:v>
                </c:pt>
                <c:pt idx="336">
                  <c:v>-1</c:v>
                </c:pt>
                <c:pt idx="337">
                  <c:v>-1</c:v>
                </c:pt>
                <c:pt idx="338">
                  <c:v>-1</c:v>
                </c:pt>
                <c:pt idx="339">
                  <c:v>-1</c:v>
                </c:pt>
                <c:pt idx="340">
                  <c:v>-1</c:v>
                </c:pt>
                <c:pt idx="341">
                  <c:v>-1</c:v>
                </c:pt>
                <c:pt idx="342">
                  <c:v>-1</c:v>
                </c:pt>
                <c:pt idx="343">
                  <c:v>-1</c:v>
                </c:pt>
                <c:pt idx="344">
                  <c:v>-1</c:v>
                </c:pt>
                <c:pt idx="345">
                  <c:v>-1</c:v>
                </c:pt>
                <c:pt idx="346">
                  <c:v>-1</c:v>
                </c:pt>
                <c:pt idx="347">
                  <c:v>-1</c:v>
                </c:pt>
                <c:pt idx="348">
                  <c:v>-1</c:v>
                </c:pt>
                <c:pt idx="349">
                  <c:v>-1</c:v>
                </c:pt>
                <c:pt idx="350">
                  <c:v>-1</c:v>
                </c:pt>
                <c:pt idx="351">
                  <c:v>-1</c:v>
                </c:pt>
                <c:pt idx="352">
                  <c:v>-1</c:v>
                </c:pt>
                <c:pt idx="353">
                  <c:v>-1</c:v>
                </c:pt>
                <c:pt idx="354">
                  <c:v>-1</c:v>
                </c:pt>
                <c:pt idx="355">
                  <c:v>-1</c:v>
                </c:pt>
                <c:pt idx="356">
                  <c:v>-1</c:v>
                </c:pt>
                <c:pt idx="357">
                  <c:v>-1</c:v>
                </c:pt>
                <c:pt idx="358">
                  <c:v>-1</c:v>
                </c:pt>
                <c:pt idx="359">
                  <c:v>-1</c:v>
                </c:pt>
                <c:pt idx="360">
                  <c:v>-1</c:v>
                </c:pt>
                <c:pt idx="361">
                  <c:v>-1</c:v>
                </c:pt>
                <c:pt idx="362">
                  <c:v>-1</c:v>
                </c:pt>
                <c:pt idx="363">
                  <c:v>-1</c:v>
                </c:pt>
                <c:pt idx="364">
                  <c:v>-1</c:v>
                </c:pt>
                <c:pt idx="365">
                  <c:v>-1</c:v>
                </c:pt>
                <c:pt idx="366">
                  <c:v>-1</c:v>
                </c:pt>
                <c:pt idx="367">
                  <c:v>-1</c:v>
                </c:pt>
                <c:pt idx="368">
                  <c:v>-1</c:v>
                </c:pt>
                <c:pt idx="369">
                  <c:v>-1</c:v>
                </c:pt>
                <c:pt idx="370">
                  <c:v>-1</c:v>
                </c:pt>
                <c:pt idx="371">
                  <c:v>-1</c:v>
                </c:pt>
                <c:pt idx="372">
                  <c:v>-1</c:v>
                </c:pt>
                <c:pt idx="373">
                  <c:v>-1</c:v>
                </c:pt>
                <c:pt idx="374">
                  <c:v>-1</c:v>
                </c:pt>
                <c:pt idx="375">
                  <c:v>-1</c:v>
                </c:pt>
                <c:pt idx="376">
                  <c:v>-1</c:v>
                </c:pt>
                <c:pt idx="377">
                  <c:v>-1</c:v>
                </c:pt>
                <c:pt idx="378">
                  <c:v>-1</c:v>
                </c:pt>
                <c:pt idx="379">
                  <c:v>-1</c:v>
                </c:pt>
                <c:pt idx="380">
                  <c:v>-1</c:v>
                </c:pt>
                <c:pt idx="381">
                  <c:v>-1</c:v>
                </c:pt>
                <c:pt idx="382">
                  <c:v>-1</c:v>
                </c:pt>
                <c:pt idx="383">
                  <c:v>-1</c:v>
                </c:pt>
                <c:pt idx="384">
                  <c:v>-1</c:v>
                </c:pt>
                <c:pt idx="385">
                  <c:v>-1</c:v>
                </c:pt>
                <c:pt idx="386">
                  <c:v>-1</c:v>
                </c:pt>
                <c:pt idx="387">
                  <c:v>-1</c:v>
                </c:pt>
                <c:pt idx="388">
                  <c:v>-1</c:v>
                </c:pt>
                <c:pt idx="389">
                  <c:v>-1</c:v>
                </c:pt>
                <c:pt idx="390">
                  <c:v>-1</c:v>
                </c:pt>
                <c:pt idx="391">
                  <c:v>-1</c:v>
                </c:pt>
                <c:pt idx="392">
                  <c:v>-1</c:v>
                </c:pt>
                <c:pt idx="393">
                  <c:v>-1</c:v>
                </c:pt>
                <c:pt idx="394">
                  <c:v>-1</c:v>
                </c:pt>
                <c:pt idx="395">
                  <c:v>-1</c:v>
                </c:pt>
                <c:pt idx="396">
                  <c:v>-1</c:v>
                </c:pt>
                <c:pt idx="397">
                  <c:v>-1</c:v>
                </c:pt>
                <c:pt idx="398">
                  <c:v>-1</c:v>
                </c:pt>
                <c:pt idx="399">
                  <c:v>-1</c:v>
                </c:pt>
                <c:pt idx="40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'xVA Calculations'!$S$29</c:f>
              <c:strCache>
                <c:ptCount val="1"/>
                <c:pt idx="0">
                  <c:v>Funding curve</c:v>
                </c:pt>
              </c:strCache>
            </c:strRef>
          </c:tx>
          <c:spPr>
            <a:ln w="2222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'xVA Calculations'!$N$30:$N$430</c:f>
              <c:numCache>
                <c:formatCode>0.00</c:formatCode>
                <c:ptCount val="401"/>
                <c:pt idx="0">
                  <c:v>8.7500000000000008E-3</c:v>
                </c:pt>
                <c:pt idx="1">
                  <c:v>1.7500000000000002E-2</c:v>
                </c:pt>
                <c:pt idx="2">
                  <c:v>3.5000000000000003E-2</c:v>
                </c:pt>
                <c:pt idx="3">
                  <c:v>5.2500000000000005E-2</c:v>
                </c:pt>
                <c:pt idx="4">
                  <c:v>7.0000000000000007E-2</c:v>
                </c:pt>
                <c:pt idx="5">
                  <c:v>8.7500000000000008E-2</c:v>
                </c:pt>
                <c:pt idx="6">
                  <c:v>0.10500000000000001</c:v>
                </c:pt>
                <c:pt idx="7">
                  <c:v>0.12250000000000001</c:v>
                </c:pt>
                <c:pt idx="8">
                  <c:v>0.14000000000000001</c:v>
                </c:pt>
                <c:pt idx="9">
                  <c:v>0.15750000000000003</c:v>
                </c:pt>
                <c:pt idx="10">
                  <c:v>0.17500000000000004</c:v>
                </c:pt>
                <c:pt idx="11">
                  <c:v>0.19250000000000006</c:v>
                </c:pt>
                <c:pt idx="12">
                  <c:v>0.21000000000000008</c:v>
                </c:pt>
                <c:pt idx="13">
                  <c:v>0.22750000000000009</c:v>
                </c:pt>
                <c:pt idx="14">
                  <c:v>0.24500000000000011</c:v>
                </c:pt>
                <c:pt idx="15">
                  <c:v>0.26250000000000012</c:v>
                </c:pt>
                <c:pt idx="16">
                  <c:v>0.28000000000000014</c:v>
                </c:pt>
                <c:pt idx="17">
                  <c:v>0.29750000000000015</c:v>
                </c:pt>
                <c:pt idx="18">
                  <c:v>0.31500000000000017</c:v>
                </c:pt>
                <c:pt idx="19">
                  <c:v>0.33250000000000018</c:v>
                </c:pt>
                <c:pt idx="20">
                  <c:v>0.3500000000000002</c:v>
                </c:pt>
                <c:pt idx="21">
                  <c:v>0.36750000000000022</c:v>
                </c:pt>
                <c:pt idx="22">
                  <c:v>0.38500000000000023</c:v>
                </c:pt>
                <c:pt idx="23">
                  <c:v>0.40250000000000025</c:v>
                </c:pt>
                <c:pt idx="24">
                  <c:v>0.42000000000000026</c:v>
                </c:pt>
                <c:pt idx="25">
                  <c:v>0.43750000000000028</c:v>
                </c:pt>
                <c:pt idx="26">
                  <c:v>0.45500000000000029</c:v>
                </c:pt>
                <c:pt idx="27">
                  <c:v>0.47250000000000031</c:v>
                </c:pt>
                <c:pt idx="28">
                  <c:v>0.49000000000000032</c:v>
                </c:pt>
                <c:pt idx="29">
                  <c:v>0.50750000000000028</c:v>
                </c:pt>
                <c:pt idx="30">
                  <c:v>0.52500000000000024</c:v>
                </c:pt>
                <c:pt idx="31">
                  <c:v>0.5425000000000002</c:v>
                </c:pt>
                <c:pt idx="32">
                  <c:v>0.56000000000000016</c:v>
                </c:pt>
                <c:pt idx="33">
                  <c:v>0.57750000000000012</c:v>
                </c:pt>
                <c:pt idx="34">
                  <c:v>0.59500000000000008</c:v>
                </c:pt>
                <c:pt idx="35">
                  <c:v>0.61250000000000004</c:v>
                </c:pt>
                <c:pt idx="36">
                  <c:v>0.63</c:v>
                </c:pt>
                <c:pt idx="37">
                  <c:v>0.64749999999999996</c:v>
                </c:pt>
                <c:pt idx="38">
                  <c:v>0.66499999999999992</c:v>
                </c:pt>
                <c:pt idx="39">
                  <c:v>0.68249999999999988</c:v>
                </c:pt>
                <c:pt idx="40">
                  <c:v>0.69999999999999984</c:v>
                </c:pt>
                <c:pt idx="41">
                  <c:v>0.7174999999999998</c:v>
                </c:pt>
                <c:pt idx="42">
                  <c:v>0.73499999999999976</c:v>
                </c:pt>
                <c:pt idx="43">
                  <c:v>0.75249999999999972</c:v>
                </c:pt>
                <c:pt idx="44">
                  <c:v>0.76999999999999968</c:v>
                </c:pt>
                <c:pt idx="45">
                  <c:v>0.78749999999999964</c:v>
                </c:pt>
                <c:pt idx="46">
                  <c:v>0.8049999999999996</c:v>
                </c:pt>
                <c:pt idx="47">
                  <c:v>0.82249999999999956</c:v>
                </c:pt>
                <c:pt idx="48">
                  <c:v>0.83999999999999952</c:v>
                </c:pt>
                <c:pt idx="49">
                  <c:v>0.85749999999999948</c:v>
                </c:pt>
                <c:pt idx="50">
                  <c:v>0.87499999999999944</c:v>
                </c:pt>
                <c:pt idx="51">
                  <c:v>0.8924999999999994</c:v>
                </c:pt>
                <c:pt idx="52">
                  <c:v>0.90999999999999936</c:v>
                </c:pt>
                <c:pt idx="53">
                  <c:v>0.92749999999999932</c:v>
                </c:pt>
                <c:pt idx="54">
                  <c:v>0.94499999999999929</c:v>
                </c:pt>
                <c:pt idx="55">
                  <c:v>0.96249999999999925</c:v>
                </c:pt>
                <c:pt idx="56">
                  <c:v>0.97999999999999921</c:v>
                </c:pt>
                <c:pt idx="57">
                  <c:v>0.99749999999999917</c:v>
                </c:pt>
                <c:pt idx="58">
                  <c:v>1.0149999999999992</c:v>
                </c:pt>
                <c:pt idx="59">
                  <c:v>1.0324999999999993</c:v>
                </c:pt>
                <c:pt idx="60">
                  <c:v>1.0499999999999994</c:v>
                </c:pt>
                <c:pt idx="61">
                  <c:v>1.0674999999999994</c:v>
                </c:pt>
                <c:pt idx="62">
                  <c:v>1.0849999999999995</c:v>
                </c:pt>
                <c:pt idx="63">
                  <c:v>1.1024999999999996</c:v>
                </c:pt>
                <c:pt idx="64">
                  <c:v>1.1199999999999997</c:v>
                </c:pt>
                <c:pt idx="65">
                  <c:v>1.1374999999999997</c:v>
                </c:pt>
                <c:pt idx="66">
                  <c:v>1.1549999999999998</c:v>
                </c:pt>
                <c:pt idx="67">
                  <c:v>1.1724999999999999</c:v>
                </c:pt>
                <c:pt idx="68">
                  <c:v>1.19</c:v>
                </c:pt>
                <c:pt idx="69">
                  <c:v>1.2075</c:v>
                </c:pt>
                <c:pt idx="70">
                  <c:v>1.2250000000000001</c:v>
                </c:pt>
                <c:pt idx="71">
                  <c:v>1.2425000000000002</c:v>
                </c:pt>
                <c:pt idx="72">
                  <c:v>1.2600000000000002</c:v>
                </c:pt>
                <c:pt idx="73">
                  <c:v>1.2775000000000003</c:v>
                </c:pt>
                <c:pt idx="74">
                  <c:v>1.2950000000000004</c:v>
                </c:pt>
                <c:pt idx="75">
                  <c:v>1.3125000000000004</c:v>
                </c:pt>
                <c:pt idx="76">
                  <c:v>1.3300000000000005</c:v>
                </c:pt>
                <c:pt idx="77">
                  <c:v>1.3475000000000006</c:v>
                </c:pt>
                <c:pt idx="78">
                  <c:v>1.3650000000000007</c:v>
                </c:pt>
                <c:pt idx="79">
                  <c:v>1.3825000000000007</c:v>
                </c:pt>
                <c:pt idx="80">
                  <c:v>1.4000000000000008</c:v>
                </c:pt>
                <c:pt idx="81">
                  <c:v>1.4175000000000009</c:v>
                </c:pt>
                <c:pt idx="82">
                  <c:v>1.4350000000000009</c:v>
                </c:pt>
                <c:pt idx="83">
                  <c:v>1.452500000000001</c:v>
                </c:pt>
                <c:pt idx="84">
                  <c:v>1.4700000000000011</c:v>
                </c:pt>
                <c:pt idx="85">
                  <c:v>1.4875000000000012</c:v>
                </c:pt>
                <c:pt idx="86">
                  <c:v>1.5050000000000012</c:v>
                </c:pt>
                <c:pt idx="87">
                  <c:v>1.5225000000000013</c:v>
                </c:pt>
                <c:pt idx="88">
                  <c:v>1.5400000000000014</c:v>
                </c:pt>
                <c:pt idx="89">
                  <c:v>1.5575000000000014</c:v>
                </c:pt>
                <c:pt idx="90">
                  <c:v>1.5750000000000015</c:v>
                </c:pt>
                <c:pt idx="91">
                  <c:v>1.5925000000000016</c:v>
                </c:pt>
                <c:pt idx="92">
                  <c:v>1.6100000000000017</c:v>
                </c:pt>
                <c:pt idx="93">
                  <c:v>1.6275000000000017</c:v>
                </c:pt>
                <c:pt idx="94">
                  <c:v>1.6450000000000018</c:v>
                </c:pt>
                <c:pt idx="95">
                  <c:v>1.6625000000000019</c:v>
                </c:pt>
                <c:pt idx="96">
                  <c:v>1.6800000000000019</c:v>
                </c:pt>
                <c:pt idx="97">
                  <c:v>1.697500000000002</c:v>
                </c:pt>
                <c:pt idx="98">
                  <c:v>1.7150000000000021</c:v>
                </c:pt>
                <c:pt idx="99">
                  <c:v>1.7325000000000021</c:v>
                </c:pt>
                <c:pt idx="100">
                  <c:v>1.7500000000000022</c:v>
                </c:pt>
                <c:pt idx="101">
                  <c:v>1.7675000000000023</c:v>
                </c:pt>
                <c:pt idx="102">
                  <c:v>1.7850000000000024</c:v>
                </c:pt>
                <c:pt idx="103">
                  <c:v>1.8025000000000024</c:v>
                </c:pt>
                <c:pt idx="104">
                  <c:v>1.8200000000000025</c:v>
                </c:pt>
                <c:pt idx="105">
                  <c:v>1.8375000000000026</c:v>
                </c:pt>
                <c:pt idx="106">
                  <c:v>1.8550000000000026</c:v>
                </c:pt>
                <c:pt idx="107">
                  <c:v>1.8725000000000027</c:v>
                </c:pt>
                <c:pt idx="108">
                  <c:v>1.8900000000000028</c:v>
                </c:pt>
                <c:pt idx="109">
                  <c:v>1.9075000000000029</c:v>
                </c:pt>
                <c:pt idx="110">
                  <c:v>1.9250000000000029</c:v>
                </c:pt>
                <c:pt idx="111">
                  <c:v>1.942500000000003</c:v>
                </c:pt>
                <c:pt idx="112">
                  <c:v>1.9600000000000031</c:v>
                </c:pt>
                <c:pt idx="113">
                  <c:v>1.9775000000000031</c:v>
                </c:pt>
                <c:pt idx="114">
                  <c:v>1.9950000000000032</c:v>
                </c:pt>
                <c:pt idx="115">
                  <c:v>2.0125000000000033</c:v>
                </c:pt>
                <c:pt idx="116">
                  <c:v>2.0300000000000034</c:v>
                </c:pt>
                <c:pt idx="117">
                  <c:v>2.0475000000000034</c:v>
                </c:pt>
                <c:pt idx="118">
                  <c:v>2.0650000000000035</c:v>
                </c:pt>
                <c:pt idx="119">
                  <c:v>2.0825000000000036</c:v>
                </c:pt>
                <c:pt idx="120">
                  <c:v>2.1000000000000036</c:v>
                </c:pt>
                <c:pt idx="121">
                  <c:v>2.1175000000000037</c:v>
                </c:pt>
                <c:pt idx="122">
                  <c:v>2.1350000000000038</c:v>
                </c:pt>
                <c:pt idx="123">
                  <c:v>2.1525000000000039</c:v>
                </c:pt>
                <c:pt idx="124">
                  <c:v>2.1700000000000039</c:v>
                </c:pt>
                <c:pt idx="125">
                  <c:v>2.187500000000004</c:v>
                </c:pt>
                <c:pt idx="126">
                  <c:v>2.2050000000000041</c:v>
                </c:pt>
                <c:pt idx="127">
                  <c:v>2.2225000000000041</c:v>
                </c:pt>
                <c:pt idx="128">
                  <c:v>2.2400000000000042</c:v>
                </c:pt>
                <c:pt idx="129">
                  <c:v>2.2575000000000043</c:v>
                </c:pt>
                <c:pt idx="130">
                  <c:v>2.2750000000000044</c:v>
                </c:pt>
                <c:pt idx="131">
                  <c:v>2.2925000000000044</c:v>
                </c:pt>
                <c:pt idx="132">
                  <c:v>2.3100000000000045</c:v>
                </c:pt>
                <c:pt idx="133">
                  <c:v>2.3275000000000046</c:v>
                </c:pt>
                <c:pt idx="134">
                  <c:v>2.3450000000000046</c:v>
                </c:pt>
                <c:pt idx="135">
                  <c:v>2.3625000000000047</c:v>
                </c:pt>
                <c:pt idx="136">
                  <c:v>2.3800000000000048</c:v>
                </c:pt>
                <c:pt idx="137">
                  <c:v>2.3975000000000048</c:v>
                </c:pt>
                <c:pt idx="138">
                  <c:v>2.4150000000000049</c:v>
                </c:pt>
                <c:pt idx="139">
                  <c:v>2.432500000000005</c:v>
                </c:pt>
                <c:pt idx="140">
                  <c:v>2.4500000000000051</c:v>
                </c:pt>
                <c:pt idx="141">
                  <c:v>2.4675000000000051</c:v>
                </c:pt>
                <c:pt idx="142">
                  <c:v>2.4850000000000052</c:v>
                </c:pt>
                <c:pt idx="143">
                  <c:v>2.5025000000000053</c:v>
                </c:pt>
                <c:pt idx="144">
                  <c:v>2.5200000000000053</c:v>
                </c:pt>
                <c:pt idx="145">
                  <c:v>2.5375000000000054</c:v>
                </c:pt>
                <c:pt idx="146">
                  <c:v>2.5550000000000055</c:v>
                </c:pt>
                <c:pt idx="147">
                  <c:v>2.5725000000000056</c:v>
                </c:pt>
                <c:pt idx="148">
                  <c:v>2.5900000000000056</c:v>
                </c:pt>
                <c:pt idx="149">
                  <c:v>2.6075000000000057</c:v>
                </c:pt>
                <c:pt idx="150">
                  <c:v>2.6250000000000058</c:v>
                </c:pt>
                <c:pt idx="151">
                  <c:v>2.6425000000000058</c:v>
                </c:pt>
                <c:pt idx="152">
                  <c:v>2.6600000000000059</c:v>
                </c:pt>
                <c:pt idx="153">
                  <c:v>2.677500000000006</c:v>
                </c:pt>
                <c:pt idx="154">
                  <c:v>2.6950000000000061</c:v>
                </c:pt>
                <c:pt idx="155">
                  <c:v>2.7125000000000061</c:v>
                </c:pt>
                <c:pt idx="156">
                  <c:v>2.7300000000000062</c:v>
                </c:pt>
                <c:pt idx="157">
                  <c:v>2.7475000000000063</c:v>
                </c:pt>
                <c:pt idx="158">
                  <c:v>2.7650000000000063</c:v>
                </c:pt>
                <c:pt idx="159">
                  <c:v>2.7825000000000064</c:v>
                </c:pt>
                <c:pt idx="160">
                  <c:v>2.8000000000000065</c:v>
                </c:pt>
                <c:pt idx="161">
                  <c:v>2.8175000000000066</c:v>
                </c:pt>
                <c:pt idx="162">
                  <c:v>2.8350000000000066</c:v>
                </c:pt>
                <c:pt idx="163">
                  <c:v>2.8525000000000067</c:v>
                </c:pt>
                <c:pt idx="164">
                  <c:v>2.8700000000000068</c:v>
                </c:pt>
                <c:pt idx="165">
                  <c:v>2.8875000000000068</c:v>
                </c:pt>
                <c:pt idx="166">
                  <c:v>2.9050000000000069</c:v>
                </c:pt>
                <c:pt idx="167">
                  <c:v>2.922500000000007</c:v>
                </c:pt>
                <c:pt idx="168">
                  <c:v>2.9400000000000071</c:v>
                </c:pt>
                <c:pt idx="169">
                  <c:v>2.9575000000000071</c:v>
                </c:pt>
                <c:pt idx="170">
                  <c:v>2.9750000000000072</c:v>
                </c:pt>
                <c:pt idx="171">
                  <c:v>2.9925000000000073</c:v>
                </c:pt>
                <c:pt idx="172">
                  <c:v>3.0100000000000073</c:v>
                </c:pt>
                <c:pt idx="173">
                  <c:v>3.0275000000000074</c:v>
                </c:pt>
                <c:pt idx="174">
                  <c:v>3.0450000000000075</c:v>
                </c:pt>
                <c:pt idx="175">
                  <c:v>3.0625000000000075</c:v>
                </c:pt>
                <c:pt idx="176">
                  <c:v>3.0800000000000076</c:v>
                </c:pt>
                <c:pt idx="177">
                  <c:v>3.0975000000000077</c:v>
                </c:pt>
                <c:pt idx="178">
                  <c:v>3.1150000000000078</c:v>
                </c:pt>
                <c:pt idx="179">
                  <c:v>3.1325000000000078</c:v>
                </c:pt>
                <c:pt idx="180">
                  <c:v>3.1500000000000079</c:v>
                </c:pt>
                <c:pt idx="181">
                  <c:v>3.167500000000008</c:v>
                </c:pt>
                <c:pt idx="182">
                  <c:v>3.185000000000008</c:v>
                </c:pt>
                <c:pt idx="183">
                  <c:v>3.2025000000000081</c:v>
                </c:pt>
                <c:pt idx="184">
                  <c:v>3.2200000000000082</c:v>
                </c:pt>
                <c:pt idx="185">
                  <c:v>3.2375000000000083</c:v>
                </c:pt>
                <c:pt idx="186">
                  <c:v>3.2550000000000083</c:v>
                </c:pt>
                <c:pt idx="187">
                  <c:v>3.2725000000000084</c:v>
                </c:pt>
                <c:pt idx="188">
                  <c:v>3.2900000000000085</c:v>
                </c:pt>
                <c:pt idx="189">
                  <c:v>3.3075000000000085</c:v>
                </c:pt>
                <c:pt idx="190">
                  <c:v>3.3250000000000086</c:v>
                </c:pt>
                <c:pt idx="191">
                  <c:v>3.3425000000000087</c:v>
                </c:pt>
                <c:pt idx="192">
                  <c:v>3.3600000000000088</c:v>
                </c:pt>
                <c:pt idx="193">
                  <c:v>3.3775000000000088</c:v>
                </c:pt>
                <c:pt idx="194">
                  <c:v>3.3950000000000089</c:v>
                </c:pt>
                <c:pt idx="195">
                  <c:v>3.412500000000009</c:v>
                </c:pt>
                <c:pt idx="196">
                  <c:v>3.430000000000009</c:v>
                </c:pt>
                <c:pt idx="197">
                  <c:v>3.4475000000000091</c:v>
                </c:pt>
                <c:pt idx="198">
                  <c:v>3.4650000000000092</c:v>
                </c:pt>
                <c:pt idx="199">
                  <c:v>3.4825000000000093</c:v>
                </c:pt>
                <c:pt idx="200">
                  <c:v>3.5000000000000093</c:v>
                </c:pt>
                <c:pt idx="201">
                  <c:v>3.5175000000000094</c:v>
                </c:pt>
                <c:pt idx="202">
                  <c:v>3.5350000000000095</c:v>
                </c:pt>
                <c:pt idx="203">
                  <c:v>3.5525000000000095</c:v>
                </c:pt>
                <c:pt idx="204">
                  <c:v>3.5700000000000096</c:v>
                </c:pt>
                <c:pt idx="205">
                  <c:v>3.5875000000000097</c:v>
                </c:pt>
                <c:pt idx="206">
                  <c:v>3.6050000000000098</c:v>
                </c:pt>
                <c:pt idx="207">
                  <c:v>3.6225000000000098</c:v>
                </c:pt>
                <c:pt idx="208">
                  <c:v>3.6400000000000099</c:v>
                </c:pt>
                <c:pt idx="209">
                  <c:v>3.65750000000001</c:v>
                </c:pt>
                <c:pt idx="210">
                  <c:v>3.67500000000001</c:v>
                </c:pt>
                <c:pt idx="211">
                  <c:v>3.6925000000000101</c:v>
                </c:pt>
                <c:pt idx="212">
                  <c:v>3.7100000000000102</c:v>
                </c:pt>
                <c:pt idx="213">
                  <c:v>3.7275000000000102</c:v>
                </c:pt>
                <c:pt idx="214">
                  <c:v>3.7450000000000103</c:v>
                </c:pt>
                <c:pt idx="215">
                  <c:v>3.7625000000000104</c:v>
                </c:pt>
                <c:pt idx="216">
                  <c:v>3.7800000000000105</c:v>
                </c:pt>
                <c:pt idx="217">
                  <c:v>3.7975000000000105</c:v>
                </c:pt>
                <c:pt idx="218">
                  <c:v>3.8150000000000106</c:v>
                </c:pt>
                <c:pt idx="219">
                  <c:v>3.8325000000000107</c:v>
                </c:pt>
                <c:pt idx="220">
                  <c:v>3.8500000000000107</c:v>
                </c:pt>
                <c:pt idx="221">
                  <c:v>3.8675000000000108</c:v>
                </c:pt>
                <c:pt idx="222">
                  <c:v>3.8850000000000109</c:v>
                </c:pt>
                <c:pt idx="223">
                  <c:v>3.902500000000011</c:v>
                </c:pt>
                <c:pt idx="224">
                  <c:v>3.920000000000011</c:v>
                </c:pt>
                <c:pt idx="225">
                  <c:v>3.9375000000000111</c:v>
                </c:pt>
                <c:pt idx="226">
                  <c:v>3.9550000000000112</c:v>
                </c:pt>
                <c:pt idx="227">
                  <c:v>3.9725000000000112</c:v>
                </c:pt>
                <c:pt idx="228">
                  <c:v>3.9900000000000113</c:v>
                </c:pt>
                <c:pt idx="229">
                  <c:v>4.0075000000000109</c:v>
                </c:pt>
                <c:pt idx="230">
                  <c:v>4.025000000000011</c:v>
                </c:pt>
                <c:pt idx="231">
                  <c:v>4.0425000000000111</c:v>
                </c:pt>
                <c:pt idx="232">
                  <c:v>4.0600000000000112</c:v>
                </c:pt>
                <c:pt idx="233">
                  <c:v>4.0775000000000112</c:v>
                </c:pt>
                <c:pt idx="234">
                  <c:v>4.0950000000000113</c:v>
                </c:pt>
                <c:pt idx="235">
                  <c:v>4.1125000000000114</c:v>
                </c:pt>
                <c:pt idx="236">
                  <c:v>4.1300000000000114</c:v>
                </c:pt>
                <c:pt idx="237">
                  <c:v>4.1475000000000115</c:v>
                </c:pt>
                <c:pt idx="238">
                  <c:v>4.1650000000000116</c:v>
                </c:pt>
                <c:pt idx="239">
                  <c:v>4.1825000000000117</c:v>
                </c:pt>
                <c:pt idx="240">
                  <c:v>4.2000000000000117</c:v>
                </c:pt>
                <c:pt idx="241">
                  <c:v>4.2175000000000118</c:v>
                </c:pt>
                <c:pt idx="242">
                  <c:v>4.2350000000000119</c:v>
                </c:pt>
                <c:pt idx="243">
                  <c:v>4.2525000000000119</c:v>
                </c:pt>
                <c:pt idx="244">
                  <c:v>4.270000000000012</c:v>
                </c:pt>
                <c:pt idx="245">
                  <c:v>4.2875000000000121</c:v>
                </c:pt>
                <c:pt idx="246">
                  <c:v>4.3050000000000122</c:v>
                </c:pt>
                <c:pt idx="247">
                  <c:v>4.3225000000000122</c:v>
                </c:pt>
                <c:pt idx="248">
                  <c:v>4.3400000000000123</c:v>
                </c:pt>
                <c:pt idx="249">
                  <c:v>4.3575000000000124</c:v>
                </c:pt>
                <c:pt idx="250">
                  <c:v>4.3750000000000124</c:v>
                </c:pt>
                <c:pt idx="251">
                  <c:v>4.3925000000000125</c:v>
                </c:pt>
                <c:pt idx="252">
                  <c:v>4.4100000000000126</c:v>
                </c:pt>
                <c:pt idx="253">
                  <c:v>4.4275000000000126</c:v>
                </c:pt>
                <c:pt idx="254">
                  <c:v>4.4450000000000127</c:v>
                </c:pt>
                <c:pt idx="255">
                  <c:v>4.4625000000000128</c:v>
                </c:pt>
                <c:pt idx="256">
                  <c:v>4.4800000000000129</c:v>
                </c:pt>
                <c:pt idx="257">
                  <c:v>4.4975000000000129</c:v>
                </c:pt>
                <c:pt idx="258">
                  <c:v>4.515000000000013</c:v>
                </c:pt>
                <c:pt idx="259">
                  <c:v>4.5325000000000131</c:v>
                </c:pt>
                <c:pt idx="260">
                  <c:v>4.5500000000000131</c:v>
                </c:pt>
                <c:pt idx="261">
                  <c:v>4.5675000000000132</c:v>
                </c:pt>
                <c:pt idx="262">
                  <c:v>4.5850000000000133</c:v>
                </c:pt>
                <c:pt idx="263">
                  <c:v>4.6025000000000134</c:v>
                </c:pt>
                <c:pt idx="264">
                  <c:v>4.6200000000000134</c:v>
                </c:pt>
                <c:pt idx="265">
                  <c:v>4.6375000000000135</c:v>
                </c:pt>
                <c:pt idx="266">
                  <c:v>4.6550000000000136</c:v>
                </c:pt>
                <c:pt idx="267">
                  <c:v>4.6725000000000136</c:v>
                </c:pt>
                <c:pt idx="268">
                  <c:v>4.6900000000000137</c:v>
                </c:pt>
                <c:pt idx="269">
                  <c:v>4.7075000000000138</c:v>
                </c:pt>
                <c:pt idx="270">
                  <c:v>4.7250000000000139</c:v>
                </c:pt>
                <c:pt idx="271">
                  <c:v>4.7425000000000139</c:v>
                </c:pt>
                <c:pt idx="272">
                  <c:v>4.760000000000014</c:v>
                </c:pt>
                <c:pt idx="273">
                  <c:v>4.7775000000000141</c:v>
                </c:pt>
                <c:pt idx="274">
                  <c:v>4.7950000000000141</c:v>
                </c:pt>
                <c:pt idx="275">
                  <c:v>4.8125000000000142</c:v>
                </c:pt>
                <c:pt idx="276">
                  <c:v>4.8300000000000143</c:v>
                </c:pt>
                <c:pt idx="277">
                  <c:v>4.8475000000000144</c:v>
                </c:pt>
                <c:pt idx="278">
                  <c:v>4.8650000000000144</c:v>
                </c:pt>
                <c:pt idx="279">
                  <c:v>4.8825000000000145</c:v>
                </c:pt>
                <c:pt idx="280">
                  <c:v>4.9000000000000146</c:v>
                </c:pt>
                <c:pt idx="281">
                  <c:v>4.9175000000000146</c:v>
                </c:pt>
                <c:pt idx="282">
                  <c:v>4.9350000000000147</c:v>
                </c:pt>
                <c:pt idx="283">
                  <c:v>4.9525000000000148</c:v>
                </c:pt>
                <c:pt idx="284">
                  <c:v>4.9700000000000149</c:v>
                </c:pt>
                <c:pt idx="285">
                  <c:v>4.9875000000000149</c:v>
                </c:pt>
                <c:pt idx="286">
                  <c:v>5.005000000000015</c:v>
                </c:pt>
                <c:pt idx="287">
                  <c:v>5.0225000000000151</c:v>
                </c:pt>
                <c:pt idx="288">
                  <c:v>5.0400000000000151</c:v>
                </c:pt>
                <c:pt idx="289">
                  <c:v>5.0575000000000152</c:v>
                </c:pt>
                <c:pt idx="290">
                  <c:v>5.0750000000000153</c:v>
                </c:pt>
                <c:pt idx="291">
                  <c:v>5.0925000000000153</c:v>
                </c:pt>
                <c:pt idx="292">
                  <c:v>5.1100000000000154</c:v>
                </c:pt>
                <c:pt idx="293">
                  <c:v>5.1275000000000155</c:v>
                </c:pt>
                <c:pt idx="294">
                  <c:v>5.1450000000000156</c:v>
                </c:pt>
                <c:pt idx="295">
                  <c:v>5.1625000000000156</c:v>
                </c:pt>
                <c:pt idx="296">
                  <c:v>5.1800000000000157</c:v>
                </c:pt>
                <c:pt idx="297">
                  <c:v>5.1975000000000158</c:v>
                </c:pt>
                <c:pt idx="298">
                  <c:v>5.2150000000000158</c:v>
                </c:pt>
                <c:pt idx="299">
                  <c:v>5.2325000000000159</c:v>
                </c:pt>
                <c:pt idx="300">
                  <c:v>5.250000000000016</c:v>
                </c:pt>
                <c:pt idx="301">
                  <c:v>5.2675000000000161</c:v>
                </c:pt>
                <c:pt idx="302">
                  <c:v>5.2850000000000161</c:v>
                </c:pt>
                <c:pt idx="303">
                  <c:v>5.3025000000000162</c:v>
                </c:pt>
                <c:pt idx="304">
                  <c:v>5.3200000000000163</c:v>
                </c:pt>
                <c:pt idx="305">
                  <c:v>5.3375000000000163</c:v>
                </c:pt>
                <c:pt idx="306">
                  <c:v>5.3550000000000164</c:v>
                </c:pt>
                <c:pt idx="307">
                  <c:v>5.3725000000000165</c:v>
                </c:pt>
                <c:pt idx="308">
                  <c:v>5.3900000000000166</c:v>
                </c:pt>
                <c:pt idx="309">
                  <c:v>5.4075000000000166</c:v>
                </c:pt>
                <c:pt idx="310">
                  <c:v>5.4250000000000167</c:v>
                </c:pt>
                <c:pt idx="311">
                  <c:v>5.4425000000000168</c:v>
                </c:pt>
                <c:pt idx="312">
                  <c:v>5.4600000000000168</c:v>
                </c:pt>
                <c:pt idx="313">
                  <c:v>5.4775000000000169</c:v>
                </c:pt>
                <c:pt idx="314">
                  <c:v>5.495000000000017</c:v>
                </c:pt>
                <c:pt idx="315">
                  <c:v>5.5125000000000171</c:v>
                </c:pt>
                <c:pt idx="316">
                  <c:v>5.5300000000000171</c:v>
                </c:pt>
                <c:pt idx="317">
                  <c:v>5.5475000000000172</c:v>
                </c:pt>
                <c:pt idx="318">
                  <c:v>5.5650000000000173</c:v>
                </c:pt>
                <c:pt idx="319">
                  <c:v>5.5825000000000173</c:v>
                </c:pt>
                <c:pt idx="320">
                  <c:v>5.6000000000000174</c:v>
                </c:pt>
                <c:pt idx="321">
                  <c:v>5.6175000000000175</c:v>
                </c:pt>
                <c:pt idx="322">
                  <c:v>5.6350000000000176</c:v>
                </c:pt>
                <c:pt idx="323">
                  <c:v>5.6525000000000176</c:v>
                </c:pt>
                <c:pt idx="324">
                  <c:v>5.6700000000000177</c:v>
                </c:pt>
                <c:pt idx="325">
                  <c:v>5.6875000000000178</c:v>
                </c:pt>
                <c:pt idx="326">
                  <c:v>5.7050000000000178</c:v>
                </c:pt>
                <c:pt idx="327">
                  <c:v>5.7225000000000179</c:v>
                </c:pt>
                <c:pt idx="328">
                  <c:v>5.740000000000018</c:v>
                </c:pt>
                <c:pt idx="329">
                  <c:v>5.757500000000018</c:v>
                </c:pt>
                <c:pt idx="330">
                  <c:v>5.7750000000000181</c:v>
                </c:pt>
                <c:pt idx="331">
                  <c:v>5.7925000000000182</c:v>
                </c:pt>
                <c:pt idx="332">
                  <c:v>5.8100000000000183</c:v>
                </c:pt>
                <c:pt idx="333">
                  <c:v>5.8275000000000183</c:v>
                </c:pt>
                <c:pt idx="334">
                  <c:v>5.8450000000000184</c:v>
                </c:pt>
                <c:pt idx="335">
                  <c:v>5.8625000000000185</c:v>
                </c:pt>
                <c:pt idx="336">
                  <c:v>5.8800000000000185</c:v>
                </c:pt>
                <c:pt idx="337">
                  <c:v>5.8975000000000186</c:v>
                </c:pt>
                <c:pt idx="338">
                  <c:v>5.9150000000000187</c:v>
                </c:pt>
                <c:pt idx="339">
                  <c:v>5.9325000000000188</c:v>
                </c:pt>
                <c:pt idx="340">
                  <c:v>5.9500000000000188</c:v>
                </c:pt>
                <c:pt idx="341">
                  <c:v>5.9675000000000189</c:v>
                </c:pt>
                <c:pt idx="342">
                  <c:v>5.985000000000019</c:v>
                </c:pt>
                <c:pt idx="343">
                  <c:v>6.002500000000019</c:v>
                </c:pt>
                <c:pt idx="344">
                  <c:v>6.0200000000000191</c:v>
                </c:pt>
                <c:pt idx="345">
                  <c:v>6.0375000000000192</c:v>
                </c:pt>
                <c:pt idx="346">
                  <c:v>6.0550000000000193</c:v>
                </c:pt>
                <c:pt idx="347">
                  <c:v>6.0725000000000193</c:v>
                </c:pt>
                <c:pt idx="348">
                  <c:v>6.0900000000000194</c:v>
                </c:pt>
                <c:pt idx="349">
                  <c:v>6.1075000000000195</c:v>
                </c:pt>
                <c:pt idx="350">
                  <c:v>6.1250000000000195</c:v>
                </c:pt>
                <c:pt idx="351">
                  <c:v>6.1425000000000196</c:v>
                </c:pt>
                <c:pt idx="352">
                  <c:v>6.1600000000000197</c:v>
                </c:pt>
                <c:pt idx="353">
                  <c:v>6.1775000000000198</c:v>
                </c:pt>
                <c:pt idx="354">
                  <c:v>6.1950000000000198</c:v>
                </c:pt>
                <c:pt idx="355">
                  <c:v>6.2125000000000199</c:v>
                </c:pt>
                <c:pt idx="356">
                  <c:v>6.23000000000002</c:v>
                </c:pt>
                <c:pt idx="357">
                  <c:v>6.24750000000002</c:v>
                </c:pt>
                <c:pt idx="358">
                  <c:v>6.2650000000000201</c:v>
                </c:pt>
                <c:pt idx="359">
                  <c:v>6.2825000000000202</c:v>
                </c:pt>
                <c:pt idx="360">
                  <c:v>6.3000000000000203</c:v>
                </c:pt>
                <c:pt idx="361">
                  <c:v>6.3175000000000203</c:v>
                </c:pt>
                <c:pt idx="362">
                  <c:v>6.3350000000000204</c:v>
                </c:pt>
                <c:pt idx="363">
                  <c:v>6.3525000000000205</c:v>
                </c:pt>
                <c:pt idx="364">
                  <c:v>6.3700000000000205</c:v>
                </c:pt>
                <c:pt idx="365">
                  <c:v>6.3875000000000206</c:v>
                </c:pt>
                <c:pt idx="366">
                  <c:v>6.4050000000000207</c:v>
                </c:pt>
                <c:pt idx="367">
                  <c:v>6.4225000000000207</c:v>
                </c:pt>
                <c:pt idx="368">
                  <c:v>6.4400000000000208</c:v>
                </c:pt>
                <c:pt idx="369">
                  <c:v>6.4575000000000209</c:v>
                </c:pt>
                <c:pt idx="370">
                  <c:v>6.475000000000021</c:v>
                </c:pt>
                <c:pt idx="371">
                  <c:v>6.492500000000021</c:v>
                </c:pt>
                <c:pt idx="372">
                  <c:v>6.5100000000000211</c:v>
                </c:pt>
                <c:pt idx="373">
                  <c:v>6.5275000000000212</c:v>
                </c:pt>
                <c:pt idx="374">
                  <c:v>6.5450000000000212</c:v>
                </c:pt>
                <c:pt idx="375">
                  <c:v>6.5625000000000213</c:v>
                </c:pt>
                <c:pt idx="376">
                  <c:v>6.5800000000000214</c:v>
                </c:pt>
                <c:pt idx="377">
                  <c:v>6.5975000000000215</c:v>
                </c:pt>
                <c:pt idx="378">
                  <c:v>6.6150000000000215</c:v>
                </c:pt>
                <c:pt idx="379">
                  <c:v>6.6325000000000216</c:v>
                </c:pt>
                <c:pt idx="380">
                  <c:v>6.6500000000000217</c:v>
                </c:pt>
                <c:pt idx="381">
                  <c:v>6.6675000000000217</c:v>
                </c:pt>
                <c:pt idx="382">
                  <c:v>6.6850000000000218</c:v>
                </c:pt>
                <c:pt idx="383">
                  <c:v>6.7025000000000219</c:v>
                </c:pt>
                <c:pt idx="384">
                  <c:v>6.720000000000022</c:v>
                </c:pt>
                <c:pt idx="385">
                  <c:v>6.737500000000022</c:v>
                </c:pt>
                <c:pt idx="386">
                  <c:v>6.7550000000000221</c:v>
                </c:pt>
                <c:pt idx="387">
                  <c:v>6.7725000000000222</c:v>
                </c:pt>
                <c:pt idx="388">
                  <c:v>6.7900000000000222</c:v>
                </c:pt>
                <c:pt idx="389">
                  <c:v>6.8075000000000223</c:v>
                </c:pt>
                <c:pt idx="390">
                  <c:v>6.8250000000000224</c:v>
                </c:pt>
                <c:pt idx="391">
                  <c:v>6.8425000000000225</c:v>
                </c:pt>
                <c:pt idx="392">
                  <c:v>6.8600000000000225</c:v>
                </c:pt>
                <c:pt idx="393">
                  <c:v>6.8775000000000226</c:v>
                </c:pt>
                <c:pt idx="394">
                  <c:v>6.8950000000000227</c:v>
                </c:pt>
                <c:pt idx="395">
                  <c:v>6.9125000000000227</c:v>
                </c:pt>
                <c:pt idx="396">
                  <c:v>6.9300000000000228</c:v>
                </c:pt>
                <c:pt idx="397">
                  <c:v>6.9475000000000229</c:v>
                </c:pt>
                <c:pt idx="398">
                  <c:v>6.965000000000023</c:v>
                </c:pt>
                <c:pt idx="399">
                  <c:v>6.982500000000023</c:v>
                </c:pt>
                <c:pt idx="400">
                  <c:v>7.0000000000000231</c:v>
                </c:pt>
              </c:numCache>
            </c:numRef>
          </c:xVal>
          <c:yVal>
            <c:numRef>
              <c:f>'xVA Calculations'!$S$30:$S$430</c:f>
              <c:numCache>
                <c:formatCode>0</c:formatCode>
                <c:ptCount val="4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'xVA Calculations'!$T$29</c:f>
              <c:strCache>
                <c:ptCount val="1"/>
              </c:strCache>
            </c:strRef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'xVA Calculations'!$N$30:$N$430</c:f>
              <c:numCache>
                <c:formatCode>0.00</c:formatCode>
                <c:ptCount val="401"/>
                <c:pt idx="0">
                  <c:v>8.7500000000000008E-3</c:v>
                </c:pt>
                <c:pt idx="1">
                  <c:v>1.7500000000000002E-2</c:v>
                </c:pt>
                <c:pt idx="2">
                  <c:v>3.5000000000000003E-2</c:v>
                </c:pt>
                <c:pt idx="3">
                  <c:v>5.2500000000000005E-2</c:v>
                </c:pt>
                <c:pt idx="4">
                  <c:v>7.0000000000000007E-2</c:v>
                </c:pt>
                <c:pt idx="5">
                  <c:v>8.7500000000000008E-2</c:v>
                </c:pt>
                <c:pt idx="6">
                  <c:v>0.10500000000000001</c:v>
                </c:pt>
                <c:pt idx="7">
                  <c:v>0.12250000000000001</c:v>
                </c:pt>
                <c:pt idx="8">
                  <c:v>0.14000000000000001</c:v>
                </c:pt>
                <c:pt idx="9">
                  <c:v>0.15750000000000003</c:v>
                </c:pt>
                <c:pt idx="10">
                  <c:v>0.17500000000000004</c:v>
                </c:pt>
                <c:pt idx="11">
                  <c:v>0.19250000000000006</c:v>
                </c:pt>
                <c:pt idx="12">
                  <c:v>0.21000000000000008</c:v>
                </c:pt>
                <c:pt idx="13">
                  <c:v>0.22750000000000009</c:v>
                </c:pt>
                <c:pt idx="14">
                  <c:v>0.24500000000000011</c:v>
                </c:pt>
                <c:pt idx="15">
                  <c:v>0.26250000000000012</c:v>
                </c:pt>
                <c:pt idx="16">
                  <c:v>0.28000000000000014</c:v>
                </c:pt>
                <c:pt idx="17">
                  <c:v>0.29750000000000015</c:v>
                </c:pt>
                <c:pt idx="18">
                  <c:v>0.31500000000000017</c:v>
                </c:pt>
                <c:pt idx="19">
                  <c:v>0.33250000000000018</c:v>
                </c:pt>
                <c:pt idx="20">
                  <c:v>0.3500000000000002</c:v>
                </c:pt>
                <c:pt idx="21">
                  <c:v>0.36750000000000022</c:v>
                </c:pt>
                <c:pt idx="22">
                  <c:v>0.38500000000000023</c:v>
                </c:pt>
                <c:pt idx="23">
                  <c:v>0.40250000000000025</c:v>
                </c:pt>
                <c:pt idx="24">
                  <c:v>0.42000000000000026</c:v>
                </c:pt>
                <c:pt idx="25">
                  <c:v>0.43750000000000028</c:v>
                </c:pt>
                <c:pt idx="26">
                  <c:v>0.45500000000000029</c:v>
                </c:pt>
                <c:pt idx="27">
                  <c:v>0.47250000000000031</c:v>
                </c:pt>
                <c:pt idx="28">
                  <c:v>0.49000000000000032</c:v>
                </c:pt>
                <c:pt idx="29">
                  <c:v>0.50750000000000028</c:v>
                </c:pt>
                <c:pt idx="30">
                  <c:v>0.52500000000000024</c:v>
                </c:pt>
                <c:pt idx="31">
                  <c:v>0.5425000000000002</c:v>
                </c:pt>
                <c:pt idx="32">
                  <c:v>0.56000000000000016</c:v>
                </c:pt>
                <c:pt idx="33">
                  <c:v>0.57750000000000012</c:v>
                </c:pt>
                <c:pt idx="34">
                  <c:v>0.59500000000000008</c:v>
                </c:pt>
                <c:pt idx="35">
                  <c:v>0.61250000000000004</c:v>
                </c:pt>
                <c:pt idx="36">
                  <c:v>0.63</c:v>
                </c:pt>
                <c:pt idx="37">
                  <c:v>0.64749999999999996</c:v>
                </c:pt>
                <c:pt idx="38">
                  <c:v>0.66499999999999992</c:v>
                </c:pt>
                <c:pt idx="39">
                  <c:v>0.68249999999999988</c:v>
                </c:pt>
                <c:pt idx="40">
                  <c:v>0.69999999999999984</c:v>
                </c:pt>
                <c:pt idx="41">
                  <c:v>0.7174999999999998</c:v>
                </c:pt>
                <c:pt idx="42">
                  <c:v>0.73499999999999976</c:v>
                </c:pt>
                <c:pt idx="43">
                  <c:v>0.75249999999999972</c:v>
                </c:pt>
                <c:pt idx="44">
                  <c:v>0.76999999999999968</c:v>
                </c:pt>
                <c:pt idx="45">
                  <c:v>0.78749999999999964</c:v>
                </c:pt>
                <c:pt idx="46">
                  <c:v>0.8049999999999996</c:v>
                </c:pt>
                <c:pt idx="47">
                  <c:v>0.82249999999999956</c:v>
                </c:pt>
                <c:pt idx="48">
                  <c:v>0.83999999999999952</c:v>
                </c:pt>
                <c:pt idx="49">
                  <c:v>0.85749999999999948</c:v>
                </c:pt>
                <c:pt idx="50">
                  <c:v>0.87499999999999944</c:v>
                </c:pt>
                <c:pt idx="51">
                  <c:v>0.8924999999999994</c:v>
                </c:pt>
                <c:pt idx="52">
                  <c:v>0.90999999999999936</c:v>
                </c:pt>
                <c:pt idx="53">
                  <c:v>0.92749999999999932</c:v>
                </c:pt>
                <c:pt idx="54">
                  <c:v>0.94499999999999929</c:v>
                </c:pt>
                <c:pt idx="55">
                  <c:v>0.96249999999999925</c:v>
                </c:pt>
                <c:pt idx="56">
                  <c:v>0.97999999999999921</c:v>
                </c:pt>
                <c:pt idx="57">
                  <c:v>0.99749999999999917</c:v>
                </c:pt>
                <c:pt idx="58">
                  <c:v>1.0149999999999992</c:v>
                </c:pt>
                <c:pt idx="59">
                  <c:v>1.0324999999999993</c:v>
                </c:pt>
                <c:pt idx="60">
                  <c:v>1.0499999999999994</c:v>
                </c:pt>
                <c:pt idx="61">
                  <c:v>1.0674999999999994</c:v>
                </c:pt>
                <c:pt idx="62">
                  <c:v>1.0849999999999995</c:v>
                </c:pt>
                <c:pt idx="63">
                  <c:v>1.1024999999999996</c:v>
                </c:pt>
                <c:pt idx="64">
                  <c:v>1.1199999999999997</c:v>
                </c:pt>
                <c:pt idx="65">
                  <c:v>1.1374999999999997</c:v>
                </c:pt>
                <c:pt idx="66">
                  <c:v>1.1549999999999998</c:v>
                </c:pt>
                <c:pt idx="67">
                  <c:v>1.1724999999999999</c:v>
                </c:pt>
                <c:pt idx="68">
                  <c:v>1.19</c:v>
                </c:pt>
                <c:pt idx="69">
                  <c:v>1.2075</c:v>
                </c:pt>
                <c:pt idx="70">
                  <c:v>1.2250000000000001</c:v>
                </c:pt>
                <c:pt idx="71">
                  <c:v>1.2425000000000002</c:v>
                </c:pt>
                <c:pt idx="72">
                  <c:v>1.2600000000000002</c:v>
                </c:pt>
                <c:pt idx="73">
                  <c:v>1.2775000000000003</c:v>
                </c:pt>
                <c:pt idx="74">
                  <c:v>1.2950000000000004</c:v>
                </c:pt>
                <c:pt idx="75">
                  <c:v>1.3125000000000004</c:v>
                </c:pt>
                <c:pt idx="76">
                  <c:v>1.3300000000000005</c:v>
                </c:pt>
                <c:pt idx="77">
                  <c:v>1.3475000000000006</c:v>
                </c:pt>
                <c:pt idx="78">
                  <c:v>1.3650000000000007</c:v>
                </c:pt>
                <c:pt idx="79">
                  <c:v>1.3825000000000007</c:v>
                </c:pt>
                <c:pt idx="80">
                  <c:v>1.4000000000000008</c:v>
                </c:pt>
                <c:pt idx="81">
                  <c:v>1.4175000000000009</c:v>
                </c:pt>
                <c:pt idx="82">
                  <c:v>1.4350000000000009</c:v>
                </c:pt>
                <c:pt idx="83">
                  <c:v>1.452500000000001</c:v>
                </c:pt>
                <c:pt idx="84">
                  <c:v>1.4700000000000011</c:v>
                </c:pt>
                <c:pt idx="85">
                  <c:v>1.4875000000000012</c:v>
                </c:pt>
                <c:pt idx="86">
                  <c:v>1.5050000000000012</c:v>
                </c:pt>
                <c:pt idx="87">
                  <c:v>1.5225000000000013</c:v>
                </c:pt>
                <c:pt idx="88">
                  <c:v>1.5400000000000014</c:v>
                </c:pt>
                <c:pt idx="89">
                  <c:v>1.5575000000000014</c:v>
                </c:pt>
                <c:pt idx="90">
                  <c:v>1.5750000000000015</c:v>
                </c:pt>
                <c:pt idx="91">
                  <c:v>1.5925000000000016</c:v>
                </c:pt>
                <c:pt idx="92">
                  <c:v>1.6100000000000017</c:v>
                </c:pt>
                <c:pt idx="93">
                  <c:v>1.6275000000000017</c:v>
                </c:pt>
                <c:pt idx="94">
                  <c:v>1.6450000000000018</c:v>
                </c:pt>
                <c:pt idx="95">
                  <c:v>1.6625000000000019</c:v>
                </c:pt>
                <c:pt idx="96">
                  <c:v>1.6800000000000019</c:v>
                </c:pt>
                <c:pt idx="97">
                  <c:v>1.697500000000002</c:v>
                </c:pt>
                <c:pt idx="98">
                  <c:v>1.7150000000000021</c:v>
                </c:pt>
                <c:pt idx="99">
                  <c:v>1.7325000000000021</c:v>
                </c:pt>
                <c:pt idx="100">
                  <c:v>1.7500000000000022</c:v>
                </c:pt>
                <c:pt idx="101">
                  <c:v>1.7675000000000023</c:v>
                </c:pt>
                <c:pt idx="102">
                  <c:v>1.7850000000000024</c:v>
                </c:pt>
                <c:pt idx="103">
                  <c:v>1.8025000000000024</c:v>
                </c:pt>
                <c:pt idx="104">
                  <c:v>1.8200000000000025</c:v>
                </c:pt>
                <c:pt idx="105">
                  <c:v>1.8375000000000026</c:v>
                </c:pt>
                <c:pt idx="106">
                  <c:v>1.8550000000000026</c:v>
                </c:pt>
                <c:pt idx="107">
                  <c:v>1.8725000000000027</c:v>
                </c:pt>
                <c:pt idx="108">
                  <c:v>1.8900000000000028</c:v>
                </c:pt>
                <c:pt idx="109">
                  <c:v>1.9075000000000029</c:v>
                </c:pt>
                <c:pt idx="110">
                  <c:v>1.9250000000000029</c:v>
                </c:pt>
                <c:pt idx="111">
                  <c:v>1.942500000000003</c:v>
                </c:pt>
                <c:pt idx="112">
                  <c:v>1.9600000000000031</c:v>
                </c:pt>
                <c:pt idx="113">
                  <c:v>1.9775000000000031</c:v>
                </c:pt>
                <c:pt idx="114">
                  <c:v>1.9950000000000032</c:v>
                </c:pt>
                <c:pt idx="115">
                  <c:v>2.0125000000000033</c:v>
                </c:pt>
                <c:pt idx="116">
                  <c:v>2.0300000000000034</c:v>
                </c:pt>
                <c:pt idx="117">
                  <c:v>2.0475000000000034</c:v>
                </c:pt>
                <c:pt idx="118">
                  <c:v>2.0650000000000035</c:v>
                </c:pt>
                <c:pt idx="119">
                  <c:v>2.0825000000000036</c:v>
                </c:pt>
                <c:pt idx="120">
                  <c:v>2.1000000000000036</c:v>
                </c:pt>
                <c:pt idx="121">
                  <c:v>2.1175000000000037</c:v>
                </c:pt>
                <c:pt idx="122">
                  <c:v>2.1350000000000038</c:v>
                </c:pt>
                <c:pt idx="123">
                  <c:v>2.1525000000000039</c:v>
                </c:pt>
                <c:pt idx="124">
                  <c:v>2.1700000000000039</c:v>
                </c:pt>
                <c:pt idx="125">
                  <c:v>2.187500000000004</c:v>
                </c:pt>
                <c:pt idx="126">
                  <c:v>2.2050000000000041</c:v>
                </c:pt>
                <c:pt idx="127">
                  <c:v>2.2225000000000041</c:v>
                </c:pt>
                <c:pt idx="128">
                  <c:v>2.2400000000000042</c:v>
                </c:pt>
                <c:pt idx="129">
                  <c:v>2.2575000000000043</c:v>
                </c:pt>
                <c:pt idx="130">
                  <c:v>2.2750000000000044</c:v>
                </c:pt>
                <c:pt idx="131">
                  <c:v>2.2925000000000044</c:v>
                </c:pt>
                <c:pt idx="132">
                  <c:v>2.3100000000000045</c:v>
                </c:pt>
                <c:pt idx="133">
                  <c:v>2.3275000000000046</c:v>
                </c:pt>
                <c:pt idx="134">
                  <c:v>2.3450000000000046</c:v>
                </c:pt>
                <c:pt idx="135">
                  <c:v>2.3625000000000047</c:v>
                </c:pt>
                <c:pt idx="136">
                  <c:v>2.3800000000000048</c:v>
                </c:pt>
                <c:pt idx="137">
                  <c:v>2.3975000000000048</c:v>
                </c:pt>
                <c:pt idx="138">
                  <c:v>2.4150000000000049</c:v>
                </c:pt>
                <c:pt idx="139">
                  <c:v>2.432500000000005</c:v>
                </c:pt>
                <c:pt idx="140">
                  <c:v>2.4500000000000051</c:v>
                </c:pt>
                <c:pt idx="141">
                  <c:v>2.4675000000000051</c:v>
                </c:pt>
                <c:pt idx="142">
                  <c:v>2.4850000000000052</c:v>
                </c:pt>
                <c:pt idx="143">
                  <c:v>2.5025000000000053</c:v>
                </c:pt>
                <c:pt idx="144">
                  <c:v>2.5200000000000053</c:v>
                </c:pt>
                <c:pt idx="145">
                  <c:v>2.5375000000000054</c:v>
                </c:pt>
                <c:pt idx="146">
                  <c:v>2.5550000000000055</c:v>
                </c:pt>
                <c:pt idx="147">
                  <c:v>2.5725000000000056</c:v>
                </c:pt>
                <c:pt idx="148">
                  <c:v>2.5900000000000056</c:v>
                </c:pt>
                <c:pt idx="149">
                  <c:v>2.6075000000000057</c:v>
                </c:pt>
                <c:pt idx="150">
                  <c:v>2.6250000000000058</c:v>
                </c:pt>
                <c:pt idx="151">
                  <c:v>2.6425000000000058</c:v>
                </c:pt>
                <c:pt idx="152">
                  <c:v>2.6600000000000059</c:v>
                </c:pt>
                <c:pt idx="153">
                  <c:v>2.677500000000006</c:v>
                </c:pt>
                <c:pt idx="154">
                  <c:v>2.6950000000000061</c:v>
                </c:pt>
                <c:pt idx="155">
                  <c:v>2.7125000000000061</c:v>
                </c:pt>
                <c:pt idx="156">
                  <c:v>2.7300000000000062</c:v>
                </c:pt>
                <c:pt idx="157">
                  <c:v>2.7475000000000063</c:v>
                </c:pt>
                <c:pt idx="158">
                  <c:v>2.7650000000000063</c:v>
                </c:pt>
                <c:pt idx="159">
                  <c:v>2.7825000000000064</c:v>
                </c:pt>
                <c:pt idx="160">
                  <c:v>2.8000000000000065</c:v>
                </c:pt>
                <c:pt idx="161">
                  <c:v>2.8175000000000066</c:v>
                </c:pt>
                <c:pt idx="162">
                  <c:v>2.8350000000000066</c:v>
                </c:pt>
                <c:pt idx="163">
                  <c:v>2.8525000000000067</c:v>
                </c:pt>
                <c:pt idx="164">
                  <c:v>2.8700000000000068</c:v>
                </c:pt>
                <c:pt idx="165">
                  <c:v>2.8875000000000068</c:v>
                </c:pt>
                <c:pt idx="166">
                  <c:v>2.9050000000000069</c:v>
                </c:pt>
                <c:pt idx="167">
                  <c:v>2.922500000000007</c:v>
                </c:pt>
                <c:pt idx="168">
                  <c:v>2.9400000000000071</c:v>
                </c:pt>
                <c:pt idx="169">
                  <c:v>2.9575000000000071</c:v>
                </c:pt>
                <c:pt idx="170">
                  <c:v>2.9750000000000072</c:v>
                </c:pt>
                <c:pt idx="171">
                  <c:v>2.9925000000000073</c:v>
                </c:pt>
                <c:pt idx="172">
                  <c:v>3.0100000000000073</c:v>
                </c:pt>
                <c:pt idx="173">
                  <c:v>3.0275000000000074</c:v>
                </c:pt>
                <c:pt idx="174">
                  <c:v>3.0450000000000075</c:v>
                </c:pt>
                <c:pt idx="175">
                  <c:v>3.0625000000000075</c:v>
                </c:pt>
                <c:pt idx="176">
                  <c:v>3.0800000000000076</c:v>
                </c:pt>
                <c:pt idx="177">
                  <c:v>3.0975000000000077</c:v>
                </c:pt>
                <c:pt idx="178">
                  <c:v>3.1150000000000078</c:v>
                </c:pt>
                <c:pt idx="179">
                  <c:v>3.1325000000000078</c:v>
                </c:pt>
                <c:pt idx="180">
                  <c:v>3.1500000000000079</c:v>
                </c:pt>
                <c:pt idx="181">
                  <c:v>3.167500000000008</c:v>
                </c:pt>
                <c:pt idx="182">
                  <c:v>3.185000000000008</c:v>
                </c:pt>
                <c:pt idx="183">
                  <c:v>3.2025000000000081</c:v>
                </c:pt>
                <c:pt idx="184">
                  <c:v>3.2200000000000082</c:v>
                </c:pt>
                <c:pt idx="185">
                  <c:v>3.2375000000000083</c:v>
                </c:pt>
                <c:pt idx="186">
                  <c:v>3.2550000000000083</c:v>
                </c:pt>
                <c:pt idx="187">
                  <c:v>3.2725000000000084</c:v>
                </c:pt>
                <c:pt idx="188">
                  <c:v>3.2900000000000085</c:v>
                </c:pt>
                <c:pt idx="189">
                  <c:v>3.3075000000000085</c:v>
                </c:pt>
                <c:pt idx="190">
                  <c:v>3.3250000000000086</c:v>
                </c:pt>
                <c:pt idx="191">
                  <c:v>3.3425000000000087</c:v>
                </c:pt>
                <c:pt idx="192">
                  <c:v>3.3600000000000088</c:v>
                </c:pt>
                <c:pt idx="193">
                  <c:v>3.3775000000000088</c:v>
                </c:pt>
                <c:pt idx="194">
                  <c:v>3.3950000000000089</c:v>
                </c:pt>
                <c:pt idx="195">
                  <c:v>3.412500000000009</c:v>
                </c:pt>
                <c:pt idx="196">
                  <c:v>3.430000000000009</c:v>
                </c:pt>
                <c:pt idx="197">
                  <c:v>3.4475000000000091</c:v>
                </c:pt>
                <c:pt idx="198">
                  <c:v>3.4650000000000092</c:v>
                </c:pt>
                <c:pt idx="199">
                  <c:v>3.4825000000000093</c:v>
                </c:pt>
                <c:pt idx="200">
                  <c:v>3.5000000000000093</c:v>
                </c:pt>
                <c:pt idx="201">
                  <c:v>3.5175000000000094</c:v>
                </c:pt>
                <c:pt idx="202">
                  <c:v>3.5350000000000095</c:v>
                </c:pt>
                <c:pt idx="203">
                  <c:v>3.5525000000000095</c:v>
                </c:pt>
                <c:pt idx="204">
                  <c:v>3.5700000000000096</c:v>
                </c:pt>
                <c:pt idx="205">
                  <c:v>3.5875000000000097</c:v>
                </c:pt>
                <c:pt idx="206">
                  <c:v>3.6050000000000098</c:v>
                </c:pt>
                <c:pt idx="207">
                  <c:v>3.6225000000000098</c:v>
                </c:pt>
                <c:pt idx="208">
                  <c:v>3.6400000000000099</c:v>
                </c:pt>
                <c:pt idx="209">
                  <c:v>3.65750000000001</c:v>
                </c:pt>
                <c:pt idx="210">
                  <c:v>3.67500000000001</c:v>
                </c:pt>
                <c:pt idx="211">
                  <c:v>3.6925000000000101</c:v>
                </c:pt>
                <c:pt idx="212">
                  <c:v>3.7100000000000102</c:v>
                </c:pt>
                <c:pt idx="213">
                  <c:v>3.7275000000000102</c:v>
                </c:pt>
                <c:pt idx="214">
                  <c:v>3.7450000000000103</c:v>
                </c:pt>
                <c:pt idx="215">
                  <c:v>3.7625000000000104</c:v>
                </c:pt>
                <c:pt idx="216">
                  <c:v>3.7800000000000105</c:v>
                </c:pt>
                <c:pt idx="217">
                  <c:v>3.7975000000000105</c:v>
                </c:pt>
                <c:pt idx="218">
                  <c:v>3.8150000000000106</c:v>
                </c:pt>
                <c:pt idx="219">
                  <c:v>3.8325000000000107</c:v>
                </c:pt>
                <c:pt idx="220">
                  <c:v>3.8500000000000107</c:v>
                </c:pt>
                <c:pt idx="221">
                  <c:v>3.8675000000000108</c:v>
                </c:pt>
                <c:pt idx="222">
                  <c:v>3.8850000000000109</c:v>
                </c:pt>
                <c:pt idx="223">
                  <c:v>3.902500000000011</c:v>
                </c:pt>
                <c:pt idx="224">
                  <c:v>3.920000000000011</c:v>
                </c:pt>
                <c:pt idx="225">
                  <c:v>3.9375000000000111</c:v>
                </c:pt>
                <c:pt idx="226">
                  <c:v>3.9550000000000112</c:v>
                </c:pt>
                <c:pt idx="227">
                  <c:v>3.9725000000000112</c:v>
                </c:pt>
                <c:pt idx="228">
                  <c:v>3.9900000000000113</c:v>
                </c:pt>
                <c:pt idx="229">
                  <c:v>4.0075000000000109</c:v>
                </c:pt>
                <c:pt idx="230">
                  <c:v>4.025000000000011</c:v>
                </c:pt>
                <c:pt idx="231">
                  <c:v>4.0425000000000111</c:v>
                </c:pt>
                <c:pt idx="232">
                  <c:v>4.0600000000000112</c:v>
                </c:pt>
                <c:pt idx="233">
                  <c:v>4.0775000000000112</c:v>
                </c:pt>
                <c:pt idx="234">
                  <c:v>4.0950000000000113</c:v>
                </c:pt>
                <c:pt idx="235">
                  <c:v>4.1125000000000114</c:v>
                </c:pt>
                <c:pt idx="236">
                  <c:v>4.1300000000000114</c:v>
                </c:pt>
                <c:pt idx="237">
                  <c:v>4.1475000000000115</c:v>
                </c:pt>
                <c:pt idx="238">
                  <c:v>4.1650000000000116</c:v>
                </c:pt>
                <c:pt idx="239">
                  <c:v>4.1825000000000117</c:v>
                </c:pt>
                <c:pt idx="240">
                  <c:v>4.2000000000000117</c:v>
                </c:pt>
                <c:pt idx="241">
                  <c:v>4.2175000000000118</c:v>
                </c:pt>
                <c:pt idx="242">
                  <c:v>4.2350000000000119</c:v>
                </c:pt>
                <c:pt idx="243">
                  <c:v>4.2525000000000119</c:v>
                </c:pt>
                <c:pt idx="244">
                  <c:v>4.270000000000012</c:v>
                </c:pt>
                <c:pt idx="245">
                  <c:v>4.2875000000000121</c:v>
                </c:pt>
                <c:pt idx="246">
                  <c:v>4.3050000000000122</c:v>
                </c:pt>
                <c:pt idx="247">
                  <c:v>4.3225000000000122</c:v>
                </c:pt>
                <c:pt idx="248">
                  <c:v>4.3400000000000123</c:v>
                </c:pt>
                <c:pt idx="249">
                  <c:v>4.3575000000000124</c:v>
                </c:pt>
                <c:pt idx="250">
                  <c:v>4.3750000000000124</c:v>
                </c:pt>
                <c:pt idx="251">
                  <c:v>4.3925000000000125</c:v>
                </c:pt>
                <c:pt idx="252">
                  <c:v>4.4100000000000126</c:v>
                </c:pt>
                <c:pt idx="253">
                  <c:v>4.4275000000000126</c:v>
                </c:pt>
                <c:pt idx="254">
                  <c:v>4.4450000000000127</c:v>
                </c:pt>
                <c:pt idx="255">
                  <c:v>4.4625000000000128</c:v>
                </c:pt>
                <c:pt idx="256">
                  <c:v>4.4800000000000129</c:v>
                </c:pt>
                <c:pt idx="257">
                  <c:v>4.4975000000000129</c:v>
                </c:pt>
                <c:pt idx="258">
                  <c:v>4.515000000000013</c:v>
                </c:pt>
                <c:pt idx="259">
                  <c:v>4.5325000000000131</c:v>
                </c:pt>
                <c:pt idx="260">
                  <c:v>4.5500000000000131</c:v>
                </c:pt>
                <c:pt idx="261">
                  <c:v>4.5675000000000132</c:v>
                </c:pt>
                <c:pt idx="262">
                  <c:v>4.5850000000000133</c:v>
                </c:pt>
                <c:pt idx="263">
                  <c:v>4.6025000000000134</c:v>
                </c:pt>
                <c:pt idx="264">
                  <c:v>4.6200000000000134</c:v>
                </c:pt>
                <c:pt idx="265">
                  <c:v>4.6375000000000135</c:v>
                </c:pt>
                <c:pt idx="266">
                  <c:v>4.6550000000000136</c:v>
                </c:pt>
                <c:pt idx="267">
                  <c:v>4.6725000000000136</c:v>
                </c:pt>
                <c:pt idx="268">
                  <c:v>4.6900000000000137</c:v>
                </c:pt>
                <c:pt idx="269">
                  <c:v>4.7075000000000138</c:v>
                </c:pt>
                <c:pt idx="270">
                  <c:v>4.7250000000000139</c:v>
                </c:pt>
                <c:pt idx="271">
                  <c:v>4.7425000000000139</c:v>
                </c:pt>
                <c:pt idx="272">
                  <c:v>4.760000000000014</c:v>
                </c:pt>
                <c:pt idx="273">
                  <c:v>4.7775000000000141</c:v>
                </c:pt>
                <c:pt idx="274">
                  <c:v>4.7950000000000141</c:v>
                </c:pt>
                <c:pt idx="275">
                  <c:v>4.8125000000000142</c:v>
                </c:pt>
                <c:pt idx="276">
                  <c:v>4.8300000000000143</c:v>
                </c:pt>
                <c:pt idx="277">
                  <c:v>4.8475000000000144</c:v>
                </c:pt>
                <c:pt idx="278">
                  <c:v>4.8650000000000144</c:v>
                </c:pt>
                <c:pt idx="279">
                  <c:v>4.8825000000000145</c:v>
                </c:pt>
                <c:pt idx="280">
                  <c:v>4.9000000000000146</c:v>
                </c:pt>
                <c:pt idx="281">
                  <c:v>4.9175000000000146</c:v>
                </c:pt>
                <c:pt idx="282">
                  <c:v>4.9350000000000147</c:v>
                </c:pt>
                <c:pt idx="283">
                  <c:v>4.9525000000000148</c:v>
                </c:pt>
                <c:pt idx="284">
                  <c:v>4.9700000000000149</c:v>
                </c:pt>
                <c:pt idx="285">
                  <c:v>4.9875000000000149</c:v>
                </c:pt>
                <c:pt idx="286">
                  <c:v>5.005000000000015</c:v>
                </c:pt>
                <c:pt idx="287">
                  <c:v>5.0225000000000151</c:v>
                </c:pt>
                <c:pt idx="288">
                  <c:v>5.0400000000000151</c:v>
                </c:pt>
                <c:pt idx="289">
                  <c:v>5.0575000000000152</c:v>
                </c:pt>
                <c:pt idx="290">
                  <c:v>5.0750000000000153</c:v>
                </c:pt>
                <c:pt idx="291">
                  <c:v>5.0925000000000153</c:v>
                </c:pt>
                <c:pt idx="292">
                  <c:v>5.1100000000000154</c:v>
                </c:pt>
                <c:pt idx="293">
                  <c:v>5.1275000000000155</c:v>
                </c:pt>
                <c:pt idx="294">
                  <c:v>5.1450000000000156</c:v>
                </c:pt>
                <c:pt idx="295">
                  <c:v>5.1625000000000156</c:v>
                </c:pt>
                <c:pt idx="296">
                  <c:v>5.1800000000000157</c:v>
                </c:pt>
                <c:pt idx="297">
                  <c:v>5.1975000000000158</c:v>
                </c:pt>
                <c:pt idx="298">
                  <c:v>5.2150000000000158</c:v>
                </c:pt>
                <c:pt idx="299">
                  <c:v>5.2325000000000159</c:v>
                </c:pt>
                <c:pt idx="300">
                  <c:v>5.250000000000016</c:v>
                </c:pt>
                <c:pt idx="301">
                  <c:v>5.2675000000000161</c:v>
                </c:pt>
                <c:pt idx="302">
                  <c:v>5.2850000000000161</c:v>
                </c:pt>
                <c:pt idx="303">
                  <c:v>5.3025000000000162</c:v>
                </c:pt>
                <c:pt idx="304">
                  <c:v>5.3200000000000163</c:v>
                </c:pt>
                <c:pt idx="305">
                  <c:v>5.3375000000000163</c:v>
                </c:pt>
                <c:pt idx="306">
                  <c:v>5.3550000000000164</c:v>
                </c:pt>
                <c:pt idx="307">
                  <c:v>5.3725000000000165</c:v>
                </c:pt>
                <c:pt idx="308">
                  <c:v>5.3900000000000166</c:v>
                </c:pt>
                <c:pt idx="309">
                  <c:v>5.4075000000000166</c:v>
                </c:pt>
                <c:pt idx="310">
                  <c:v>5.4250000000000167</c:v>
                </c:pt>
                <c:pt idx="311">
                  <c:v>5.4425000000000168</c:v>
                </c:pt>
                <c:pt idx="312">
                  <c:v>5.4600000000000168</c:v>
                </c:pt>
                <c:pt idx="313">
                  <c:v>5.4775000000000169</c:v>
                </c:pt>
                <c:pt idx="314">
                  <c:v>5.495000000000017</c:v>
                </c:pt>
                <c:pt idx="315">
                  <c:v>5.5125000000000171</c:v>
                </c:pt>
                <c:pt idx="316">
                  <c:v>5.5300000000000171</c:v>
                </c:pt>
                <c:pt idx="317">
                  <c:v>5.5475000000000172</c:v>
                </c:pt>
                <c:pt idx="318">
                  <c:v>5.5650000000000173</c:v>
                </c:pt>
                <c:pt idx="319">
                  <c:v>5.5825000000000173</c:v>
                </c:pt>
                <c:pt idx="320">
                  <c:v>5.6000000000000174</c:v>
                </c:pt>
                <c:pt idx="321">
                  <c:v>5.6175000000000175</c:v>
                </c:pt>
                <c:pt idx="322">
                  <c:v>5.6350000000000176</c:v>
                </c:pt>
                <c:pt idx="323">
                  <c:v>5.6525000000000176</c:v>
                </c:pt>
                <c:pt idx="324">
                  <c:v>5.6700000000000177</c:v>
                </c:pt>
                <c:pt idx="325">
                  <c:v>5.6875000000000178</c:v>
                </c:pt>
                <c:pt idx="326">
                  <c:v>5.7050000000000178</c:v>
                </c:pt>
                <c:pt idx="327">
                  <c:v>5.7225000000000179</c:v>
                </c:pt>
                <c:pt idx="328">
                  <c:v>5.740000000000018</c:v>
                </c:pt>
                <c:pt idx="329">
                  <c:v>5.757500000000018</c:v>
                </c:pt>
                <c:pt idx="330">
                  <c:v>5.7750000000000181</c:v>
                </c:pt>
                <c:pt idx="331">
                  <c:v>5.7925000000000182</c:v>
                </c:pt>
                <c:pt idx="332">
                  <c:v>5.8100000000000183</c:v>
                </c:pt>
                <c:pt idx="333">
                  <c:v>5.8275000000000183</c:v>
                </c:pt>
                <c:pt idx="334">
                  <c:v>5.8450000000000184</c:v>
                </c:pt>
                <c:pt idx="335">
                  <c:v>5.8625000000000185</c:v>
                </c:pt>
                <c:pt idx="336">
                  <c:v>5.8800000000000185</c:v>
                </c:pt>
                <c:pt idx="337">
                  <c:v>5.8975000000000186</c:v>
                </c:pt>
                <c:pt idx="338">
                  <c:v>5.9150000000000187</c:v>
                </c:pt>
                <c:pt idx="339">
                  <c:v>5.9325000000000188</c:v>
                </c:pt>
                <c:pt idx="340">
                  <c:v>5.9500000000000188</c:v>
                </c:pt>
                <c:pt idx="341">
                  <c:v>5.9675000000000189</c:v>
                </c:pt>
                <c:pt idx="342">
                  <c:v>5.985000000000019</c:v>
                </c:pt>
                <c:pt idx="343">
                  <c:v>6.002500000000019</c:v>
                </c:pt>
                <c:pt idx="344">
                  <c:v>6.0200000000000191</c:v>
                </c:pt>
                <c:pt idx="345">
                  <c:v>6.0375000000000192</c:v>
                </c:pt>
                <c:pt idx="346">
                  <c:v>6.0550000000000193</c:v>
                </c:pt>
                <c:pt idx="347">
                  <c:v>6.0725000000000193</c:v>
                </c:pt>
                <c:pt idx="348">
                  <c:v>6.0900000000000194</c:v>
                </c:pt>
                <c:pt idx="349">
                  <c:v>6.1075000000000195</c:v>
                </c:pt>
                <c:pt idx="350">
                  <c:v>6.1250000000000195</c:v>
                </c:pt>
                <c:pt idx="351">
                  <c:v>6.1425000000000196</c:v>
                </c:pt>
                <c:pt idx="352">
                  <c:v>6.1600000000000197</c:v>
                </c:pt>
                <c:pt idx="353">
                  <c:v>6.1775000000000198</c:v>
                </c:pt>
                <c:pt idx="354">
                  <c:v>6.1950000000000198</c:v>
                </c:pt>
                <c:pt idx="355">
                  <c:v>6.2125000000000199</c:v>
                </c:pt>
                <c:pt idx="356">
                  <c:v>6.23000000000002</c:v>
                </c:pt>
                <c:pt idx="357">
                  <c:v>6.24750000000002</c:v>
                </c:pt>
                <c:pt idx="358">
                  <c:v>6.2650000000000201</c:v>
                </c:pt>
                <c:pt idx="359">
                  <c:v>6.2825000000000202</c:v>
                </c:pt>
                <c:pt idx="360">
                  <c:v>6.3000000000000203</c:v>
                </c:pt>
                <c:pt idx="361">
                  <c:v>6.3175000000000203</c:v>
                </c:pt>
                <c:pt idx="362">
                  <c:v>6.3350000000000204</c:v>
                </c:pt>
                <c:pt idx="363">
                  <c:v>6.3525000000000205</c:v>
                </c:pt>
                <c:pt idx="364">
                  <c:v>6.3700000000000205</c:v>
                </c:pt>
                <c:pt idx="365">
                  <c:v>6.3875000000000206</c:v>
                </c:pt>
                <c:pt idx="366">
                  <c:v>6.4050000000000207</c:v>
                </c:pt>
                <c:pt idx="367">
                  <c:v>6.4225000000000207</c:v>
                </c:pt>
                <c:pt idx="368">
                  <c:v>6.4400000000000208</c:v>
                </c:pt>
                <c:pt idx="369">
                  <c:v>6.4575000000000209</c:v>
                </c:pt>
                <c:pt idx="370">
                  <c:v>6.475000000000021</c:v>
                </c:pt>
                <c:pt idx="371">
                  <c:v>6.492500000000021</c:v>
                </c:pt>
                <c:pt idx="372">
                  <c:v>6.5100000000000211</c:v>
                </c:pt>
                <c:pt idx="373">
                  <c:v>6.5275000000000212</c:v>
                </c:pt>
                <c:pt idx="374">
                  <c:v>6.5450000000000212</c:v>
                </c:pt>
                <c:pt idx="375">
                  <c:v>6.5625000000000213</c:v>
                </c:pt>
                <c:pt idx="376">
                  <c:v>6.5800000000000214</c:v>
                </c:pt>
                <c:pt idx="377">
                  <c:v>6.5975000000000215</c:v>
                </c:pt>
                <c:pt idx="378">
                  <c:v>6.6150000000000215</c:v>
                </c:pt>
                <c:pt idx="379">
                  <c:v>6.6325000000000216</c:v>
                </c:pt>
                <c:pt idx="380">
                  <c:v>6.6500000000000217</c:v>
                </c:pt>
                <c:pt idx="381">
                  <c:v>6.6675000000000217</c:v>
                </c:pt>
                <c:pt idx="382">
                  <c:v>6.6850000000000218</c:v>
                </c:pt>
                <c:pt idx="383">
                  <c:v>6.7025000000000219</c:v>
                </c:pt>
                <c:pt idx="384">
                  <c:v>6.720000000000022</c:v>
                </c:pt>
                <c:pt idx="385">
                  <c:v>6.737500000000022</c:v>
                </c:pt>
                <c:pt idx="386">
                  <c:v>6.7550000000000221</c:v>
                </c:pt>
                <c:pt idx="387">
                  <c:v>6.7725000000000222</c:v>
                </c:pt>
                <c:pt idx="388">
                  <c:v>6.7900000000000222</c:v>
                </c:pt>
                <c:pt idx="389">
                  <c:v>6.8075000000000223</c:v>
                </c:pt>
                <c:pt idx="390">
                  <c:v>6.8250000000000224</c:v>
                </c:pt>
                <c:pt idx="391">
                  <c:v>6.8425000000000225</c:v>
                </c:pt>
                <c:pt idx="392">
                  <c:v>6.8600000000000225</c:v>
                </c:pt>
                <c:pt idx="393">
                  <c:v>6.8775000000000226</c:v>
                </c:pt>
                <c:pt idx="394">
                  <c:v>6.8950000000000227</c:v>
                </c:pt>
                <c:pt idx="395">
                  <c:v>6.9125000000000227</c:v>
                </c:pt>
                <c:pt idx="396">
                  <c:v>6.9300000000000228</c:v>
                </c:pt>
                <c:pt idx="397">
                  <c:v>6.9475000000000229</c:v>
                </c:pt>
                <c:pt idx="398">
                  <c:v>6.965000000000023</c:v>
                </c:pt>
                <c:pt idx="399">
                  <c:v>6.982500000000023</c:v>
                </c:pt>
                <c:pt idx="400">
                  <c:v>7.0000000000000231</c:v>
                </c:pt>
              </c:numCache>
            </c:numRef>
          </c:xVal>
          <c:yVal>
            <c:numRef>
              <c:f>'xVA Calculations'!$T$30:$T$430</c:f>
              <c:numCache>
                <c:formatCode>General</c:formatCode>
                <c:ptCount val="40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  <c:pt idx="51">
                  <c:v>-1</c:v>
                </c:pt>
                <c:pt idx="52">
                  <c:v>-1</c:v>
                </c:pt>
                <c:pt idx="53">
                  <c:v>-1</c:v>
                </c:pt>
                <c:pt idx="54">
                  <c:v>-1</c:v>
                </c:pt>
                <c:pt idx="55">
                  <c:v>-1</c:v>
                </c:pt>
                <c:pt idx="56">
                  <c:v>-1</c:v>
                </c:pt>
                <c:pt idx="57">
                  <c:v>0</c:v>
                </c:pt>
                <c:pt idx="58">
                  <c:v>-1</c:v>
                </c:pt>
                <c:pt idx="59">
                  <c:v>-1</c:v>
                </c:pt>
                <c:pt idx="60">
                  <c:v>-1</c:v>
                </c:pt>
                <c:pt idx="61">
                  <c:v>-1</c:v>
                </c:pt>
                <c:pt idx="62">
                  <c:v>-1</c:v>
                </c:pt>
                <c:pt idx="63">
                  <c:v>-1</c:v>
                </c:pt>
                <c:pt idx="64">
                  <c:v>-1</c:v>
                </c:pt>
                <c:pt idx="65">
                  <c:v>-1</c:v>
                </c:pt>
                <c:pt idx="66">
                  <c:v>-1</c:v>
                </c:pt>
                <c:pt idx="67">
                  <c:v>-1</c:v>
                </c:pt>
                <c:pt idx="68">
                  <c:v>-1</c:v>
                </c:pt>
                <c:pt idx="69">
                  <c:v>-1</c:v>
                </c:pt>
                <c:pt idx="70">
                  <c:v>-1</c:v>
                </c:pt>
                <c:pt idx="71">
                  <c:v>-1</c:v>
                </c:pt>
                <c:pt idx="72">
                  <c:v>-1</c:v>
                </c:pt>
                <c:pt idx="73">
                  <c:v>-1</c:v>
                </c:pt>
                <c:pt idx="74">
                  <c:v>-1</c:v>
                </c:pt>
                <c:pt idx="75">
                  <c:v>-1</c:v>
                </c:pt>
                <c:pt idx="76">
                  <c:v>-1</c:v>
                </c:pt>
                <c:pt idx="77">
                  <c:v>-1</c:v>
                </c:pt>
                <c:pt idx="78">
                  <c:v>-1</c:v>
                </c:pt>
                <c:pt idx="79">
                  <c:v>-1</c:v>
                </c:pt>
                <c:pt idx="80">
                  <c:v>-1</c:v>
                </c:pt>
                <c:pt idx="81">
                  <c:v>-1</c:v>
                </c:pt>
                <c:pt idx="82">
                  <c:v>-1</c:v>
                </c:pt>
                <c:pt idx="83">
                  <c:v>-1</c:v>
                </c:pt>
                <c:pt idx="84">
                  <c:v>-1</c:v>
                </c:pt>
                <c:pt idx="85">
                  <c:v>-1</c:v>
                </c:pt>
                <c:pt idx="86">
                  <c:v>-1</c:v>
                </c:pt>
                <c:pt idx="87">
                  <c:v>-1</c:v>
                </c:pt>
                <c:pt idx="88">
                  <c:v>-1</c:v>
                </c:pt>
                <c:pt idx="89">
                  <c:v>-1</c:v>
                </c:pt>
                <c:pt idx="90">
                  <c:v>-1</c:v>
                </c:pt>
                <c:pt idx="91">
                  <c:v>-1</c:v>
                </c:pt>
                <c:pt idx="92">
                  <c:v>-1</c:v>
                </c:pt>
                <c:pt idx="93">
                  <c:v>-1</c:v>
                </c:pt>
                <c:pt idx="94">
                  <c:v>-1</c:v>
                </c:pt>
                <c:pt idx="95">
                  <c:v>-1</c:v>
                </c:pt>
                <c:pt idx="96">
                  <c:v>-1</c:v>
                </c:pt>
                <c:pt idx="97">
                  <c:v>-1</c:v>
                </c:pt>
                <c:pt idx="98">
                  <c:v>-1</c:v>
                </c:pt>
                <c:pt idx="99">
                  <c:v>-1</c:v>
                </c:pt>
                <c:pt idx="100">
                  <c:v>-1</c:v>
                </c:pt>
                <c:pt idx="101">
                  <c:v>-1</c:v>
                </c:pt>
                <c:pt idx="102">
                  <c:v>-1</c:v>
                </c:pt>
                <c:pt idx="103">
                  <c:v>-1</c:v>
                </c:pt>
                <c:pt idx="104">
                  <c:v>-1</c:v>
                </c:pt>
                <c:pt idx="105">
                  <c:v>-1</c:v>
                </c:pt>
                <c:pt idx="106">
                  <c:v>-1</c:v>
                </c:pt>
                <c:pt idx="107">
                  <c:v>-1</c:v>
                </c:pt>
                <c:pt idx="108">
                  <c:v>-1</c:v>
                </c:pt>
                <c:pt idx="109">
                  <c:v>-1</c:v>
                </c:pt>
                <c:pt idx="110">
                  <c:v>-1</c:v>
                </c:pt>
                <c:pt idx="111">
                  <c:v>-1</c:v>
                </c:pt>
                <c:pt idx="112">
                  <c:v>-1</c:v>
                </c:pt>
                <c:pt idx="113">
                  <c:v>-1</c:v>
                </c:pt>
                <c:pt idx="114">
                  <c:v>-1</c:v>
                </c:pt>
                <c:pt idx="115">
                  <c:v>-1</c:v>
                </c:pt>
                <c:pt idx="116">
                  <c:v>-1</c:v>
                </c:pt>
                <c:pt idx="117">
                  <c:v>-1</c:v>
                </c:pt>
                <c:pt idx="118">
                  <c:v>-1</c:v>
                </c:pt>
                <c:pt idx="119">
                  <c:v>-1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-1</c:v>
                </c:pt>
                <c:pt idx="124">
                  <c:v>-1</c:v>
                </c:pt>
                <c:pt idx="125">
                  <c:v>-1</c:v>
                </c:pt>
                <c:pt idx="126">
                  <c:v>-1</c:v>
                </c:pt>
                <c:pt idx="127">
                  <c:v>-1</c:v>
                </c:pt>
                <c:pt idx="128">
                  <c:v>-1</c:v>
                </c:pt>
                <c:pt idx="129">
                  <c:v>-1</c:v>
                </c:pt>
                <c:pt idx="130">
                  <c:v>-1</c:v>
                </c:pt>
                <c:pt idx="131">
                  <c:v>-1</c:v>
                </c:pt>
                <c:pt idx="132">
                  <c:v>-1</c:v>
                </c:pt>
                <c:pt idx="133">
                  <c:v>-1</c:v>
                </c:pt>
                <c:pt idx="134">
                  <c:v>-1</c:v>
                </c:pt>
                <c:pt idx="135">
                  <c:v>-1</c:v>
                </c:pt>
                <c:pt idx="136">
                  <c:v>-1</c:v>
                </c:pt>
                <c:pt idx="137">
                  <c:v>-1</c:v>
                </c:pt>
                <c:pt idx="138">
                  <c:v>-1</c:v>
                </c:pt>
                <c:pt idx="139">
                  <c:v>-1</c:v>
                </c:pt>
                <c:pt idx="140">
                  <c:v>-1</c:v>
                </c:pt>
                <c:pt idx="141">
                  <c:v>-1</c:v>
                </c:pt>
                <c:pt idx="142">
                  <c:v>-1</c:v>
                </c:pt>
                <c:pt idx="143">
                  <c:v>-1</c:v>
                </c:pt>
                <c:pt idx="144">
                  <c:v>-1</c:v>
                </c:pt>
                <c:pt idx="145">
                  <c:v>-1</c:v>
                </c:pt>
                <c:pt idx="146">
                  <c:v>-1</c:v>
                </c:pt>
                <c:pt idx="147">
                  <c:v>-1</c:v>
                </c:pt>
                <c:pt idx="148">
                  <c:v>-1</c:v>
                </c:pt>
                <c:pt idx="149">
                  <c:v>-1</c:v>
                </c:pt>
                <c:pt idx="150">
                  <c:v>-1</c:v>
                </c:pt>
                <c:pt idx="151">
                  <c:v>-1</c:v>
                </c:pt>
                <c:pt idx="152">
                  <c:v>-1</c:v>
                </c:pt>
                <c:pt idx="153">
                  <c:v>-1</c:v>
                </c:pt>
                <c:pt idx="154">
                  <c:v>-1</c:v>
                </c:pt>
                <c:pt idx="155">
                  <c:v>-1</c:v>
                </c:pt>
                <c:pt idx="156">
                  <c:v>-1</c:v>
                </c:pt>
                <c:pt idx="157">
                  <c:v>-1</c:v>
                </c:pt>
                <c:pt idx="158">
                  <c:v>-1</c:v>
                </c:pt>
                <c:pt idx="159">
                  <c:v>-1</c:v>
                </c:pt>
                <c:pt idx="160">
                  <c:v>-1</c:v>
                </c:pt>
                <c:pt idx="161">
                  <c:v>-1</c:v>
                </c:pt>
                <c:pt idx="162">
                  <c:v>-1</c:v>
                </c:pt>
                <c:pt idx="163">
                  <c:v>-1</c:v>
                </c:pt>
                <c:pt idx="164">
                  <c:v>-1</c:v>
                </c:pt>
                <c:pt idx="165">
                  <c:v>-1</c:v>
                </c:pt>
                <c:pt idx="166">
                  <c:v>-1</c:v>
                </c:pt>
                <c:pt idx="167">
                  <c:v>-1</c:v>
                </c:pt>
                <c:pt idx="168">
                  <c:v>-1</c:v>
                </c:pt>
                <c:pt idx="169">
                  <c:v>-1</c:v>
                </c:pt>
                <c:pt idx="170">
                  <c:v>-1</c:v>
                </c:pt>
                <c:pt idx="171">
                  <c:v>0</c:v>
                </c:pt>
                <c:pt idx="172">
                  <c:v>-1</c:v>
                </c:pt>
                <c:pt idx="173">
                  <c:v>-1</c:v>
                </c:pt>
                <c:pt idx="174">
                  <c:v>-1</c:v>
                </c:pt>
                <c:pt idx="175">
                  <c:v>-1</c:v>
                </c:pt>
                <c:pt idx="176">
                  <c:v>-1</c:v>
                </c:pt>
                <c:pt idx="177">
                  <c:v>-1</c:v>
                </c:pt>
                <c:pt idx="178">
                  <c:v>-1</c:v>
                </c:pt>
                <c:pt idx="179">
                  <c:v>-1</c:v>
                </c:pt>
                <c:pt idx="180">
                  <c:v>-1</c:v>
                </c:pt>
                <c:pt idx="181">
                  <c:v>-1</c:v>
                </c:pt>
                <c:pt idx="182">
                  <c:v>-1</c:v>
                </c:pt>
                <c:pt idx="183">
                  <c:v>-1</c:v>
                </c:pt>
                <c:pt idx="184">
                  <c:v>-1</c:v>
                </c:pt>
                <c:pt idx="185">
                  <c:v>-1</c:v>
                </c:pt>
                <c:pt idx="186">
                  <c:v>-1</c:v>
                </c:pt>
                <c:pt idx="187">
                  <c:v>-1</c:v>
                </c:pt>
                <c:pt idx="188">
                  <c:v>-1</c:v>
                </c:pt>
                <c:pt idx="189">
                  <c:v>-1</c:v>
                </c:pt>
                <c:pt idx="190">
                  <c:v>-1</c:v>
                </c:pt>
                <c:pt idx="191">
                  <c:v>-1</c:v>
                </c:pt>
                <c:pt idx="192">
                  <c:v>-1</c:v>
                </c:pt>
                <c:pt idx="193">
                  <c:v>-1</c:v>
                </c:pt>
                <c:pt idx="194">
                  <c:v>-1</c:v>
                </c:pt>
                <c:pt idx="195">
                  <c:v>-1</c:v>
                </c:pt>
                <c:pt idx="196">
                  <c:v>-1</c:v>
                </c:pt>
                <c:pt idx="197">
                  <c:v>-1</c:v>
                </c:pt>
                <c:pt idx="198">
                  <c:v>-1</c:v>
                </c:pt>
                <c:pt idx="199">
                  <c:v>-1</c:v>
                </c:pt>
                <c:pt idx="200">
                  <c:v>-1</c:v>
                </c:pt>
                <c:pt idx="201">
                  <c:v>-1</c:v>
                </c:pt>
                <c:pt idx="202">
                  <c:v>-1</c:v>
                </c:pt>
                <c:pt idx="203">
                  <c:v>-1</c:v>
                </c:pt>
                <c:pt idx="204">
                  <c:v>-1</c:v>
                </c:pt>
                <c:pt idx="205">
                  <c:v>-1</c:v>
                </c:pt>
                <c:pt idx="206">
                  <c:v>-1</c:v>
                </c:pt>
                <c:pt idx="207">
                  <c:v>-1</c:v>
                </c:pt>
                <c:pt idx="208">
                  <c:v>-1</c:v>
                </c:pt>
                <c:pt idx="209">
                  <c:v>-1</c:v>
                </c:pt>
                <c:pt idx="210">
                  <c:v>-1</c:v>
                </c:pt>
                <c:pt idx="211">
                  <c:v>-1</c:v>
                </c:pt>
                <c:pt idx="212">
                  <c:v>-1</c:v>
                </c:pt>
                <c:pt idx="213">
                  <c:v>-1</c:v>
                </c:pt>
                <c:pt idx="214">
                  <c:v>-1</c:v>
                </c:pt>
                <c:pt idx="215">
                  <c:v>-1</c:v>
                </c:pt>
                <c:pt idx="216">
                  <c:v>-1</c:v>
                </c:pt>
                <c:pt idx="217">
                  <c:v>-1</c:v>
                </c:pt>
                <c:pt idx="218">
                  <c:v>-1</c:v>
                </c:pt>
                <c:pt idx="219">
                  <c:v>-1</c:v>
                </c:pt>
                <c:pt idx="220">
                  <c:v>-1</c:v>
                </c:pt>
                <c:pt idx="221">
                  <c:v>-1</c:v>
                </c:pt>
                <c:pt idx="222">
                  <c:v>-1</c:v>
                </c:pt>
                <c:pt idx="223">
                  <c:v>-1</c:v>
                </c:pt>
                <c:pt idx="224">
                  <c:v>-1</c:v>
                </c:pt>
                <c:pt idx="225">
                  <c:v>-1</c:v>
                </c:pt>
                <c:pt idx="226">
                  <c:v>-1</c:v>
                </c:pt>
                <c:pt idx="227">
                  <c:v>-1</c:v>
                </c:pt>
                <c:pt idx="228">
                  <c:v>-1</c:v>
                </c:pt>
                <c:pt idx="229">
                  <c:v>-1</c:v>
                </c:pt>
                <c:pt idx="230">
                  <c:v>-1</c:v>
                </c:pt>
                <c:pt idx="231">
                  <c:v>-1</c:v>
                </c:pt>
                <c:pt idx="232">
                  <c:v>-1</c:v>
                </c:pt>
                <c:pt idx="233">
                  <c:v>-1</c:v>
                </c:pt>
                <c:pt idx="234">
                  <c:v>-1</c:v>
                </c:pt>
                <c:pt idx="235">
                  <c:v>-1</c:v>
                </c:pt>
                <c:pt idx="236">
                  <c:v>-1</c:v>
                </c:pt>
                <c:pt idx="237">
                  <c:v>-1</c:v>
                </c:pt>
                <c:pt idx="238">
                  <c:v>-1</c:v>
                </c:pt>
                <c:pt idx="239">
                  <c:v>-1</c:v>
                </c:pt>
                <c:pt idx="240">
                  <c:v>-1</c:v>
                </c:pt>
                <c:pt idx="241">
                  <c:v>-1</c:v>
                </c:pt>
                <c:pt idx="242">
                  <c:v>-1</c:v>
                </c:pt>
                <c:pt idx="243">
                  <c:v>-1</c:v>
                </c:pt>
                <c:pt idx="244">
                  <c:v>-1</c:v>
                </c:pt>
                <c:pt idx="245">
                  <c:v>-1</c:v>
                </c:pt>
                <c:pt idx="246">
                  <c:v>-1</c:v>
                </c:pt>
                <c:pt idx="247">
                  <c:v>-1</c:v>
                </c:pt>
                <c:pt idx="248">
                  <c:v>-1</c:v>
                </c:pt>
                <c:pt idx="249">
                  <c:v>-1</c:v>
                </c:pt>
                <c:pt idx="250">
                  <c:v>-1</c:v>
                </c:pt>
                <c:pt idx="251">
                  <c:v>-1</c:v>
                </c:pt>
                <c:pt idx="252">
                  <c:v>-1</c:v>
                </c:pt>
                <c:pt idx="253">
                  <c:v>-1</c:v>
                </c:pt>
                <c:pt idx="254">
                  <c:v>-1</c:v>
                </c:pt>
                <c:pt idx="255">
                  <c:v>-1</c:v>
                </c:pt>
                <c:pt idx="256">
                  <c:v>-1</c:v>
                </c:pt>
                <c:pt idx="257">
                  <c:v>-1</c:v>
                </c:pt>
                <c:pt idx="258">
                  <c:v>-1</c:v>
                </c:pt>
                <c:pt idx="259">
                  <c:v>-1</c:v>
                </c:pt>
                <c:pt idx="260">
                  <c:v>-1</c:v>
                </c:pt>
                <c:pt idx="261">
                  <c:v>-1</c:v>
                </c:pt>
                <c:pt idx="262">
                  <c:v>-1</c:v>
                </c:pt>
                <c:pt idx="263">
                  <c:v>-1</c:v>
                </c:pt>
                <c:pt idx="264">
                  <c:v>-1</c:v>
                </c:pt>
                <c:pt idx="265">
                  <c:v>-1</c:v>
                </c:pt>
                <c:pt idx="266">
                  <c:v>-1</c:v>
                </c:pt>
                <c:pt idx="267">
                  <c:v>-1</c:v>
                </c:pt>
                <c:pt idx="268">
                  <c:v>-1</c:v>
                </c:pt>
                <c:pt idx="269">
                  <c:v>-1</c:v>
                </c:pt>
                <c:pt idx="270">
                  <c:v>-1</c:v>
                </c:pt>
                <c:pt idx="271">
                  <c:v>-1</c:v>
                </c:pt>
                <c:pt idx="272">
                  <c:v>-1</c:v>
                </c:pt>
                <c:pt idx="273">
                  <c:v>-1</c:v>
                </c:pt>
                <c:pt idx="274">
                  <c:v>-1</c:v>
                </c:pt>
                <c:pt idx="275">
                  <c:v>-1</c:v>
                </c:pt>
                <c:pt idx="276">
                  <c:v>-1</c:v>
                </c:pt>
                <c:pt idx="277">
                  <c:v>-1</c:v>
                </c:pt>
                <c:pt idx="278">
                  <c:v>-1</c:v>
                </c:pt>
                <c:pt idx="279">
                  <c:v>-1</c:v>
                </c:pt>
                <c:pt idx="280">
                  <c:v>-1</c:v>
                </c:pt>
                <c:pt idx="281">
                  <c:v>-1</c:v>
                </c:pt>
                <c:pt idx="282">
                  <c:v>-1</c:v>
                </c:pt>
                <c:pt idx="283">
                  <c:v>-1</c:v>
                </c:pt>
                <c:pt idx="284">
                  <c:v>-1</c:v>
                </c:pt>
                <c:pt idx="285">
                  <c:v>0</c:v>
                </c:pt>
                <c:pt idx="286">
                  <c:v>-1</c:v>
                </c:pt>
                <c:pt idx="287">
                  <c:v>-1</c:v>
                </c:pt>
                <c:pt idx="288">
                  <c:v>-1</c:v>
                </c:pt>
                <c:pt idx="289">
                  <c:v>-1</c:v>
                </c:pt>
                <c:pt idx="290">
                  <c:v>-1</c:v>
                </c:pt>
                <c:pt idx="291">
                  <c:v>-1</c:v>
                </c:pt>
                <c:pt idx="292">
                  <c:v>-1</c:v>
                </c:pt>
                <c:pt idx="293">
                  <c:v>-1</c:v>
                </c:pt>
                <c:pt idx="294">
                  <c:v>-1</c:v>
                </c:pt>
                <c:pt idx="295">
                  <c:v>-1</c:v>
                </c:pt>
                <c:pt idx="296">
                  <c:v>-1</c:v>
                </c:pt>
                <c:pt idx="297">
                  <c:v>-1</c:v>
                </c:pt>
                <c:pt idx="298">
                  <c:v>-1</c:v>
                </c:pt>
                <c:pt idx="299">
                  <c:v>-1</c:v>
                </c:pt>
                <c:pt idx="300">
                  <c:v>-1</c:v>
                </c:pt>
                <c:pt idx="301">
                  <c:v>-1</c:v>
                </c:pt>
                <c:pt idx="302">
                  <c:v>-1</c:v>
                </c:pt>
                <c:pt idx="303">
                  <c:v>-1</c:v>
                </c:pt>
                <c:pt idx="304">
                  <c:v>-1</c:v>
                </c:pt>
                <c:pt idx="305">
                  <c:v>-1</c:v>
                </c:pt>
                <c:pt idx="306">
                  <c:v>-1</c:v>
                </c:pt>
                <c:pt idx="307">
                  <c:v>-1</c:v>
                </c:pt>
                <c:pt idx="308">
                  <c:v>-1</c:v>
                </c:pt>
                <c:pt idx="309">
                  <c:v>-1</c:v>
                </c:pt>
                <c:pt idx="310">
                  <c:v>-1</c:v>
                </c:pt>
                <c:pt idx="311">
                  <c:v>-1</c:v>
                </c:pt>
                <c:pt idx="312">
                  <c:v>-1</c:v>
                </c:pt>
                <c:pt idx="313">
                  <c:v>-1</c:v>
                </c:pt>
                <c:pt idx="314">
                  <c:v>-1</c:v>
                </c:pt>
                <c:pt idx="315">
                  <c:v>-1</c:v>
                </c:pt>
                <c:pt idx="316">
                  <c:v>-1</c:v>
                </c:pt>
                <c:pt idx="317">
                  <c:v>-1</c:v>
                </c:pt>
                <c:pt idx="318">
                  <c:v>-1</c:v>
                </c:pt>
                <c:pt idx="319">
                  <c:v>-1</c:v>
                </c:pt>
                <c:pt idx="320">
                  <c:v>-1</c:v>
                </c:pt>
                <c:pt idx="321">
                  <c:v>-1</c:v>
                </c:pt>
                <c:pt idx="322">
                  <c:v>-1</c:v>
                </c:pt>
                <c:pt idx="323">
                  <c:v>-1</c:v>
                </c:pt>
                <c:pt idx="324">
                  <c:v>-1</c:v>
                </c:pt>
                <c:pt idx="325">
                  <c:v>-1</c:v>
                </c:pt>
                <c:pt idx="326">
                  <c:v>-1</c:v>
                </c:pt>
                <c:pt idx="327">
                  <c:v>-1</c:v>
                </c:pt>
                <c:pt idx="328">
                  <c:v>-1</c:v>
                </c:pt>
                <c:pt idx="329">
                  <c:v>-1</c:v>
                </c:pt>
                <c:pt idx="330">
                  <c:v>-1</c:v>
                </c:pt>
                <c:pt idx="331">
                  <c:v>-1</c:v>
                </c:pt>
                <c:pt idx="332">
                  <c:v>-1</c:v>
                </c:pt>
                <c:pt idx="333">
                  <c:v>-1</c:v>
                </c:pt>
                <c:pt idx="334">
                  <c:v>-1</c:v>
                </c:pt>
                <c:pt idx="335">
                  <c:v>-1</c:v>
                </c:pt>
                <c:pt idx="336">
                  <c:v>-1</c:v>
                </c:pt>
                <c:pt idx="337">
                  <c:v>-1</c:v>
                </c:pt>
                <c:pt idx="338">
                  <c:v>-1</c:v>
                </c:pt>
                <c:pt idx="339">
                  <c:v>-1</c:v>
                </c:pt>
                <c:pt idx="340">
                  <c:v>-1</c:v>
                </c:pt>
                <c:pt idx="341">
                  <c:v>-1</c:v>
                </c:pt>
                <c:pt idx="342">
                  <c:v>-1</c:v>
                </c:pt>
                <c:pt idx="343">
                  <c:v>-1</c:v>
                </c:pt>
                <c:pt idx="344">
                  <c:v>-1</c:v>
                </c:pt>
                <c:pt idx="345">
                  <c:v>-1</c:v>
                </c:pt>
                <c:pt idx="346">
                  <c:v>-1</c:v>
                </c:pt>
                <c:pt idx="347">
                  <c:v>-1</c:v>
                </c:pt>
                <c:pt idx="348">
                  <c:v>-1</c:v>
                </c:pt>
                <c:pt idx="349">
                  <c:v>-1</c:v>
                </c:pt>
                <c:pt idx="350">
                  <c:v>-1</c:v>
                </c:pt>
                <c:pt idx="351">
                  <c:v>-1</c:v>
                </c:pt>
                <c:pt idx="352">
                  <c:v>-1</c:v>
                </c:pt>
                <c:pt idx="353">
                  <c:v>-1</c:v>
                </c:pt>
                <c:pt idx="354">
                  <c:v>-1</c:v>
                </c:pt>
                <c:pt idx="355">
                  <c:v>-1</c:v>
                </c:pt>
                <c:pt idx="356">
                  <c:v>-1</c:v>
                </c:pt>
                <c:pt idx="357">
                  <c:v>-1</c:v>
                </c:pt>
                <c:pt idx="358">
                  <c:v>-1</c:v>
                </c:pt>
                <c:pt idx="359">
                  <c:v>-1</c:v>
                </c:pt>
                <c:pt idx="360">
                  <c:v>-1</c:v>
                </c:pt>
                <c:pt idx="361">
                  <c:v>-1</c:v>
                </c:pt>
                <c:pt idx="362">
                  <c:v>-1</c:v>
                </c:pt>
                <c:pt idx="363">
                  <c:v>-1</c:v>
                </c:pt>
                <c:pt idx="364">
                  <c:v>-1</c:v>
                </c:pt>
                <c:pt idx="365">
                  <c:v>-1</c:v>
                </c:pt>
                <c:pt idx="366">
                  <c:v>-1</c:v>
                </c:pt>
                <c:pt idx="367">
                  <c:v>-1</c:v>
                </c:pt>
                <c:pt idx="368">
                  <c:v>-1</c:v>
                </c:pt>
                <c:pt idx="369">
                  <c:v>-1</c:v>
                </c:pt>
                <c:pt idx="370">
                  <c:v>-1</c:v>
                </c:pt>
                <c:pt idx="371">
                  <c:v>-1</c:v>
                </c:pt>
                <c:pt idx="372">
                  <c:v>-1</c:v>
                </c:pt>
                <c:pt idx="373">
                  <c:v>-1</c:v>
                </c:pt>
                <c:pt idx="374">
                  <c:v>-1</c:v>
                </c:pt>
                <c:pt idx="375">
                  <c:v>-1</c:v>
                </c:pt>
                <c:pt idx="376">
                  <c:v>-1</c:v>
                </c:pt>
                <c:pt idx="377">
                  <c:v>-1</c:v>
                </c:pt>
                <c:pt idx="378">
                  <c:v>-1</c:v>
                </c:pt>
                <c:pt idx="379">
                  <c:v>-1</c:v>
                </c:pt>
                <c:pt idx="380">
                  <c:v>-1</c:v>
                </c:pt>
                <c:pt idx="381">
                  <c:v>-1</c:v>
                </c:pt>
                <c:pt idx="382">
                  <c:v>-1</c:v>
                </c:pt>
                <c:pt idx="383">
                  <c:v>-1</c:v>
                </c:pt>
                <c:pt idx="384">
                  <c:v>-1</c:v>
                </c:pt>
                <c:pt idx="385">
                  <c:v>-1</c:v>
                </c:pt>
                <c:pt idx="386">
                  <c:v>-1</c:v>
                </c:pt>
                <c:pt idx="387">
                  <c:v>-1</c:v>
                </c:pt>
                <c:pt idx="388">
                  <c:v>-1</c:v>
                </c:pt>
                <c:pt idx="389">
                  <c:v>-1</c:v>
                </c:pt>
                <c:pt idx="390">
                  <c:v>-1</c:v>
                </c:pt>
                <c:pt idx="391">
                  <c:v>-1</c:v>
                </c:pt>
                <c:pt idx="392">
                  <c:v>-1</c:v>
                </c:pt>
                <c:pt idx="393">
                  <c:v>-1</c:v>
                </c:pt>
                <c:pt idx="394">
                  <c:v>-1</c:v>
                </c:pt>
                <c:pt idx="395">
                  <c:v>-1</c:v>
                </c:pt>
                <c:pt idx="396">
                  <c:v>-1</c:v>
                </c:pt>
                <c:pt idx="397">
                  <c:v>-1</c:v>
                </c:pt>
                <c:pt idx="398">
                  <c:v>-1</c:v>
                </c:pt>
                <c:pt idx="399">
                  <c:v>-1</c:v>
                </c:pt>
                <c:pt idx="40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714704"/>
        <c:axId val="433719800"/>
      </c:scatterChart>
      <c:valAx>
        <c:axId val="4337147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Maturity (years)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433719800"/>
        <c:crosses val="autoZero"/>
        <c:crossBetween val="midCat"/>
      </c:valAx>
      <c:valAx>
        <c:axId val="433719800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Spread (bps)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33714704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t"/>
      <c:layout/>
      <c:overlay val="0"/>
      <c:spPr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9</xdr:col>
      <xdr:colOff>152400</xdr:colOff>
      <xdr:row>6</xdr:row>
      <xdr:rowOff>0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0" y="9525"/>
          <a:ext cx="5372100" cy="950595"/>
        </a:xfrm>
        <a:prstGeom prst="rect">
          <a:avLst/>
        </a:prstGeom>
        <a:solidFill>
          <a:srgbClr val="DDDDDD"/>
        </a:solidFill>
        <a:ln w="9525">
          <a:solidFill>
            <a:srgbClr val="DDDDDD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2800" b="0" i="0" u="none" strike="noStrike" baseline="0">
              <a:solidFill>
                <a:srgbClr val="0000FF"/>
              </a:solidFill>
              <a:latin typeface="Arial"/>
              <a:cs typeface="Arial"/>
            </a:rPr>
            <a:t>Simple xVA Calculator</a:t>
          </a: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1000" b="0" i="1" u="none" strike="noStrike" baseline="0">
              <a:solidFill>
                <a:srgbClr val="000000"/>
              </a:solidFill>
              <a:latin typeface="Arial"/>
              <a:cs typeface="Arial"/>
            </a:rPr>
            <a:t>Simple calculation of xVA terms (CVA, DVA, FCA, KVA, MVA) for a single interest rate swap.</a:t>
          </a:r>
        </a:p>
      </xdr:txBody>
    </xdr:sp>
    <xdr:clientData/>
  </xdr:twoCellAnchor>
  <xdr:twoCellAnchor>
    <xdr:from>
      <xdr:col>7</xdr:col>
      <xdr:colOff>138156</xdr:colOff>
      <xdr:row>1</xdr:row>
      <xdr:rowOff>123825</xdr:rowOff>
    </xdr:from>
    <xdr:to>
      <xdr:col>8</xdr:col>
      <xdr:colOff>746760</xdr:colOff>
      <xdr:row>3</xdr:row>
      <xdr:rowOff>53340</xdr:rowOff>
    </xdr:to>
    <xdr:sp macro="" textlink="">
      <xdr:nvSpPr>
        <xdr:cNvPr id="5" name="Text Box 2"/>
        <xdr:cNvSpPr txBox="1">
          <a:spLocks noChangeArrowheads="1"/>
        </xdr:cNvSpPr>
      </xdr:nvSpPr>
      <xdr:spPr bwMode="auto">
        <a:xfrm>
          <a:off x="3948156" y="283845"/>
          <a:ext cx="1225824" cy="249555"/>
        </a:xfrm>
        <a:prstGeom prst="rect">
          <a:avLst/>
        </a:prstGeom>
        <a:noFill/>
        <a:ln>
          <a:noFill/>
        </a:ln>
        <a:extLst/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© Jon Gregory</a:t>
          </a:r>
        </a:p>
      </xdr:txBody>
    </xdr:sp>
    <xdr:clientData/>
  </xdr:twoCellAnchor>
  <xdr:twoCellAnchor>
    <xdr:from>
      <xdr:col>14</xdr:col>
      <xdr:colOff>469099</xdr:colOff>
      <xdr:row>0</xdr:row>
      <xdr:rowOff>53340</xdr:rowOff>
    </xdr:from>
    <xdr:to>
      <xdr:col>22</xdr:col>
      <xdr:colOff>3739</xdr:colOff>
      <xdr:row>15</xdr:row>
      <xdr:rowOff>96574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204800</xdr:colOff>
      <xdr:row>15</xdr:row>
      <xdr:rowOff>101332</xdr:rowOff>
    </xdr:from>
    <xdr:to>
      <xdr:col>11</xdr:col>
      <xdr:colOff>758840</xdr:colOff>
      <xdr:row>29</xdr:row>
      <xdr:rowOff>99112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762000</xdr:colOff>
      <xdr:row>15</xdr:row>
      <xdr:rowOff>99060</xdr:rowOff>
    </xdr:from>
    <xdr:to>
      <xdr:col>19</xdr:col>
      <xdr:colOff>99060</xdr:colOff>
      <xdr:row>29</xdr:row>
      <xdr:rowOff>96840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99060</xdr:colOff>
      <xdr:row>15</xdr:row>
      <xdr:rowOff>99060</xdr:rowOff>
    </xdr:from>
    <xdr:to>
      <xdr:col>52</xdr:col>
      <xdr:colOff>579120</xdr:colOff>
      <xdr:row>29</xdr:row>
      <xdr:rowOff>96840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205740</xdr:colOff>
      <xdr:row>0</xdr:row>
      <xdr:rowOff>45720</xdr:rowOff>
    </xdr:from>
    <xdr:to>
      <xdr:col>14</xdr:col>
      <xdr:colOff>471900</xdr:colOff>
      <xdr:row>15</xdr:row>
      <xdr:rowOff>99720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Z567"/>
  <sheetViews>
    <sheetView showGridLines="0" tabSelected="1" zoomScaleNormal="100" workbookViewId="0">
      <selection activeCell="G28" sqref="G28"/>
    </sheetView>
  </sheetViews>
  <sheetFormatPr defaultRowHeight="14.4" x14ac:dyDescent="0.3"/>
  <cols>
    <col min="1" max="1" width="3" style="49" customWidth="1"/>
    <col min="2" max="2" width="12.109375" style="49" customWidth="1"/>
    <col min="3" max="3" width="8.109375" style="49" bestFit="1" customWidth="1"/>
    <col min="4" max="4" width="7" style="49" bestFit="1" customWidth="1"/>
    <col min="5" max="5" width="7.21875" style="49" bestFit="1" customWidth="1"/>
    <col min="6" max="6" width="3.88671875" style="49" customWidth="1"/>
    <col min="7" max="7" width="15.33203125" style="49" customWidth="1"/>
    <col min="8" max="8" width="9" style="49" customWidth="1"/>
    <col min="9" max="9" width="11.5546875" style="49" bestFit="1" customWidth="1"/>
    <col min="10" max="11" width="14.33203125" style="49" customWidth="1"/>
    <col min="12" max="12" width="13.5546875" style="49" customWidth="1"/>
    <col min="13" max="20" width="8.44140625" style="11" customWidth="1"/>
    <col min="21" max="24" width="9.5546875" style="11" customWidth="1"/>
    <col min="25" max="25" width="9.33203125" style="11" customWidth="1"/>
    <col min="26" max="51" width="1.21875" style="11" hidden="1" customWidth="1"/>
    <col min="52" max="52" width="9.33203125" style="11" hidden="1" customWidth="1"/>
    <col min="53" max="53" width="9.33203125" style="49" customWidth="1"/>
    <col min="54" max="16384" width="8.88671875" style="49"/>
  </cols>
  <sheetData>
    <row r="1" spans="2:51" ht="12.75" customHeight="1" x14ac:dyDescent="0.3"/>
    <row r="2" spans="2:51" ht="12.75" customHeight="1" x14ac:dyDescent="0.3">
      <c r="M2" s="49"/>
      <c r="N2" s="49"/>
      <c r="O2" s="49"/>
      <c r="P2" s="49"/>
      <c r="Q2" s="49"/>
      <c r="R2" s="49"/>
      <c r="S2" s="49"/>
      <c r="T2" s="49"/>
      <c r="AY2" s="72"/>
    </row>
    <row r="3" spans="2:51" ht="12.75" customHeight="1" x14ac:dyDescent="0.3">
      <c r="M3" s="49"/>
      <c r="N3" s="49"/>
      <c r="O3" s="49"/>
      <c r="P3" s="49"/>
      <c r="Q3" s="49"/>
      <c r="R3" s="49"/>
      <c r="S3" s="49"/>
      <c r="T3" s="49"/>
      <c r="AY3" s="72"/>
    </row>
    <row r="4" spans="2:51" ht="12.75" customHeight="1" x14ac:dyDescent="0.3">
      <c r="M4" s="49"/>
      <c r="N4" s="49"/>
      <c r="O4" s="49"/>
      <c r="P4" s="49"/>
      <c r="Q4" s="49"/>
      <c r="R4" s="49"/>
      <c r="S4" s="49"/>
      <c r="T4" s="49"/>
      <c r="AY4" s="72"/>
    </row>
    <row r="5" spans="2:51" ht="12.75" customHeight="1" x14ac:dyDescent="0.3">
      <c r="M5" s="49"/>
      <c r="N5" s="49"/>
      <c r="O5" s="49"/>
      <c r="P5" s="49"/>
      <c r="Q5" s="49"/>
      <c r="R5" s="49"/>
      <c r="S5" s="49"/>
      <c r="T5" s="49"/>
      <c r="AY5" s="72"/>
    </row>
    <row r="6" spans="2:51" ht="12.75" customHeight="1" x14ac:dyDescent="0.3">
      <c r="M6" s="49"/>
      <c r="N6" s="49"/>
      <c r="O6" s="49"/>
      <c r="P6" s="49"/>
      <c r="Q6" s="49"/>
      <c r="R6" s="49"/>
      <c r="S6" s="49"/>
      <c r="T6" s="49"/>
      <c r="AY6" s="72"/>
    </row>
    <row r="7" spans="2:51" ht="11.25" customHeight="1" thickBot="1" x14ac:dyDescent="0.35">
      <c r="M7" s="49"/>
      <c r="N7" s="49"/>
      <c r="O7" s="49"/>
      <c r="P7" s="49"/>
      <c r="Q7" s="49"/>
      <c r="R7" s="49"/>
      <c r="S7" s="49"/>
      <c r="T7" s="49"/>
      <c r="AY7" s="72"/>
    </row>
    <row r="8" spans="2:51" ht="14.25" customHeight="1" thickBot="1" x14ac:dyDescent="0.35">
      <c r="B8" s="120" t="s">
        <v>49</v>
      </c>
      <c r="C8" s="121"/>
      <c r="D8" s="121"/>
      <c r="E8" s="122"/>
      <c r="G8" s="120" t="s">
        <v>63</v>
      </c>
      <c r="H8" s="121"/>
      <c r="I8" s="122"/>
      <c r="M8" s="49"/>
      <c r="N8" s="49"/>
      <c r="O8" s="49"/>
      <c r="P8" s="49"/>
      <c r="Q8" s="49"/>
      <c r="R8" s="49"/>
      <c r="S8" s="49"/>
      <c r="T8" s="49"/>
      <c r="AY8" s="72"/>
    </row>
    <row r="9" spans="2:51" ht="14.25" customHeight="1" x14ac:dyDescent="0.3">
      <c r="B9" s="52" t="s">
        <v>0</v>
      </c>
      <c r="C9" s="144">
        <v>7</v>
      </c>
      <c r="D9" s="145"/>
      <c r="E9" s="146"/>
      <c r="G9" s="51"/>
      <c r="H9" s="54" t="s">
        <v>72</v>
      </c>
      <c r="I9" s="55" t="s">
        <v>73</v>
      </c>
      <c r="M9" s="49"/>
      <c r="N9" s="49"/>
      <c r="O9" s="49"/>
      <c r="P9" s="49"/>
      <c r="Q9" s="49"/>
      <c r="R9" s="49"/>
      <c r="S9" s="49"/>
      <c r="T9" s="49"/>
      <c r="AY9" s="72"/>
    </row>
    <row r="10" spans="2:51" ht="14.25" customHeight="1" x14ac:dyDescent="0.3">
      <c r="B10" s="52" t="s">
        <v>2</v>
      </c>
      <c r="C10" s="147">
        <v>0.03</v>
      </c>
      <c r="D10" s="148"/>
      <c r="E10" s="149"/>
      <c r="G10" s="52" t="s">
        <v>36</v>
      </c>
      <c r="H10" s="56"/>
      <c r="I10" s="57"/>
      <c r="M10" s="49"/>
      <c r="N10" s="49"/>
      <c r="O10" s="49"/>
      <c r="P10" s="49"/>
      <c r="Q10" s="49"/>
      <c r="R10" s="49"/>
      <c r="S10" s="49"/>
      <c r="T10" s="49"/>
      <c r="AY10" s="72"/>
    </row>
    <row r="11" spans="2:51" ht="14.25" customHeight="1" x14ac:dyDescent="0.3">
      <c r="B11" s="52" t="s">
        <v>1</v>
      </c>
      <c r="C11" s="150">
        <v>0.03</v>
      </c>
      <c r="D11" s="151"/>
      <c r="E11" s="152"/>
      <c r="G11" s="58" t="s">
        <v>74</v>
      </c>
      <c r="H11" s="56"/>
      <c r="I11" s="57"/>
      <c r="J11" s="50"/>
      <c r="M11" s="49"/>
      <c r="N11" s="49"/>
      <c r="O11" s="49"/>
      <c r="P11" s="49"/>
      <c r="Q11" s="49"/>
      <c r="R11" s="49"/>
      <c r="S11" s="49"/>
      <c r="T11" s="49"/>
      <c r="AY11" s="72"/>
    </row>
    <row r="12" spans="2:51" ht="14.25" customHeight="1" thickBot="1" x14ac:dyDescent="0.35">
      <c r="B12" s="52" t="s">
        <v>27</v>
      </c>
      <c r="C12" s="147">
        <v>0.01</v>
      </c>
      <c r="D12" s="148"/>
      <c r="E12" s="149"/>
      <c r="G12" s="59" t="s">
        <v>59</v>
      </c>
      <c r="H12" s="123">
        <v>10</v>
      </c>
      <c r="I12" s="124"/>
      <c r="M12" s="49"/>
      <c r="N12" s="49"/>
      <c r="O12" s="49"/>
      <c r="P12" s="49"/>
      <c r="Q12" s="49"/>
      <c r="R12" s="49"/>
      <c r="S12" s="49"/>
      <c r="T12" s="49"/>
      <c r="AY12" s="72"/>
    </row>
    <row r="13" spans="2:51" ht="14.25" customHeight="1" thickBot="1" x14ac:dyDescent="0.35">
      <c r="B13" s="59" t="s">
        <v>35</v>
      </c>
      <c r="C13" s="141"/>
      <c r="D13" s="142"/>
      <c r="E13" s="143"/>
      <c r="F13" s="53"/>
      <c r="I13" s="53"/>
      <c r="M13" s="49"/>
      <c r="N13" s="49"/>
      <c r="O13" s="49"/>
      <c r="P13" s="49"/>
      <c r="Q13" s="49"/>
      <c r="R13" s="49"/>
      <c r="S13" s="49"/>
      <c r="T13" s="49"/>
      <c r="AY13" s="72"/>
    </row>
    <row r="14" spans="2:51" ht="14.25" customHeight="1" thickBot="1" x14ac:dyDescent="0.35">
      <c r="G14" s="120" t="s">
        <v>64</v>
      </c>
      <c r="H14" s="121"/>
      <c r="I14" s="122"/>
      <c r="M14" s="49"/>
      <c r="N14" s="49"/>
      <c r="O14" s="49"/>
      <c r="P14" s="49"/>
      <c r="Q14" s="49"/>
      <c r="R14" s="49"/>
      <c r="S14" s="49"/>
      <c r="T14" s="49"/>
      <c r="AY14" s="72"/>
    </row>
    <row r="15" spans="2:51" ht="14.25" customHeight="1" thickBot="1" x14ac:dyDescent="0.35">
      <c r="G15" s="60" t="s">
        <v>91</v>
      </c>
      <c r="H15" s="125" t="s">
        <v>86</v>
      </c>
      <c r="I15" s="126"/>
      <c r="M15" s="49"/>
      <c r="N15" s="49"/>
      <c r="O15" s="49"/>
      <c r="P15" s="49"/>
      <c r="Q15" s="49"/>
      <c r="R15" s="49"/>
      <c r="S15" s="49"/>
      <c r="T15" s="49"/>
      <c r="AY15" s="72"/>
    </row>
    <row r="16" spans="2:51" ht="14.25" customHeight="1" thickBot="1" x14ac:dyDescent="0.35">
      <c r="B16" s="120" t="s">
        <v>39</v>
      </c>
      <c r="C16" s="121"/>
      <c r="D16" s="121"/>
      <c r="E16" s="122"/>
      <c r="G16" s="52" t="s">
        <v>8</v>
      </c>
      <c r="H16" s="127">
        <v>0</v>
      </c>
      <c r="I16" s="128"/>
      <c r="M16" s="49"/>
      <c r="N16" s="49"/>
      <c r="O16" s="49"/>
      <c r="P16" s="49"/>
      <c r="Q16" s="49"/>
      <c r="R16" s="49"/>
      <c r="S16" s="49"/>
      <c r="T16" s="49"/>
      <c r="AY16" s="72"/>
    </row>
    <row r="17" spans="1:51" ht="14.25" customHeight="1" x14ac:dyDescent="0.3">
      <c r="B17" s="61" t="s">
        <v>38</v>
      </c>
      <c r="C17" s="62" t="s">
        <v>46</v>
      </c>
      <c r="D17" s="62" t="s">
        <v>36</v>
      </c>
      <c r="E17" s="63" t="s">
        <v>47</v>
      </c>
      <c r="G17" s="58" t="s">
        <v>9</v>
      </c>
      <c r="H17" s="129">
        <v>0.4</v>
      </c>
      <c r="I17" s="130"/>
      <c r="M17" s="49"/>
      <c r="N17" s="49"/>
      <c r="O17" s="49"/>
      <c r="P17" s="49"/>
      <c r="Q17" s="49"/>
      <c r="R17" s="49"/>
      <c r="S17" s="49"/>
      <c r="T17" s="49"/>
      <c r="AY17" s="72"/>
    </row>
    <row r="18" spans="1:51" ht="14.25" customHeight="1" x14ac:dyDescent="0.3">
      <c r="B18" s="52">
        <v>1</v>
      </c>
      <c r="C18" s="64">
        <v>125</v>
      </c>
      <c r="D18" s="64"/>
      <c r="E18" s="65"/>
      <c r="G18" s="58" t="s">
        <v>50</v>
      </c>
      <c r="H18" s="131" t="s">
        <v>53</v>
      </c>
      <c r="I18" s="132"/>
      <c r="M18" s="49"/>
      <c r="N18" s="49"/>
      <c r="O18" s="49"/>
      <c r="P18" s="49"/>
      <c r="Q18" s="49"/>
      <c r="R18" s="49"/>
      <c r="S18" s="49"/>
      <c r="T18" s="49"/>
      <c r="AY18" s="72"/>
    </row>
    <row r="19" spans="1:51" ht="14.25" customHeight="1" x14ac:dyDescent="0.3">
      <c r="B19" s="52">
        <v>3</v>
      </c>
      <c r="C19" s="64">
        <v>160</v>
      </c>
      <c r="D19" s="64"/>
      <c r="E19" s="65"/>
      <c r="G19" s="58" t="s">
        <v>58</v>
      </c>
      <c r="H19" s="129">
        <v>0.15</v>
      </c>
      <c r="I19" s="130"/>
      <c r="M19" s="49"/>
      <c r="N19" s="49"/>
      <c r="O19" s="49"/>
      <c r="P19" s="49"/>
      <c r="Q19" s="49"/>
      <c r="R19" s="49"/>
      <c r="S19" s="49"/>
      <c r="T19" s="49"/>
      <c r="AY19" s="72"/>
    </row>
    <row r="20" spans="1:51" ht="14.25" customHeight="1" x14ac:dyDescent="0.3">
      <c r="A20" s="66">
        <f t="shared" ref="A20:A27" si="0">INT(B18*400/Maturity1)</f>
        <v>57</v>
      </c>
      <c r="B20" s="52">
        <v>5</v>
      </c>
      <c r="C20" s="64">
        <v>185</v>
      </c>
      <c r="D20" s="64"/>
      <c r="E20" s="65"/>
      <c r="G20" s="58" t="s">
        <v>75</v>
      </c>
      <c r="H20" s="133">
        <v>3</v>
      </c>
      <c r="I20" s="134"/>
      <c r="M20" s="49"/>
      <c r="N20" s="49"/>
      <c r="O20" s="49"/>
      <c r="P20" s="49"/>
      <c r="Q20" s="49"/>
      <c r="R20" s="49"/>
      <c r="S20" s="49"/>
      <c r="T20" s="49"/>
      <c r="AY20" s="72"/>
    </row>
    <row r="21" spans="1:51" ht="14.25" customHeight="1" thickBot="1" x14ac:dyDescent="0.35">
      <c r="A21" s="66">
        <f t="shared" si="0"/>
        <v>171</v>
      </c>
      <c r="B21" s="52">
        <v>7</v>
      </c>
      <c r="C21" s="64">
        <v>200</v>
      </c>
      <c r="D21" s="64"/>
      <c r="E21" s="65"/>
      <c r="G21" s="59" t="s">
        <v>19</v>
      </c>
      <c r="H21" s="135">
        <v>0</v>
      </c>
      <c r="I21" s="136"/>
      <c r="M21" s="49"/>
      <c r="N21" s="49"/>
      <c r="O21" s="49"/>
      <c r="P21" s="49"/>
      <c r="Q21" s="49"/>
      <c r="R21" s="49"/>
      <c r="S21" s="49"/>
      <c r="T21" s="49"/>
      <c r="AY21" s="72"/>
    </row>
    <row r="22" spans="1:51" ht="14.25" customHeight="1" thickBot="1" x14ac:dyDescent="0.35">
      <c r="A22" s="66">
        <f t="shared" si="0"/>
        <v>285</v>
      </c>
      <c r="B22" s="52">
        <v>10</v>
      </c>
      <c r="C22" s="64">
        <v>215</v>
      </c>
      <c r="D22" s="64"/>
      <c r="E22" s="65"/>
      <c r="M22" s="49"/>
      <c r="N22" s="49"/>
      <c r="O22" s="49"/>
      <c r="P22" s="49"/>
      <c r="Q22" s="49"/>
      <c r="R22" s="49"/>
      <c r="S22" s="49"/>
      <c r="T22" s="49"/>
      <c r="AY22" s="72"/>
    </row>
    <row r="23" spans="1:51" ht="14.25" customHeight="1" thickBot="1" x14ac:dyDescent="0.35">
      <c r="A23" s="66">
        <f t="shared" si="0"/>
        <v>400</v>
      </c>
      <c r="B23" s="52">
        <v>15</v>
      </c>
      <c r="C23" s="64"/>
      <c r="D23" s="64"/>
      <c r="E23" s="65"/>
      <c r="G23" s="120" t="s">
        <v>108</v>
      </c>
      <c r="H23" s="121"/>
      <c r="I23" s="122"/>
      <c r="M23" s="49"/>
      <c r="N23" s="49"/>
      <c r="O23" s="49"/>
      <c r="P23" s="49"/>
      <c r="Q23" s="49"/>
      <c r="R23" s="49"/>
      <c r="S23" s="49"/>
      <c r="T23" s="49"/>
      <c r="AY23" s="72"/>
    </row>
    <row r="24" spans="1:51" ht="14.25" customHeight="1" x14ac:dyDescent="0.3">
      <c r="A24" s="66">
        <f t="shared" si="0"/>
        <v>571</v>
      </c>
      <c r="B24" s="52">
        <v>20</v>
      </c>
      <c r="C24" s="64"/>
      <c r="D24" s="64"/>
      <c r="E24" s="65"/>
      <c r="G24" s="60" t="s">
        <v>109</v>
      </c>
      <c r="H24" s="137" t="s">
        <v>110</v>
      </c>
      <c r="I24" s="138"/>
      <c r="M24" s="49"/>
      <c r="N24" s="49"/>
      <c r="O24" s="49"/>
      <c r="P24" s="49"/>
      <c r="Q24" s="49"/>
      <c r="R24" s="49"/>
      <c r="S24" s="49"/>
      <c r="T24" s="49"/>
      <c r="AY24" s="72"/>
    </row>
    <row r="25" spans="1:51" ht="14.25" customHeight="1" x14ac:dyDescent="0.3">
      <c r="A25" s="66">
        <f t="shared" si="0"/>
        <v>857</v>
      </c>
      <c r="B25" s="52">
        <v>30</v>
      </c>
      <c r="C25" s="64"/>
      <c r="D25" s="64"/>
      <c r="E25" s="65"/>
      <c r="G25" s="58" t="s">
        <v>111</v>
      </c>
      <c r="H25" s="139" t="s">
        <v>112</v>
      </c>
      <c r="I25" s="140"/>
      <c r="M25" s="49"/>
      <c r="N25" s="49"/>
      <c r="O25" s="49"/>
      <c r="P25" s="49"/>
      <c r="Q25" s="49"/>
      <c r="R25" s="49"/>
      <c r="S25" s="49"/>
      <c r="T25" s="49"/>
      <c r="AY25" s="72"/>
    </row>
    <row r="26" spans="1:51" ht="14.25" customHeight="1" thickBot="1" x14ac:dyDescent="0.35">
      <c r="A26" s="66">
        <f t="shared" si="0"/>
        <v>1142</v>
      </c>
      <c r="B26" s="67" t="s">
        <v>113</v>
      </c>
      <c r="C26" s="68">
        <v>0.6</v>
      </c>
      <c r="D26" s="68">
        <v>0.6</v>
      </c>
      <c r="E26" s="69"/>
      <c r="G26" s="59" t="s">
        <v>98</v>
      </c>
      <c r="H26" s="153">
        <v>1</v>
      </c>
      <c r="I26" s="154"/>
      <c r="K26" s="70"/>
      <c r="M26" s="49"/>
      <c r="N26" s="49"/>
      <c r="O26" s="49"/>
      <c r="P26" s="49"/>
      <c r="Q26" s="49"/>
      <c r="R26" s="49"/>
      <c r="S26" s="49"/>
      <c r="T26" s="49"/>
      <c r="AY26" s="72"/>
    </row>
    <row r="27" spans="1:51" ht="15.6" customHeight="1" thickBot="1" x14ac:dyDescent="0.35">
      <c r="A27" s="66">
        <f t="shared" si="0"/>
        <v>1714</v>
      </c>
      <c r="K27" s="71"/>
      <c r="M27" s="49"/>
      <c r="N27" s="49"/>
      <c r="O27" s="49"/>
      <c r="P27" s="49"/>
      <c r="Q27" s="49"/>
      <c r="R27" s="49"/>
      <c r="S27" s="49"/>
      <c r="T27" s="49"/>
      <c r="AY27" s="72"/>
    </row>
    <row r="28" spans="1:51" s="11" customFormat="1" ht="15.6" customHeight="1" thickBot="1" x14ac:dyDescent="0.35">
      <c r="K28" s="47"/>
      <c r="M28" s="117" t="s">
        <v>105</v>
      </c>
      <c r="N28" s="118"/>
      <c r="O28" s="118"/>
      <c r="P28" s="118"/>
      <c r="Q28" s="118"/>
      <c r="R28" s="118"/>
      <c r="S28" s="118"/>
      <c r="T28" s="118"/>
      <c r="U28" s="118"/>
      <c r="V28" s="118"/>
      <c r="W28" s="118"/>
      <c r="X28" s="119"/>
      <c r="Y28" s="111"/>
      <c r="Z28" s="111"/>
      <c r="AA28" s="111"/>
      <c r="AB28" s="111"/>
      <c r="AC28" s="111"/>
      <c r="AD28" s="111"/>
      <c r="AE28" s="111"/>
      <c r="AG28" s="117" t="s">
        <v>81</v>
      </c>
      <c r="AH28" s="118"/>
      <c r="AI28" s="118"/>
      <c r="AJ28" s="118"/>
      <c r="AK28" s="118"/>
      <c r="AL28" s="118"/>
      <c r="AM28" s="118"/>
      <c r="AN28" s="118"/>
      <c r="AO28" s="118"/>
      <c r="AP28" s="118"/>
      <c r="AQ28" s="119"/>
      <c r="AS28" s="117" t="s">
        <v>83</v>
      </c>
      <c r="AT28" s="118"/>
      <c r="AU28" s="118"/>
      <c r="AV28" s="118"/>
      <c r="AW28" s="118"/>
      <c r="AX28" s="119"/>
      <c r="AY28" s="72"/>
    </row>
    <row r="29" spans="1:51" s="11" customFormat="1" ht="15.6" customHeight="1" x14ac:dyDescent="0.3">
      <c r="M29" s="12"/>
      <c r="N29" s="13"/>
      <c r="O29" s="14" t="s">
        <v>37</v>
      </c>
      <c r="P29" s="13"/>
      <c r="Q29" s="14" t="s">
        <v>6</v>
      </c>
      <c r="R29" s="13"/>
      <c r="S29" s="13" t="s">
        <v>42</v>
      </c>
      <c r="T29" s="13"/>
      <c r="U29" s="116" t="s">
        <v>21</v>
      </c>
      <c r="V29" s="13" t="s">
        <v>25</v>
      </c>
      <c r="W29" s="116" t="s">
        <v>106</v>
      </c>
      <c r="X29" s="15" t="s">
        <v>107</v>
      </c>
      <c r="Z29" s="95" t="s">
        <v>54</v>
      </c>
      <c r="AA29" s="96">
        <v>7.0000000000000001E-3</v>
      </c>
      <c r="AC29" s="32"/>
      <c r="AD29" s="32"/>
      <c r="AE29" s="32"/>
      <c r="AG29" s="12" t="s">
        <v>22</v>
      </c>
      <c r="AH29" s="13" t="s">
        <v>23</v>
      </c>
      <c r="AI29" s="14" t="s">
        <v>68</v>
      </c>
      <c r="AJ29" s="13" t="s">
        <v>69</v>
      </c>
      <c r="AK29" s="14" t="s">
        <v>65</v>
      </c>
      <c r="AL29" s="13" t="s">
        <v>21</v>
      </c>
      <c r="AM29" s="14" t="s">
        <v>11</v>
      </c>
      <c r="AN29" s="13" t="s">
        <v>66</v>
      </c>
      <c r="AO29" s="14" t="s">
        <v>70</v>
      </c>
      <c r="AP29" s="13" t="s">
        <v>67</v>
      </c>
      <c r="AQ29" s="15" t="s">
        <v>25</v>
      </c>
      <c r="AS29" s="16" t="s">
        <v>7</v>
      </c>
      <c r="AT29" s="17" t="s">
        <v>24</v>
      </c>
      <c r="AU29" s="18" t="s">
        <v>8</v>
      </c>
      <c r="AV29" s="108" t="s">
        <v>92</v>
      </c>
      <c r="AW29" s="17" t="s">
        <v>10</v>
      </c>
      <c r="AX29" s="19" t="s">
        <v>82</v>
      </c>
      <c r="AY29" s="72"/>
    </row>
    <row r="30" spans="1:51" s="11" customFormat="1" ht="15.6" customHeight="1" x14ac:dyDescent="0.3">
      <c r="M30" s="20">
        <v>0</v>
      </c>
      <c r="N30" s="21">
        <f>Maturity1/800</f>
        <v>8.7500000000000008E-3</v>
      </c>
      <c r="O30" s="22">
        <f t="shared" ref="O30:O93" ca="1" si="1">CubicSpline(OFFSET($B$18,0,0,NumCurvePoints,1),OFFSET($C$18,0,0,NumCurvePoints,1),N30)</f>
        <v>106.88957211840449</v>
      </c>
      <c r="P30" s="23">
        <f t="shared" ref="P30:P93" ca="1" si="2">IF(ISERROR(MATCH(M30,$A$20:$A$27,0)),-1,OFFSET($C$17,MATCH(M30,$A$20:$A$27,0),0,1,1))</f>
        <v>-1</v>
      </c>
      <c r="Q30" s="22" t="e">
        <f t="shared" ref="Q30:Q93" ca="1" si="3">CubicSpline(OFFSET($B$18,0,0,NumCurvePoints2,1),OFFSET($D$18,0,0,NumCurvePoints2,1),N30)</f>
        <v>#VALUE!</v>
      </c>
      <c r="R30" s="23">
        <f t="shared" ref="R30:R93" ca="1" si="4">IF(ISERROR(MATCH(M30,$A$20:$A$27,0)),-1,OFFSET($D$17,MATCH(M30,$A$20:$A$27,0),0,1,1))</f>
        <v>-1</v>
      </c>
      <c r="S30" s="24" t="e">
        <f t="shared" ref="S30:S93" ca="1" si="5">CubicSpline(OFFSET($B$18,0,0,NumCurvePoints3,1),OFFSET($E$18,0,0,NumCurvePoints3,1),N30)</f>
        <v>#VALUE!</v>
      </c>
      <c r="T30" s="23">
        <f t="shared" ref="T30:T93" ca="1" si="6">IF(ISERROR(MATCH(M30,$A$20:$A$27,0)),-1,OFFSET($E$17,MATCH(M30,$A$20:$A$27,0),0,1,1))</f>
        <v>-1</v>
      </c>
      <c r="U30" s="112">
        <f>AI30</f>
        <v>2.3535354050408679E-3</v>
      </c>
      <c r="V30" s="109">
        <f>AN30</f>
        <v>-2.3535354050408679E-3</v>
      </c>
      <c r="W30" s="112">
        <f>AL30</f>
        <v>2.3535354050408679E-3</v>
      </c>
      <c r="X30" s="113">
        <f>AQ30</f>
        <v>-5.0320703618886645E-3</v>
      </c>
      <c r="Z30" s="95" t="s">
        <v>52</v>
      </c>
      <c r="AA30" s="96">
        <v>7.0000000000000001E-3</v>
      </c>
      <c r="AC30" s="32"/>
      <c r="AD30" s="32"/>
      <c r="AE30" s="32"/>
      <c r="AG30" s="26">
        <f t="shared" ref="AG30:AG93" si="7">(SwapRate1-InterestRate)*AT30</f>
        <v>0</v>
      </c>
      <c r="AH30" s="27">
        <f t="shared" ref="AH30:AH93" si="8">MAX(0.0000000001,SQRT(N30)*AT30*IRVol)</f>
        <v>5.8994383916205631E-3</v>
      </c>
      <c r="AI30" s="28">
        <f>(AG30*NORMSDIST(AG30/AH30)+AH30*NORMDIST(AG30/AH30,0,1,FALSE))</f>
        <v>2.3535354050408679E-3</v>
      </c>
      <c r="AJ30" s="27">
        <f t="shared" ref="AJ30:AJ93" si="9">AI30-IF(ThresholdB="",0,1)*IF((ThresholdB-AG30)/AH30&gt;6,0,(1-NORMSDIST((ThresholdB-AG30)/AH30))*(AG30+AH30*NORMDIST(((ThresholdB-AG30)/AH30),0,1,FALSE)/(1-NORMSDIST((ThresholdB-AG30)/AH30))-ThresholdB))</f>
        <v>2.3535354050408679E-3</v>
      </c>
      <c r="AK30" s="28">
        <f t="shared" ref="AK30:AK93" si="10">-InitialMargin2*NORMSDIST(-InitialMargin2/(IRVol*SQRT(MPR/250)*AT30))+(IRVol*SQRT(MPR/250)*AT30)*NORMDIST(-InitialMargin2/(IRVol*SQRT(MPR/250)*AT30),0,1,FALSE)</f>
        <v>5.0320703618886636E-3</v>
      </c>
      <c r="AL30" s="27">
        <f t="shared" ref="AL30:AL93" si="11">IF(OR(BreakMat="",BreakMat=0,BreakMat&gt;N30),IF(AND(ThresholdB="",ThresholdA=0,ThresholdA&lt;&gt;""),AJ30+AK30,IF(AND(ThresholdB=0,ThresholdB&lt;&gt;""),AK30,IF(ThresholdB&gt;0,MAX(AJ30,AK30),AJ30))))</f>
        <v>2.3535354050408679E-3</v>
      </c>
      <c r="AM30" s="28">
        <f>AL30</f>
        <v>2.3535354050408679E-3</v>
      </c>
      <c r="AN30" s="27">
        <f>(AG30*NORMSDIST(-AG30/AH30)-AH30*NORMDIST(-AG30/AH30,0,1,FALSE))</f>
        <v>-2.3535354050408679E-3</v>
      </c>
      <c r="AO30" s="28">
        <f t="shared" ref="AO30:AO93" si="12">AN30+IF(AND(ThresholdA&lt;&gt;"",(ThresholdA+AG30)/AH30&lt;6),(1-NORMSDIST((ThresholdA+AG30)/AH30))*(-AG30+AH30*NORMDIST(((ThresholdA+AG30)/AH30),0,1,FALSE)/(1-NORMSDIST((ThresholdA+AG30)/AH30))-ThresholdA))</f>
        <v>-2.3535354050408679E-3</v>
      </c>
      <c r="AP30" s="27">
        <f t="shared" ref="AP30:AP93" si="13">InitialMargin1*NORMSDIST(-InitialMargin1/(IRVol*AT30*SQRT(MPR/250)))-(IRVol*AT30*SQRT(MPR/250))*NORMDIST(-InitialMargin1/(IRVol*AT30*SQRT(MPR/250)),0,1,FALSE)</f>
        <v>-5.0320703618886645E-3</v>
      </c>
      <c r="AQ30" s="29">
        <f t="shared" ref="AQ30:AQ93" si="14">IF(OR(BreakMat="",BreakMat=0,BreakMat&gt;N30),IF(AND(ThresholdA="",ThresholdB=0,ThresholdB&lt;&gt;""),AO30+AP30,IF(AND(ThresholdA=0,ThresholdA&lt;&gt;""),AP30,MIN(AO30,AP30))))</f>
        <v>-5.0320703618886645E-3</v>
      </c>
      <c r="AS30" s="30">
        <f t="shared" ref="AS30:AS93" si="15">EXP(-InterestRate*N30)</f>
        <v>0.9997375344501106</v>
      </c>
      <c r="AT30" s="21">
        <f t="shared" ref="AT30:AT93" si="16">MAX((1-EXP(-(Maturity1-N30)*InterestRate))/InterestRate,0)</f>
        <v>6.3067649245213877</v>
      </c>
      <c r="AU30" s="31"/>
      <c r="AV30" s="23"/>
      <c r="AW30" s="27"/>
      <c r="AX30" s="25"/>
      <c r="AY30" s="72"/>
    </row>
    <row r="31" spans="1:51" s="11" customFormat="1" ht="15.6" customHeight="1" x14ac:dyDescent="0.3">
      <c r="M31" s="20">
        <f>M30+1</f>
        <v>1</v>
      </c>
      <c r="N31" s="21">
        <f>Maturity1/400</f>
        <v>1.7500000000000002E-2</v>
      </c>
      <c r="O31" s="22">
        <f t="shared" ca="1" si="1"/>
        <v>107.04510554106962</v>
      </c>
      <c r="P31" s="23">
        <f t="shared" ca="1" si="2"/>
        <v>-1</v>
      </c>
      <c r="Q31" s="22" t="e">
        <f t="shared" ca="1" si="3"/>
        <v>#VALUE!</v>
      </c>
      <c r="R31" s="23">
        <f t="shared" ca="1" si="4"/>
        <v>-1</v>
      </c>
      <c r="S31" s="24" t="e">
        <f t="shared" ca="1" si="5"/>
        <v>#VALUE!</v>
      </c>
      <c r="T31" s="23">
        <f t="shared" ca="1" si="6"/>
        <v>-1</v>
      </c>
      <c r="U31" s="112">
        <f t="shared" ref="U31:U94" si="17">AI31</f>
        <v>3.3246570818005893E-3</v>
      </c>
      <c r="V31" s="109">
        <f t="shared" ref="V31:V94" si="18">AN31</f>
        <v>-3.3246570818005893E-3</v>
      </c>
      <c r="W31" s="112">
        <f t="shared" ref="W31:W94" si="19">AL31</f>
        <v>3.3246570818005893E-3</v>
      </c>
      <c r="X31" s="113">
        <f t="shared" ref="X31:X94" si="20">AQ31</f>
        <v>-5.0264090474366188E-3</v>
      </c>
      <c r="Z31" s="95" t="s">
        <v>53</v>
      </c>
      <c r="AA31" s="96">
        <v>8.0000000000000002E-3</v>
      </c>
      <c r="AC31" s="32"/>
      <c r="AD31" s="32"/>
      <c r="AE31" s="32"/>
      <c r="AG31" s="26">
        <f t="shared" si="7"/>
        <v>0</v>
      </c>
      <c r="AH31" s="27">
        <f t="shared" si="8"/>
        <v>8.3336794446935477E-3</v>
      </c>
      <c r="AI31" s="28">
        <f t="shared" ref="AI31:AI94" si="21">(AG31*NORMSDIST(AG31/AH31)+AH31*NORMDIST(AG31/AH31,0,1,FALSE))</f>
        <v>3.3246570818005893E-3</v>
      </c>
      <c r="AJ31" s="27">
        <f t="shared" si="9"/>
        <v>3.3246570818005893E-3</v>
      </c>
      <c r="AK31" s="28">
        <f t="shared" si="10"/>
        <v>5.0264090474366188E-3</v>
      </c>
      <c r="AL31" s="27">
        <f t="shared" si="11"/>
        <v>3.3246570818005893E-3</v>
      </c>
      <c r="AM31" s="28">
        <f t="shared" ref="AM31:AM94" si="22">MAX(AL31,AM30)</f>
        <v>3.3246570818005893E-3</v>
      </c>
      <c r="AN31" s="27">
        <f t="shared" ref="AN31:AN94" si="23">(AG31*NORMSDIST(-AG31/AH31)-AH31*NORMDIST(-AG31/AH31,0,1,FALSE))</f>
        <v>-3.3246570818005893E-3</v>
      </c>
      <c r="AO31" s="28">
        <f t="shared" si="12"/>
        <v>-3.3246570818005893E-3</v>
      </c>
      <c r="AP31" s="27">
        <f t="shared" si="13"/>
        <v>-5.0264090474366188E-3</v>
      </c>
      <c r="AQ31" s="29">
        <f t="shared" si="14"/>
        <v>-5.0264090474366188E-3</v>
      </c>
      <c r="AS31" s="30">
        <f t="shared" si="15"/>
        <v>0.99947513778838593</v>
      </c>
      <c r="AT31" s="21">
        <f t="shared" si="16"/>
        <v>6.2996695190828511</v>
      </c>
      <c r="AU31" s="31">
        <f ca="1">EXP(-N30*O30/CntrptyLGD/10000)-EXP(-N31*O31/CntrptyLGD/10000)</f>
        <v>1.5629767991176546E-4</v>
      </c>
      <c r="AV31" s="109">
        <f t="shared" ref="AV31:AV94" ca="1" si="24">EXP(-N30*(O30+1)/CntrptyLGD/10000)-EXP(-N31*(O31+1)/CntrptyLGD/10000)</f>
        <v>1.5775532687967164E-4</v>
      </c>
      <c r="AW31" s="27" t="e">
        <f t="shared" ref="AW31:AW94" ca="1" si="25">EXP(-N30*Q30/OwnLGD/10000)-EXP(-N31*Q31/OwnLGD/10000)</f>
        <v>#VALUE!</v>
      </c>
      <c r="AX31" s="29" t="e">
        <f t="shared" ref="AX31:AX94" ca="1" si="26">EXP(-N30*S30/10000)-EXP(-N31*S31/10000)</f>
        <v>#VALUE!</v>
      </c>
      <c r="AY31" s="72"/>
    </row>
    <row r="32" spans="1:51" s="11" customFormat="1" ht="15.6" customHeight="1" x14ac:dyDescent="0.3">
      <c r="M32" s="20">
        <f t="shared" ref="M32:M95" si="27">M31+1</f>
        <v>2</v>
      </c>
      <c r="N32" s="21">
        <f t="shared" ref="N32:N95" si="28">N31+Maturity1/400</f>
        <v>3.5000000000000003E-2</v>
      </c>
      <c r="O32" s="22">
        <f t="shared" ca="1" si="1"/>
        <v>107.35651701368549</v>
      </c>
      <c r="P32" s="23">
        <f t="shared" ca="1" si="2"/>
        <v>-1</v>
      </c>
      <c r="Q32" s="22" t="e">
        <f t="shared" ca="1" si="3"/>
        <v>#VALUE!</v>
      </c>
      <c r="R32" s="23">
        <f t="shared" ca="1" si="4"/>
        <v>-1</v>
      </c>
      <c r="S32" s="24" t="e">
        <f t="shared" ca="1" si="5"/>
        <v>#VALUE!</v>
      </c>
      <c r="T32" s="23">
        <f t="shared" ca="1" si="6"/>
        <v>-1</v>
      </c>
      <c r="U32" s="112">
        <f t="shared" si="17"/>
        <v>4.6911796145467028E-3</v>
      </c>
      <c r="V32" s="109">
        <f t="shared" si="18"/>
        <v>-4.6911796145467028E-3</v>
      </c>
      <c r="W32" s="112">
        <f t="shared" si="19"/>
        <v>4.6911796145467028E-3</v>
      </c>
      <c r="X32" s="113">
        <f t="shared" si="20"/>
        <v>-5.0150819592719997E-3</v>
      </c>
      <c r="Z32" s="95" t="s">
        <v>55</v>
      </c>
      <c r="AA32" s="96">
        <v>0.01</v>
      </c>
      <c r="AC32" s="32"/>
      <c r="AD32" s="32"/>
      <c r="AE32" s="32"/>
      <c r="AG32" s="26">
        <f t="shared" si="7"/>
        <v>0</v>
      </c>
      <c r="AH32" s="27">
        <f t="shared" si="8"/>
        <v>1.1759043463195323E-2</v>
      </c>
      <c r="AI32" s="28">
        <f t="shared" si="21"/>
        <v>4.6911796145467028E-3</v>
      </c>
      <c r="AJ32" s="27">
        <f t="shared" si="9"/>
        <v>4.6911796145467028E-3</v>
      </c>
      <c r="AK32" s="28">
        <f t="shared" si="10"/>
        <v>5.0150819592720006E-3</v>
      </c>
      <c r="AL32" s="27">
        <f t="shared" si="11"/>
        <v>4.6911796145467028E-3</v>
      </c>
      <c r="AM32" s="28">
        <f t="shared" si="22"/>
        <v>4.6911796145467028E-3</v>
      </c>
      <c r="AN32" s="27">
        <f t="shared" si="23"/>
        <v>-4.6911796145467028E-3</v>
      </c>
      <c r="AO32" s="28">
        <f t="shared" si="12"/>
        <v>-4.6911796145467028E-3</v>
      </c>
      <c r="AP32" s="27">
        <f t="shared" si="13"/>
        <v>-5.0150819592719997E-3</v>
      </c>
      <c r="AQ32" s="29">
        <f t="shared" si="14"/>
        <v>-5.0150819592719997E-3</v>
      </c>
      <c r="AS32" s="30">
        <f t="shared" si="15"/>
        <v>0.99895055105711317</v>
      </c>
      <c r="AT32" s="21">
        <f t="shared" si="16"/>
        <v>6.285473119351515</v>
      </c>
      <c r="AU32" s="31">
        <f t="shared" ref="AU32:AU94" ca="1" si="29">EXP(-N31*O31/CntrptyLGD/10000)-EXP(-N32*O32/CntrptyLGD/10000)</f>
        <v>3.1388414076494175E-4</v>
      </c>
      <c r="AV32" s="109">
        <f t="shared" ca="1" si="24"/>
        <v>3.1679805320505849E-4</v>
      </c>
      <c r="AW32" s="27" t="e">
        <f t="shared" ca="1" si="25"/>
        <v>#VALUE!</v>
      </c>
      <c r="AX32" s="29" t="e">
        <f t="shared" ca="1" si="26"/>
        <v>#VALUE!</v>
      </c>
      <c r="AY32" s="72"/>
    </row>
    <row r="33" spans="2:51" s="11" customFormat="1" ht="15.6" customHeight="1" x14ac:dyDescent="0.3">
      <c r="M33" s="20">
        <f t="shared" si="27"/>
        <v>3</v>
      </c>
      <c r="N33" s="21">
        <f t="shared" si="28"/>
        <v>5.2500000000000005E-2</v>
      </c>
      <c r="O33" s="22">
        <f t="shared" ca="1" si="1"/>
        <v>107.66838114859735</v>
      </c>
      <c r="P33" s="23">
        <f t="shared" ca="1" si="2"/>
        <v>-1</v>
      </c>
      <c r="Q33" s="22" t="e">
        <f t="shared" ca="1" si="3"/>
        <v>#VALUE!</v>
      </c>
      <c r="R33" s="23">
        <f t="shared" ca="1" si="4"/>
        <v>-1</v>
      </c>
      <c r="S33" s="24" t="e">
        <f t="shared" ca="1" si="5"/>
        <v>#VALUE!</v>
      </c>
      <c r="T33" s="23">
        <f t="shared" ca="1" si="6"/>
        <v>-1</v>
      </c>
      <c r="U33" s="112">
        <f t="shared" si="17"/>
        <v>5.7325145493496077E-3</v>
      </c>
      <c r="V33" s="109">
        <f t="shared" si="18"/>
        <v>-5.7325145493496077E-3</v>
      </c>
      <c r="W33" s="112">
        <f t="shared" si="19"/>
        <v>5.7325145493496077E-3</v>
      </c>
      <c r="X33" s="113">
        <f t="shared" si="20"/>
        <v>-5.7325145493496077E-3</v>
      </c>
      <c r="Z33" s="95" t="s">
        <v>56</v>
      </c>
      <c r="AA33" s="96">
        <v>0.02</v>
      </c>
      <c r="AC33" s="32"/>
      <c r="AD33" s="32"/>
      <c r="AE33" s="32"/>
      <c r="AG33" s="26">
        <f t="shared" si="7"/>
        <v>0</v>
      </c>
      <c r="AH33" s="27">
        <f t="shared" si="8"/>
        <v>1.4369283054133312E-2</v>
      </c>
      <c r="AI33" s="28">
        <f t="shared" si="21"/>
        <v>5.7325145493496077E-3</v>
      </c>
      <c r="AJ33" s="27">
        <f t="shared" si="9"/>
        <v>5.7325145493496077E-3</v>
      </c>
      <c r="AK33" s="28">
        <f t="shared" si="10"/>
        <v>5.0037489228248076E-3</v>
      </c>
      <c r="AL33" s="27">
        <f t="shared" si="11"/>
        <v>5.7325145493496077E-3</v>
      </c>
      <c r="AM33" s="28">
        <f t="shared" si="22"/>
        <v>5.7325145493496077E-3</v>
      </c>
      <c r="AN33" s="27">
        <f t="shared" si="23"/>
        <v>-5.7325145493496077E-3</v>
      </c>
      <c r="AO33" s="28">
        <f t="shared" si="12"/>
        <v>-5.7325145493496077E-3</v>
      </c>
      <c r="AP33" s="27">
        <f t="shared" si="13"/>
        <v>-5.0037489228248076E-3</v>
      </c>
      <c r="AQ33" s="29">
        <f t="shared" si="14"/>
        <v>-5.7325145493496077E-3</v>
      </c>
      <c r="AS33" s="30">
        <f t="shared" si="15"/>
        <v>0.99842623966159227</v>
      </c>
      <c r="AT33" s="21">
        <f t="shared" si="16"/>
        <v>6.2712692645535366</v>
      </c>
      <c r="AU33" s="31">
        <f t="shared" ca="1" si="29"/>
        <v>3.1560440181155336E-4</v>
      </c>
      <c r="AV33" s="109">
        <f t="shared" ca="1" si="24"/>
        <v>3.1851645971781029E-4</v>
      </c>
      <c r="AW33" s="27" t="e">
        <f t="shared" ca="1" si="25"/>
        <v>#VALUE!</v>
      </c>
      <c r="AX33" s="29" t="e">
        <f t="shared" ca="1" si="26"/>
        <v>#VALUE!</v>
      </c>
      <c r="AY33" s="72"/>
    </row>
    <row r="34" spans="2:51" s="11" customFormat="1" ht="15.6" customHeight="1" x14ac:dyDescent="0.3">
      <c r="B34" s="11" t="s">
        <v>45</v>
      </c>
      <c r="C34" s="11">
        <f>COUNT(C18:C25)</f>
        <v>5</v>
      </c>
      <c r="D34" s="11">
        <f ca="1">COUNT(D18:D25)</f>
        <v>0</v>
      </c>
      <c r="E34" s="11">
        <f ca="1">COUNT(E18:E25)</f>
        <v>0</v>
      </c>
      <c r="M34" s="20">
        <f t="shared" si="27"/>
        <v>4</v>
      </c>
      <c r="N34" s="21">
        <f t="shared" si="28"/>
        <v>7.0000000000000007E-2</v>
      </c>
      <c r="O34" s="22">
        <f t="shared" ca="1" si="1"/>
        <v>107.98068973690344</v>
      </c>
      <c r="P34" s="23">
        <f t="shared" ca="1" si="2"/>
        <v>-1</v>
      </c>
      <c r="Q34" s="22" t="e">
        <f t="shared" ca="1" si="3"/>
        <v>#VALUE!</v>
      </c>
      <c r="R34" s="23">
        <f t="shared" ca="1" si="4"/>
        <v>-1</v>
      </c>
      <c r="S34" s="24" t="e">
        <f t="shared" ca="1" si="5"/>
        <v>#VALUE!</v>
      </c>
      <c r="T34" s="23">
        <f t="shared" ca="1" si="6"/>
        <v>-1</v>
      </c>
      <c r="U34" s="112">
        <f t="shared" si="17"/>
        <v>6.6043375654111953E-3</v>
      </c>
      <c r="V34" s="109">
        <f t="shared" si="18"/>
        <v>-6.6043375654111953E-3</v>
      </c>
      <c r="W34" s="112">
        <f t="shared" si="19"/>
        <v>6.6043375654111953E-3</v>
      </c>
      <c r="X34" s="113">
        <f t="shared" si="20"/>
        <v>-6.6043375654111953E-3</v>
      </c>
      <c r="Z34" s="95" t="s">
        <v>57</v>
      </c>
      <c r="AA34" s="96">
        <v>0.03</v>
      </c>
      <c r="AC34" s="32"/>
      <c r="AD34" s="32"/>
      <c r="AE34" s="32"/>
      <c r="AG34" s="26">
        <f t="shared" si="7"/>
        <v>0</v>
      </c>
      <c r="AH34" s="27">
        <f t="shared" si="8"/>
        <v>1.6554619276667366E-2</v>
      </c>
      <c r="AI34" s="28">
        <f t="shared" si="21"/>
        <v>6.6043375654111953E-3</v>
      </c>
      <c r="AJ34" s="27">
        <f t="shared" si="9"/>
        <v>6.6043375654111953E-3</v>
      </c>
      <c r="AK34" s="28">
        <f t="shared" si="10"/>
        <v>4.9924099349713692E-3</v>
      </c>
      <c r="AL34" s="27">
        <f t="shared" si="11"/>
        <v>6.6043375654111953E-3</v>
      </c>
      <c r="AM34" s="28">
        <f t="shared" si="22"/>
        <v>6.6043375654111953E-3</v>
      </c>
      <c r="AN34" s="27">
        <f t="shared" si="23"/>
        <v>-6.6043375654111953E-3</v>
      </c>
      <c r="AO34" s="28">
        <f t="shared" si="12"/>
        <v>-6.6043375654111953E-3</v>
      </c>
      <c r="AP34" s="27">
        <f t="shared" si="13"/>
        <v>-4.9924099349713692E-3</v>
      </c>
      <c r="AQ34" s="29">
        <f t="shared" si="14"/>
        <v>-6.6043375654111953E-3</v>
      </c>
      <c r="AS34" s="30">
        <f t="shared" si="15"/>
        <v>0.99790220345730996</v>
      </c>
      <c r="AT34" s="21">
        <f t="shared" si="16"/>
        <v>6.2570579507739739</v>
      </c>
      <c r="AU34" s="31">
        <f t="shared" ca="1" si="29"/>
        <v>3.1732683080420987E-4</v>
      </c>
      <c r="AV34" s="109">
        <f t="shared" ca="1" si="24"/>
        <v>3.202370191072168E-4</v>
      </c>
      <c r="AW34" s="27" t="e">
        <f t="shared" ca="1" si="25"/>
        <v>#VALUE!</v>
      </c>
      <c r="AX34" s="29" t="e">
        <f t="shared" ca="1" si="26"/>
        <v>#VALUE!</v>
      </c>
      <c r="AY34" s="72"/>
    </row>
    <row r="35" spans="2:51" s="11" customFormat="1" ht="15.6" customHeight="1" x14ac:dyDescent="0.3">
      <c r="C35" s="80"/>
      <c r="M35" s="20">
        <f t="shared" si="27"/>
        <v>5</v>
      </c>
      <c r="N35" s="21">
        <f t="shared" si="28"/>
        <v>8.7500000000000008E-2</v>
      </c>
      <c r="O35" s="22">
        <f t="shared" ca="1" si="1"/>
        <v>108.29343456970201</v>
      </c>
      <c r="P35" s="23">
        <f t="shared" ca="1" si="2"/>
        <v>-1</v>
      </c>
      <c r="Q35" s="22" t="e">
        <f t="shared" ca="1" si="3"/>
        <v>#VALUE!</v>
      </c>
      <c r="R35" s="23">
        <f t="shared" ca="1" si="4"/>
        <v>-1</v>
      </c>
      <c r="S35" s="24" t="e">
        <f t="shared" ca="1" si="5"/>
        <v>#VALUE!</v>
      </c>
      <c r="T35" s="23">
        <f t="shared" ca="1" si="6"/>
        <v>-1</v>
      </c>
      <c r="U35" s="112">
        <f t="shared" si="17"/>
        <v>7.3670944752363861E-3</v>
      </c>
      <c r="V35" s="109">
        <f t="shared" si="18"/>
        <v>-7.3670944752363861E-3</v>
      </c>
      <c r="W35" s="112">
        <f t="shared" si="19"/>
        <v>7.3670944752363861E-3</v>
      </c>
      <c r="X35" s="113">
        <f t="shared" si="20"/>
        <v>-7.3670944752363861E-3</v>
      </c>
      <c r="Z35" s="95" t="s">
        <v>51</v>
      </c>
      <c r="AA35" s="96">
        <v>0.1</v>
      </c>
      <c r="AC35" s="32"/>
      <c r="AD35" s="32"/>
      <c r="AE35" s="32"/>
      <c r="AG35" s="26">
        <f t="shared" si="7"/>
        <v>0</v>
      </c>
      <c r="AH35" s="27">
        <f t="shared" si="8"/>
        <v>1.8466567313505357E-2</v>
      </c>
      <c r="AI35" s="28">
        <f t="shared" si="21"/>
        <v>7.3670944752363861E-3</v>
      </c>
      <c r="AJ35" s="27">
        <f t="shared" si="9"/>
        <v>7.3670944752363861E-3</v>
      </c>
      <c r="AK35" s="28">
        <f t="shared" si="10"/>
        <v>4.9810649925863841E-3</v>
      </c>
      <c r="AL35" s="27">
        <f t="shared" si="11"/>
        <v>7.3670944752363861E-3</v>
      </c>
      <c r="AM35" s="28">
        <f t="shared" si="22"/>
        <v>7.3670944752363861E-3</v>
      </c>
      <c r="AN35" s="27">
        <f t="shared" si="23"/>
        <v>-7.3670944752363861E-3</v>
      </c>
      <c r="AO35" s="28">
        <f t="shared" si="12"/>
        <v>-7.3670944752363861E-3</v>
      </c>
      <c r="AP35" s="27">
        <f t="shared" si="13"/>
        <v>-4.9810649925863841E-3</v>
      </c>
      <c r="AQ35" s="29">
        <f t="shared" si="14"/>
        <v>-7.3670944752363861E-3</v>
      </c>
      <c r="AS35" s="30">
        <f t="shared" si="15"/>
        <v>0.99737844229982886</v>
      </c>
      <c r="AT35" s="21">
        <f t="shared" si="16"/>
        <v>6.2428391740958418</v>
      </c>
      <c r="AU35" s="31">
        <f t="shared" ca="1" si="29"/>
        <v>3.190513183423116E-4</v>
      </c>
      <c r="AV35" s="109">
        <f t="shared" ca="1" si="24"/>
        <v>3.2195962194880856E-4</v>
      </c>
      <c r="AW35" s="27" t="e">
        <f t="shared" ca="1" si="25"/>
        <v>#VALUE!</v>
      </c>
      <c r="AX35" s="29" t="e">
        <f t="shared" ca="1" si="26"/>
        <v>#VALUE!</v>
      </c>
      <c r="AY35" s="72"/>
    </row>
    <row r="36" spans="2:51" s="11" customFormat="1" ht="15.6" customHeight="1" thickBot="1" x14ac:dyDescent="0.35">
      <c r="C36" s="83"/>
      <c r="D36" s="84"/>
      <c r="M36" s="20">
        <f>M35+1</f>
        <v>6</v>
      </c>
      <c r="N36" s="21">
        <f>N35+Maturity1/400</f>
        <v>0.10500000000000001</v>
      </c>
      <c r="O36" s="22">
        <f t="shared" ca="1" si="1"/>
        <v>108.60660743809137</v>
      </c>
      <c r="P36" s="23">
        <f t="shared" ca="1" si="2"/>
        <v>-1</v>
      </c>
      <c r="Q36" s="22" t="e">
        <f t="shared" ca="1" si="3"/>
        <v>#VALUE!</v>
      </c>
      <c r="R36" s="23">
        <f t="shared" ca="1" si="4"/>
        <v>-1</v>
      </c>
      <c r="S36" s="24" t="e">
        <f t="shared" ca="1" si="5"/>
        <v>#VALUE!</v>
      </c>
      <c r="T36" s="23">
        <f t="shared" ca="1" si="6"/>
        <v>-1</v>
      </c>
      <c r="U36" s="112">
        <f t="shared" si="17"/>
        <v>8.0518570947484581E-3</v>
      </c>
      <c r="V36" s="109">
        <f t="shared" si="18"/>
        <v>-8.0518570947484581E-3</v>
      </c>
      <c r="W36" s="112">
        <f t="shared" si="19"/>
        <v>8.0518570947484581E-3</v>
      </c>
      <c r="X36" s="113">
        <f t="shared" si="20"/>
        <v>-8.0518570947484581E-3</v>
      </c>
      <c r="AC36" s="32"/>
      <c r="AD36" s="32"/>
      <c r="AE36" s="32"/>
      <c r="AG36" s="26">
        <f t="shared" si="7"/>
        <v>0</v>
      </c>
      <c r="AH36" s="27">
        <f t="shared" si="8"/>
        <v>2.0183012656984706E-2</v>
      </c>
      <c r="AI36" s="28">
        <f t="shared" si="21"/>
        <v>8.0518570947484581E-3</v>
      </c>
      <c r="AJ36" s="27">
        <f t="shared" si="9"/>
        <v>8.0518570947484581E-3</v>
      </c>
      <c r="AK36" s="28">
        <f t="shared" si="10"/>
        <v>4.9697140925428953E-3</v>
      </c>
      <c r="AL36" s="27">
        <f t="shared" si="11"/>
        <v>8.0518570947484581E-3</v>
      </c>
      <c r="AM36" s="28">
        <f t="shared" si="22"/>
        <v>8.0518570947484581E-3</v>
      </c>
      <c r="AN36" s="27">
        <f t="shared" si="23"/>
        <v>-8.0518570947484581E-3</v>
      </c>
      <c r="AO36" s="28">
        <f t="shared" si="12"/>
        <v>-8.0518570947484581E-3</v>
      </c>
      <c r="AP36" s="27">
        <f t="shared" si="13"/>
        <v>-4.9697140925428953E-3</v>
      </c>
      <c r="AQ36" s="29">
        <f t="shared" si="14"/>
        <v>-8.0518570947484581E-3</v>
      </c>
      <c r="AS36" s="30">
        <f t="shared" si="15"/>
        <v>0.99685495604478724</v>
      </c>
      <c r="AT36" s="21">
        <f t="shared" si="16"/>
        <v>6.2286129306000824</v>
      </c>
      <c r="AU36" s="31">
        <f t="shared" ca="1" si="29"/>
        <v>3.2077775512728834E-4</v>
      </c>
      <c r="AV36" s="109">
        <f t="shared" ca="1" si="24"/>
        <v>3.2368415892258806E-4</v>
      </c>
      <c r="AW36" s="27" t="e">
        <f t="shared" ca="1" si="25"/>
        <v>#VALUE!</v>
      </c>
      <c r="AX36" s="29" t="e">
        <f t="shared" ca="1" si="26"/>
        <v>#VALUE!</v>
      </c>
      <c r="AY36" s="72"/>
    </row>
    <row r="37" spans="2:51" s="11" customFormat="1" ht="15.6" customHeight="1" thickBot="1" x14ac:dyDescent="0.35">
      <c r="C37" s="85"/>
      <c r="D37" s="86"/>
      <c r="M37" s="20">
        <f t="shared" si="27"/>
        <v>7</v>
      </c>
      <c r="N37" s="21">
        <f t="shared" si="28"/>
        <v>0.12250000000000001</v>
      </c>
      <c r="O37" s="22">
        <f t="shared" ca="1" si="1"/>
        <v>108.92020013316974</v>
      </c>
      <c r="P37" s="23">
        <f t="shared" ca="1" si="2"/>
        <v>-1</v>
      </c>
      <c r="Q37" s="22" t="e">
        <f t="shared" ca="1" si="3"/>
        <v>#VALUE!</v>
      </c>
      <c r="R37" s="23">
        <f t="shared" ca="1" si="4"/>
        <v>-1</v>
      </c>
      <c r="S37" s="24" t="e">
        <f t="shared" ca="1" si="5"/>
        <v>#VALUE!</v>
      </c>
      <c r="T37" s="23">
        <f t="shared" ca="1" si="6"/>
        <v>-1</v>
      </c>
      <c r="U37" s="112">
        <f t="shared" si="17"/>
        <v>8.6771251554965539E-3</v>
      </c>
      <c r="V37" s="109">
        <f t="shared" si="18"/>
        <v>-8.6771251554965539E-3</v>
      </c>
      <c r="W37" s="112">
        <f t="shared" si="19"/>
        <v>8.6771251554965539E-3</v>
      </c>
      <c r="X37" s="113">
        <f t="shared" si="20"/>
        <v>-8.6771251554965539E-3</v>
      </c>
      <c r="Z37" s="87" t="s">
        <v>28</v>
      </c>
      <c r="AA37" s="88"/>
      <c r="AB37" s="72"/>
      <c r="AC37" s="32"/>
      <c r="AD37" s="32"/>
      <c r="AE37" s="32"/>
      <c r="AG37" s="26">
        <f t="shared" si="7"/>
        <v>0</v>
      </c>
      <c r="AH37" s="27">
        <f t="shared" si="8"/>
        <v>2.1750327257279576E-2</v>
      </c>
      <c r="AI37" s="28">
        <f t="shared" si="21"/>
        <v>8.6771251554965539E-3</v>
      </c>
      <c r="AJ37" s="27">
        <f t="shared" si="9"/>
        <v>8.6771251554965539E-3</v>
      </c>
      <c r="AK37" s="28">
        <f t="shared" si="10"/>
        <v>4.9583572317123152E-3</v>
      </c>
      <c r="AL37" s="27">
        <f t="shared" si="11"/>
        <v>8.6771251554965539E-3</v>
      </c>
      <c r="AM37" s="28">
        <f t="shared" si="22"/>
        <v>8.6771251554965539E-3</v>
      </c>
      <c r="AN37" s="27">
        <f t="shared" si="23"/>
        <v>-8.6771251554965539E-3</v>
      </c>
      <c r="AO37" s="28">
        <f t="shared" si="12"/>
        <v>-8.6771251554965539E-3</v>
      </c>
      <c r="AP37" s="27">
        <f t="shared" si="13"/>
        <v>-4.958357231712316E-3</v>
      </c>
      <c r="AQ37" s="29">
        <f t="shared" si="14"/>
        <v>-8.6771251554965539E-3</v>
      </c>
      <c r="AS37" s="30">
        <f t="shared" si="15"/>
        <v>0.99633174454789919</v>
      </c>
      <c r="AT37" s="21">
        <f t="shared" si="16"/>
        <v>6.2143792163655922</v>
      </c>
      <c r="AU37" s="31">
        <f t="shared" ca="1" si="29"/>
        <v>3.2250603196604111E-4</v>
      </c>
      <c r="AV37" s="109">
        <f t="shared" ca="1" si="24"/>
        <v>3.254105208145841E-4</v>
      </c>
      <c r="AW37" s="27" t="e">
        <f t="shared" ca="1" si="25"/>
        <v>#VALUE!</v>
      </c>
      <c r="AX37" s="29" t="e">
        <f t="shared" ca="1" si="26"/>
        <v>#VALUE!</v>
      </c>
      <c r="AY37" s="72"/>
    </row>
    <row r="38" spans="2:51" s="11" customFormat="1" ht="15.6" customHeight="1" x14ac:dyDescent="0.3">
      <c r="C38" s="83"/>
      <c r="M38" s="20">
        <f t="shared" si="27"/>
        <v>8</v>
      </c>
      <c r="N38" s="21">
        <f t="shared" si="28"/>
        <v>0.14000000000000001</v>
      </c>
      <c r="O38" s="22">
        <f t="shared" ca="1" si="1"/>
        <v>109.23420444603539</v>
      </c>
      <c r="P38" s="23">
        <f t="shared" ca="1" si="2"/>
        <v>-1</v>
      </c>
      <c r="Q38" s="22" t="e">
        <f t="shared" ca="1" si="3"/>
        <v>#VALUE!</v>
      </c>
      <c r="R38" s="23">
        <f t="shared" ca="1" si="4"/>
        <v>-1</v>
      </c>
      <c r="S38" s="24" t="e">
        <f t="shared" ca="1" si="5"/>
        <v>#VALUE!</v>
      </c>
      <c r="T38" s="23">
        <f t="shared" ca="1" si="6"/>
        <v>-1</v>
      </c>
      <c r="U38" s="112">
        <f t="shared" si="17"/>
        <v>9.2549790825738748E-3</v>
      </c>
      <c r="V38" s="109">
        <f t="shared" si="18"/>
        <v>-9.2549790825738748E-3</v>
      </c>
      <c r="W38" s="112">
        <f t="shared" si="19"/>
        <v>9.2549790825738748E-3</v>
      </c>
      <c r="X38" s="113">
        <f t="shared" si="20"/>
        <v>-9.2549790825738748E-3</v>
      </c>
      <c r="Z38" s="73" t="s">
        <v>5</v>
      </c>
      <c r="AA38" s="89">
        <v>1.4</v>
      </c>
      <c r="AB38" s="90"/>
      <c r="AC38" s="32"/>
      <c r="AD38" s="32"/>
      <c r="AE38" s="32"/>
      <c r="AG38" s="26">
        <f t="shared" si="7"/>
        <v>0</v>
      </c>
      <c r="AH38" s="27">
        <f t="shared" si="8"/>
        <v>2.3198792249498151E-2</v>
      </c>
      <c r="AI38" s="28">
        <f t="shared" si="21"/>
        <v>9.2549790825738748E-3</v>
      </c>
      <c r="AJ38" s="27">
        <f t="shared" si="9"/>
        <v>9.2549790825738748E-3</v>
      </c>
      <c r="AK38" s="28">
        <f t="shared" si="10"/>
        <v>4.9469944069644081E-3</v>
      </c>
      <c r="AL38" s="27">
        <f t="shared" si="11"/>
        <v>9.2549790825738748E-3</v>
      </c>
      <c r="AM38" s="28">
        <f t="shared" si="22"/>
        <v>9.2549790825738748E-3</v>
      </c>
      <c r="AN38" s="27">
        <f t="shared" si="23"/>
        <v>-9.2549790825738748E-3</v>
      </c>
      <c r="AO38" s="28">
        <f t="shared" si="12"/>
        <v>-9.2549790825738748E-3</v>
      </c>
      <c r="AP38" s="27">
        <f t="shared" si="13"/>
        <v>-4.9469944069644081E-3</v>
      </c>
      <c r="AQ38" s="29">
        <f t="shared" si="14"/>
        <v>-9.2549790825738748E-3</v>
      </c>
      <c r="AS38" s="30">
        <f t="shared" si="15"/>
        <v>0.9958088076649545</v>
      </c>
      <c r="AT38" s="21">
        <f t="shared" si="16"/>
        <v>6.2001380274692011</v>
      </c>
      <c r="AU38" s="31">
        <f t="shared" ca="1" si="29"/>
        <v>3.242360397726074E-4</v>
      </c>
      <c r="AV38" s="109">
        <f t="shared" ca="1" si="24"/>
        <v>3.2713859851996041E-4</v>
      </c>
      <c r="AW38" s="27" t="e">
        <f t="shared" ca="1" si="25"/>
        <v>#VALUE!</v>
      </c>
      <c r="AX38" s="29" t="e">
        <f t="shared" ca="1" si="26"/>
        <v>#VALUE!</v>
      </c>
      <c r="AY38" s="72"/>
    </row>
    <row r="39" spans="2:51" s="11" customFormat="1" ht="15.6" customHeight="1" x14ac:dyDescent="0.3">
      <c r="C39" s="83"/>
      <c r="M39" s="20">
        <f t="shared" si="27"/>
        <v>9</v>
      </c>
      <c r="N39" s="21">
        <f t="shared" si="28"/>
        <v>0.15750000000000003</v>
      </c>
      <c r="O39" s="22">
        <f t="shared" ca="1" si="1"/>
        <v>109.54861216778657</v>
      </c>
      <c r="P39" s="23">
        <f t="shared" ca="1" si="2"/>
        <v>-1</v>
      </c>
      <c r="Q39" s="22" t="e">
        <f t="shared" ca="1" si="3"/>
        <v>#VALUE!</v>
      </c>
      <c r="R39" s="23">
        <f t="shared" ca="1" si="4"/>
        <v>-1</v>
      </c>
      <c r="S39" s="24" t="e">
        <f t="shared" ca="1" si="5"/>
        <v>#VALUE!</v>
      </c>
      <c r="T39" s="23">
        <f t="shared" ca="1" si="6"/>
        <v>-1</v>
      </c>
      <c r="U39" s="112">
        <f t="shared" si="17"/>
        <v>9.7938284566896367E-3</v>
      </c>
      <c r="V39" s="109">
        <f t="shared" si="18"/>
        <v>-9.7938284566896367E-3</v>
      </c>
      <c r="W39" s="112">
        <f t="shared" si="19"/>
        <v>9.7938284566896367E-3</v>
      </c>
      <c r="X39" s="113">
        <f t="shared" si="20"/>
        <v>-9.7938284566896367E-3</v>
      </c>
      <c r="Z39" s="20" t="s">
        <v>13</v>
      </c>
      <c r="AA39" s="91">
        <f ca="1">0.12*(1-EXP(-50*PDef))/(1-EXP(-50))+0.24*(1-(1-EXP(-50*PDef))/(1-EXP(-50)))</f>
        <v>0.24</v>
      </c>
      <c r="AB39" s="47"/>
      <c r="AC39" s="32"/>
      <c r="AD39" s="32"/>
      <c r="AE39" s="32"/>
      <c r="AG39" s="26">
        <f t="shared" si="7"/>
        <v>0</v>
      </c>
      <c r="AH39" s="27">
        <f t="shared" si="8"/>
        <v>2.4549487326423935E-2</v>
      </c>
      <c r="AI39" s="28">
        <f t="shared" si="21"/>
        <v>9.7938284566896367E-3</v>
      </c>
      <c r="AJ39" s="27">
        <f t="shared" si="9"/>
        <v>9.7938284566896367E-3</v>
      </c>
      <c r="AK39" s="28">
        <f t="shared" si="10"/>
        <v>4.9356256151672946E-3</v>
      </c>
      <c r="AL39" s="27">
        <f t="shared" si="11"/>
        <v>9.7938284566896367E-3</v>
      </c>
      <c r="AM39" s="28">
        <f t="shared" si="22"/>
        <v>9.7938284566896367E-3</v>
      </c>
      <c r="AN39" s="27">
        <f t="shared" si="23"/>
        <v>-9.7938284566896367E-3</v>
      </c>
      <c r="AO39" s="28">
        <f t="shared" si="12"/>
        <v>-9.7938284566896367E-3</v>
      </c>
      <c r="AP39" s="27">
        <f t="shared" si="13"/>
        <v>-4.9356256151672955E-3</v>
      </c>
      <c r="AQ39" s="29">
        <f t="shared" si="14"/>
        <v>-9.7938284566896367E-3</v>
      </c>
      <c r="AS39" s="30">
        <f t="shared" si="15"/>
        <v>0.9952861452518188</v>
      </c>
      <c r="AT39" s="21">
        <f t="shared" si="16"/>
        <v>6.1858893599856826</v>
      </c>
      <c r="AU39" s="31">
        <f t="shared" ca="1" si="29"/>
        <v>3.2596766957049272E-4</v>
      </c>
      <c r="AV39" s="109">
        <f t="shared" ca="1" si="24"/>
        <v>3.2886828304545812E-4</v>
      </c>
      <c r="AW39" s="27" t="e">
        <f t="shared" ca="1" si="25"/>
        <v>#VALUE!</v>
      </c>
      <c r="AX39" s="29" t="e">
        <f t="shared" ca="1" si="26"/>
        <v>#VALUE!</v>
      </c>
      <c r="AY39" s="72"/>
    </row>
    <row r="40" spans="2:51" s="11" customFormat="1" ht="15.6" customHeight="1" x14ac:dyDescent="0.3">
      <c r="C40" s="83"/>
      <c r="M40" s="20">
        <f t="shared" si="27"/>
        <v>10</v>
      </c>
      <c r="N40" s="21">
        <f t="shared" si="28"/>
        <v>0.17500000000000004</v>
      </c>
      <c r="O40" s="22">
        <f t="shared" ca="1" si="1"/>
        <v>109.86341508952155</v>
      </c>
      <c r="P40" s="23">
        <f t="shared" ca="1" si="2"/>
        <v>-1</v>
      </c>
      <c r="Q40" s="22" t="e">
        <f t="shared" ca="1" si="3"/>
        <v>#VALUE!</v>
      </c>
      <c r="R40" s="23">
        <f t="shared" ca="1" si="4"/>
        <v>-1</v>
      </c>
      <c r="S40" s="24" t="e">
        <f t="shared" ca="1" si="5"/>
        <v>#VALUE!</v>
      </c>
      <c r="T40" s="23">
        <f t="shared" ca="1" si="6"/>
        <v>-1</v>
      </c>
      <c r="U40" s="112">
        <f t="shared" si="17"/>
        <v>1.0299809623720641E-2</v>
      </c>
      <c r="V40" s="109">
        <f t="shared" si="18"/>
        <v>-1.0299809623720641E-2</v>
      </c>
      <c r="W40" s="112">
        <f t="shared" si="19"/>
        <v>1.0299809623720641E-2</v>
      </c>
      <c r="X40" s="113">
        <f t="shared" si="20"/>
        <v>-1.0299809623720641E-2</v>
      </c>
      <c r="Z40" s="20" t="s">
        <v>43</v>
      </c>
      <c r="AA40" s="91" t="e">
        <f ca="1">NORMSDIST((NORMSINV(PDef)+SQRT(Rho)*NORMSINV(99.9%))/SQRT(1-Rho))-PDef</f>
        <v>#NUM!</v>
      </c>
      <c r="AB40" s="92"/>
      <c r="AC40" s="32"/>
      <c r="AD40" s="32"/>
      <c r="AE40" s="32"/>
      <c r="AG40" s="26">
        <f t="shared" si="7"/>
        <v>0</v>
      </c>
      <c r="AH40" s="27">
        <f t="shared" si="8"/>
        <v>2.5817794026134645E-2</v>
      </c>
      <c r="AI40" s="28">
        <f t="shared" si="21"/>
        <v>1.0299809623720641E-2</v>
      </c>
      <c r="AJ40" s="27">
        <f t="shared" si="9"/>
        <v>1.0299809623720641E-2</v>
      </c>
      <c r="AK40" s="28">
        <f t="shared" si="10"/>
        <v>4.9242508531874502E-3</v>
      </c>
      <c r="AL40" s="27">
        <f t="shared" si="11"/>
        <v>1.0299809623720641E-2</v>
      </c>
      <c r="AM40" s="28">
        <f t="shared" si="22"/>
        <v>1.0299809623720641E-2</v>
      </c>
      <c r="AN40" s="27">
        <f t="shared" si="23"/>
        <v>-1.0299809623720641E-2</v>
      </c>
      <c r="AO40" s="28">
        <f t="shared" si="12"/>
        <v>-1.0299809623720641E-2</v>
      </c>
      <c r="AP40" s="27">
        <f t="shared" si="13"/>
        <v>-4.9242508531874502E-3</v>
      </c>
      <c r="AQ40" s="29">
        <f t="shared" si="14"/>
        <v>-1.0299809623720641E-2</v>
      </c>
      <c r="AS40" s="30">
        <f t="shared" si="15"/>
        <v>0.9947637571644331</v>
      </c>
      <c r="AT40" s="21">
        <f t="shared" si="16"/>
        <v>6.1716332099877445</v>
      </c>
      <c r="AU40" s="31">
        <f t="shared" ca="1" si="29"/>
        <v>3.2770081249633431E-4</v>
      </c>
      <c r="AV40" s="109">
        <f t="shared" ca="1" si="24"/>
        <v>3.3059946551161623E-4</v>
      </c>
      <c r="AW40" s="27" t="e">
        <f t="shared" ca="1" si="25"/>
        <v>#VALUE!</v>
      </c>
      <c r="AX40" s="29" t="e">
        <f t="shared" ca="1" si="26"/>
        <v>#VALUE!</v>
      </c>
      <c r="AY40" s="72"/>
    </row>
    <row r="41" spans="2:51" s="11" customFormat="1" ht="15.6" customHeight="1" thickBot="1" x14ac:dyDescent="0.35">
      <c r="M41" s="20">
        <f t="shared" si="27"/>
        <v>11</v>
      </c>
      <c r="N41" s="21">
        <f t="shared" si="28"/>
        <v>0.19250000000000006</v>
      </c>
      <c r="O41" s="22">
        <f t="shared" ca="1" si="1"/>
        <v>110.1786050023386</v>
      </c>
      <c r="P41" s="23">
        <f t="shared" ca="1" si="2"/>
        <v>-1</v>
      </c>
      <c r="Q41" s="22" t="e">
        <f t="shared" ca="1" si="3"/>
        <v>#VALUE!</v>
      </c>
      <c r="R41" s="23">
        <f t="shared" ca="1" si="4"/>
        <v>-1</v>
      </c>
      <c r="S41" s="24" t="e">
        <f t="shared" ca="1" si="5"/>
        <v>#VALUE!</v>
      </c>
      <c r="T41" s="23">
        <f t="shared" ca="1" si="6"/>
        <v>-1</v>
      </c>
      <c r="U41" s="112">
        <f t="shared" si="17"/>
        <v>1.0777565081091288E-2</v>
      </c>
      <c r="V41" s="109">
        <f t="shared" si="18"/>
        <v>-1.0777565081091288E-2</v>
      </c>
      <c r="W41" s="112">
        <f t="shared" si="19"/>
        <v>1.0777565081091288E-2</v>
      </c>
      <c r="X41" s="113">
        <f t="shared" si="20"/>
        <v>-1.0777565081091288E-2</v>
      </c>
      <c r="Z41" s="20" t="s">
        <v>14</v>
      </c>
      <c r="AA41" s="93" t="e">
        <f ca="1">(0.11852-0.05478*LN(PDef))^2</f>
        <v>#NUM!</v>
      </c>
      <c r="AB41" s="72"/>
      <c r="AC41" s="32"/>
      <c r="AD41" s="32"/>
      <c r="AE41" s="32"/>
      <c r="AG41" s="26">
        <f t="shared" si="7"/>
        <v>0</v>
      </c>
      <c r="AH41" s="27">
        <f t="shared" si="8"/>
        <v>2.7015349363939171E-2</v>
      </c>
      <c r="AI41" s="28">
        <f t="shared" si="21"/>
        <v>1.0777565081091288E-2</v>
      </c>
      <c r="AJ41" s="27">
        <f t="shared" si="9"/>
        <v>1.0777565081091288E-2</v>
      </c>
      <c r="AK41" s="28">
        <f t="shared" si="10"/>
        <v>4.9128701178897099E-3</v>
      </c>
      <c r="AL41" s="27">
        <f t="shared" si="11"/>
        <v>1.0777565081091288E-2</v>
      </c>
      <c r="AM41" s="28">
        <f t="shared" si="22"/>
        <v>1.0777565081091288E-2</v>
      </c>
      <c r="AN41" s="27">
        <f t="shared" si="23"/>
        <v>-1.0777565081091288E-2</v>
      </c>
      <c r="AO41" s="28">
        <f t="shared" si="12"/>
        <v>-1.0777565081091288E-2</v>
      </c>
      <c r="AP41" s="27">
        <f t="shared" si="13"/>
        <v>-4.9128701178897108E-3</v>
      </c>
      <c r="AQ41" s="29">
        <f t="shared" si="14"/>
        <v>-1.0777565081091288E-2</v>
      </c>
      <c r="AS41" s="30">
        <f t="shared" si="15"/>
        <v>0.99424164325881426</v>
      </c>
      <c r="AT41" s="21">
        <f t="shared" si="16"/>
        <v>6.1573695735460419</v>
      </c>
      <c r="AU41" s="31">
        <f t="shared" ca="1" si="29"/>
        <v>3.2943535980178851E-4</v>
      </c>
      <c r="AV41" s="109">
        <f t="shared" ca="1" si="24"/>
        <v>3.3233203715610227E-4</v>
      </c>
      <c r="AW41" s="27" t="e">
        <f t="shared" ca="1" si="25"/>
        <v>#VALUE!</v>
      </c>
      <c r="AX41" s="29" t="e">
        <f t="shared" ca="1" si="26"/>
        <v>#VALUE!</v>
      </c>
      <c r="AY41" s="72"/>
    </row>
    <row r="42" spans="2:51" s="11" customFormat="1" ht="15.6" customHeight="1" thickBot="1" x14ac:dyDescent="0.35">
      <c r="B42" s="155" t="s">
        <v>40</v>
      </c>
      <c r="C42" s="156"/>
      <c r="D42" s="157"/>
      <c r="M42" s="20">
        <f t="shared" si="27"/>
        <v>12</v>
      </c>
      <c r="N42" s="21">
        <f t="shared" si="28"/>
        <v>0.21000000000000008</v>
      </c>
      <c r="O42" s="22">
        <f t="shared" ca="1" si="1"/>
        <v>110.49417369733597</v>
      </c>
      <c r="P42" s="23">
        <f t="shared" ca="1" si="2"/>
        <v>-1</v>
      </c>
      <c r="Q42" s="22" t="e">
        <f t="shared" ca="1" si="3"/>
        <v>#VALUE!</v>
      </c>
      <c r="R42" s="23">
        <f t="shared" ca="1" si="4"/>
        <v>-1</v>
      </c>
      <c r="S42" s="24" t="e">
        <f t="shared" ca="1" si="5"/>
        <v>#VALUE!</v>
      </c>
      <c r="T42" s="23">
        <f t="shared" ca="1" si="6"/>
        <v>-1</v>
      </c>
      <c r="U42" s="112">
        <f t="shared" si="17"/>
        <v>1.1230709363096975E-2</v>
      </c>
      <c r="V42" s="109">
        <f t="shared" si="18"/>
        <v>-1.1230709363096975E-2</v>
      </c>
      <c r="W42" s="112">
        <f t="shared" si="19"/>
        <v>1.1230709363096975E-2</v>
      </c>
      <c r="X42" s="113">
        <f t="shared" si="20"/>
        <v>-1.1230709363096975E-2</v>
      </c>
      <c r="Z42" s="20" t="s">
        <v>4</v>
      </c>
      <c r="AA42" s="94">
        <f>(1-EXP(-Maturity1*5%))/5%</f>
        <v>5.9062382056257308</v>
      </c>
      <c r="AC42" s="32"/>
      <c r="AD42" s="32"/>
      <c r="AE42" s="32"/>
      <c r="AG42" s="26">
        <f t="shared" si="7"/>
        <v>0</v>
      </c>
      <c r="AH42" s="27">
        <f t="shared" si="8"/>
        <v>2.8151213633701992E-2</v>
      </c>
      <c r="AI42" s="28">
        <f t="shared" si="21"/>
        <v>1.1230709363096975E-2</v>
      </c>
      <c r="AJ42" s="27">
        <f t="shared" si="9"/>
        <v>1.1230709363096975E-2</v>
      </c>
      <c r="AK42" s="28">
        <f t="shared" si="10"/>
        <v>4.9014834061372548E-3</v>
      </c>
      <c r="AL42" s="27">
        <f t="shared" si="11"/>
        <v>1.1230709363096975E-2</v>
      </c>
      <c r="AM42" s="28">
        <f t="shared" si="22"/>
        <v>1.1230709363096975E-2</v>
      </c>
      <c r="AN42" s="27">
        <f t="shared" si="23"/>
        <v>-1.1230709363096975E-2</v>
      </c>
      <c r="AO42" s="28">
        <f t="shared" si="12"/>
        <v>-1.1230709363096975E-2</v>
      </c>
      <c r="AP42" s="27">
        <f t="shared" si="13"/>
        <v>-4.9014834061372548E-3</v>
      </c>
      <c r="AQ42" s="29">
        <f t="shared" si="14"/>
        <v>-1.1230709363096975E-2</v>
      </c>
      <c r="AS42" s="30">
        <f t="shared" si="15"/>
        <v>0.9937198033910547</v>
      </c>
      <c r="AT42" s="21">
        <f t="shared" si="16"/>
        <v>6.1430984467291525</v>
      </c>
      <c r="AU42" s="31">
        <f t="shared" ca="1" si="29"/>
        <v>3.3117120285564017E-4</v>
      </c>
      <c r="AV42" s="109">
        <f t="shared" ca="1" si="24"/>
        <v>3.3406588933515557E-4</v>
      </c>
      <c r="AW42" s="27" t="e">
        <f t="shared" ca="1" si="25"/>
        <v>#VALUE!</v>
      </c>
      <c r="AX42" s="29" t="e">
        <f t="shared" ca="1" si="26"/>
        <v>#VALUE!</v>
      </c>
      <c r="AY42" s="72"/>
    </row>
    <row r="43" spans="2:51" s="11" customFormat="1" ht="15.6" customHeight="1" x14ac:dyDescent="0.3">
      <c r="B43" s="73" t="s">
        <v>31</v>
      </c>
      <c r="C43" s="74">
        <f ca="1">-CntrptyLGD*SUMPRODUCT(AL31:AL430,AU31:AU430,AS31:AS430)</f>
        <v>-2.1014641854032439E-3</v>
      </c>
      <c r="D43" s="75">
        <f ca="1">IF(ISERROR(UCVA),0,UCVA/ApproxDuration*10000)</f>
        <v>-3.716565403156721</v>
      </c>
      <c r="M43" s="20">
        <f t="shared" si="27"/>
        <v>13</v>
      </c>
      <c r="N43" s="21">
        <f t="shared" si="28"/>
        <v>0.22750000000000009</v>
      </c>
      <c r="O43" s="22">
        <f t="shared" ca="1" si="1"/>
        <v>110.81011296561189</v>
      </c>
      <c r="P43" s="23">
        <f t="shared" ca="1" si="2"/>
        <v>-1</v>
      </c>
      <c r="Q43" s="22" t="e">
        <f t="shared" ca="1" si="3"/>
        <v>#VALUE!</v>
      </c>
      <c r="R43" s="23">
        <f t="shared" ca="1" si="4"/>
        <v>-1</v>
      </c>
      <c r="S43" s="24" t="e">
        <f t="shared" ca="1" si="5"/>
        <v>#VALUE!</v>
      </c>
      <c r="T43" s="23">
        <f t="shared" ca="1" si="6"/>
        <v>-1</v>
      </c>
      <c r="U43" s="112">
        <f t="shared" si="17"/>
        <v>1.1662123078311857E-2</v>
      </c>
      <c r="V43" s="109">
        <f t="shared" si="18"/>
        <v>-1.1662123078311857E-2</v>
      </c>
      <c r="W43" s="112">
        <f t="shared" si="19"/>
        <v>1.1662123078311857E-2</v>
      </c>
      <c r="X43" s="113">
        <f t="shared" si="20"/>
        <v>-1.1662123078311857E-2</v>
      </c>
      <c r="Z43" s="20" t="s">
        <v>3</v>
      </c>
      <c r="AA43" s="91">
        <f>(SwapRate1-InterestRate)*Duration1</f>
        <v>0</v>
      </c>
      <c r="AB43" s="48"/>
      <c r="AC43" s="32"/>
      <c r="AD43" s="32"/>
      <c r="AE43" s="32"/>
      <c r="AG43" s="26">
        <f t="shared" si="7"/>
        <v>0</v>
      </c>
      <c r="AH43" s="27">
        <f t="shared" si="8"/>
        <v>2.923260745032322E-2</v>
      </c>
      <c r="AI43" s="28">
        <f t="shared" si="21"/>
        <v>1.1662123078311857E-2</v>
      </c>
      <c r="AJ43" s="27">
        <f t="shared" si="9"/>
        <v>1.1662123078311857E-2</v>
      </c>
      <c r="AK43" s="28">
        <f t="shared" si="10"/>
        <v>4.8900907147916232E-3</v>
      </c>
      <c r="AL43" s="27">
        <f t="shared" si="11"/>
        <v>1.1662123078311857E-2</v>
      </c>
      <c r="AM43" s="28">
        <f t="shared" si="22"/>
        <v>1.1662123078311857E-2</v>
      </c>
      <c r="AN43" s="27">
        <f t="shared" si="23"/>
        <v>-1.1662123078311857E-2</v>
      </c>
      <c r="AO43" s="28">
        <f t="shared" si="12"/>
        <v>-1.1662123078311857E-2</v>
      </c>
      <c r="AP43" s="27">
        <f t="shared" si="13"/>
        <v>-4.8900907147916232E-3</v>
      </c>
      <c r="AQ43" s="29">
        <f t="shared" si="14"/>
        <v>-1.1662123078311857E-2</v>
      </c>
      <c r="AS43" s="30">
        <f t="shared" si="15"/>
        <v>0.99319823741732227</v>
      </c>
      <c r="AT43" s="21">
        <f t="shared" si="16"/>
        <v>6.1288198256036006</v>
      </c>
      <c r="AU43" s="31">
        <f t="shared" ca="1" si="29"/>
        <v>3.3290823314757745E-4</v>
      </c>
      <c r="AV43" s="109">
        <f t="shared" ca="1" si="24"/>
        <v>3.3580091352769514E-4</v>
      </c>
      <c r="AW43" s="27" t="e">
        <f t="shared" ca="1" si="25"/>
        <v>#VALUE!</v>
      </c>
      <c r="AX43" s="29" t="e">
        <f t="shared" ca="1" si="26"/>
        <v>#VALUE!</v>
      </c>
      <c r="AY43" s="72"/>
    </row>
    <row r="44" spans="2:51" s="11" customFormat="1" ht="15.6" customHeight="1" x14ac:dyDescent="0.3">
      <c r="B44" s="20" t="s">
        <v>32</v>
      </c>
      <c r="C44" s="76">
        <f ca="1">IF(ISERROR(-OwnLGD*SUMPRODUCT(AQ31:AQ430,AW31:AW430,AS31:AS430)),0,-OwnLGD*SUMPRODUCT(AQ31:AQ430,AW31:AW430,AS31:AS430))</f>
        <v>0</v>
      </c>
      <c r="D44" s="77">
        <f ca="1">IF(ISERROR(UDVA),0,UDVA/ApproxDuration*10000)</f>
        <v>0</v>
      </c>
      <c r="M44" s="20">
        <f t="shared" si="27"/>
        <v>14</v>
      </c>
      <c r="N44" s="21">
        <f t="shared" si="28"/>
        <v>0.24500000000000011</v>
      </c>
      <c r="O44" s="22">
        <f t="shared" ca="1" si="1"/>
        <v>111.12641459826467</v>
      </c>
      <c r="P44" s="23">
        <f t="shared" ca="1" si="2"/>
        <v>-1</v>
      </c>
      <c r="Q44" s="22" t="e">
        <f t="shared" ca="1" si="3"/>
        <v>#VALUE!</v>
      </c>
      <c r="R44" s="23">
        <f t="shared" ca="1" si="4"/>
        <v>-1</v>
      </c>
      <c r="S44" s="24" t="e">
        <f t="shared" ca="1" si="5"/>
        <v>#VALUE!</v>
      </c>
      <c r="T44" s="23">
        <f t="shared" ca="1" si="6"/>
        <v>-1</v>
      </c>
      <c r="U44" s="112">
        <f t="shared" si="17"/>
        <v>1.2074146788580776E-2</v>
      </c>
      <c r="V44" s="109">
        <f t="shared" si="18"/>
        <v>-1.2074146788580776E-2</v>
      </c>
      <c r="W44" s="112">
        <f t="shared" si="19"/>
        <v>1.2074146788580776E-2</v>
      </c>
      <c r="X44" s="113">
        <f t="shared" si="20"/>
        <v>-1.2074146788580776E-2</v>
      </c>
      <c r="Z44" s="20" t="s">
        <v>26</v>
      </c>
      <c r="AA44" s="91">
        <f>IF(Maturity1&lt;1,0,IF(Maturity1&lt;=5,0.5%,1.5%))</f>
        <v>1.4999999999999999E-2</v>
      </c>
      <c r="AB44" s="33"/>
      <c r="AC44" s="32"/>
      <c r="AD44" s="32"/>
      <c r="AE44" s="32"/>
      <c r="AG44" s="26">
        <f t="shared" si="7"/>
        <v>0</v>
      </c>
      <c r="AH44" s="27">
        <f t="shared" si="8"/>
        <v>3.0265397732301667E-2</v>
      </c>
      <c r="AI44" s="28">
        <f t="shared" si="21"/>
        <v>1.2074146788580776E-2</v>
      </c>
      <c r="AJ44" s="27">
        <f t="shared" si="9"/>
        <v>1.2074146788580776E-2</v>
      </c>
      <c r="AK44" s="28">
        <f t="shared" si="10"/>
        <v>4.8786920407127088E-3</v>
      </c>
      <c r="AL44" s="27">
        <f t="shared" si="11"/>
        <v>1.2074146788580776E-2</v>
      </c>
      <c r="AM44" s="28">
        <f t="shared" si="22"/>
        <v>1.2074146788580776E-2</v>
      </c>
      <c r="AN44" s="27">
        <f t="shared" si="23"/>
        <v>-1.2074146788580776E-2</v>
      </c>
      <c r="AO44" s="28">
        <f t="shared" si="12"/>
        <v>-1.2074146788580776E-2</v>
      </c>
      <c r="AP44" s="27">
        <f t="shared" si="13"/>
        <v>-4.8786920407127088E-3</v>
      </c>
      <c r="AQ44" s="29">
        <f t="shared" si="14"/>
        <v>-1.2074146788580776E-2</v>
      </c>
      <c r="AS44" s="30">
        <f t="shared" si="15"/>
        <v>0.99267694519386018</v>
      </c>
      <c r="AT44" s="21">
        <f t="shared" si="16"/>
        <v>6.1145337062338454</v>
      </c>
      <c r="AU44" s="31">
        <f t="shared" ca="1" si="29"/>
        <v>3.3464634228952406E-4</v>
      </c>
      <c r="AV44" s="109">
        <f t="shared" ca="1" si="24"/>
        <v>3.3753700133631881E-4</v>
      </c>
      <c r="AW44" s="27" t="e">
        <f t="shared" ca="1" si="25"/>
        <v>#VALUE!</v>
      </c>
      <c r="AX44" s="29" t="e">
        <f t="shared" ca="1" si="26"/>
        <v>#VALUE!</v>
      </c>
      <c r="AY44" s="72"/>
    </row>
    <row r="45" spans="2:51" s="11" customFormat="1" ht="15.6" customHeight="1" x14ac:dyDescent="0.3">
      <c r="B45" s="20" t="s">
        <v>41</v>
      </c>
      <c r="C45" s="76">
        <f ca="1">-IF(ISERROR(SUMPRODUCT(AL31:AL430,AX31:AX430,AS31:AS430)),0,SUMPRODUCT(AL31:AL430,AX31:AX430,AS31:AS430))</f>
        <v>0</v>
      </c>
      <c r="D45" s="77">
        <f ca="1">IF(ISERROR(FCA),0,FCA/ApproxDuration*10000)</f>
        <v>0</v>
      </c>
      <c r="M45" s="20">
        <f t="shared" si="27"/>
        <v>15</v>
      </c>
      <c r="N45" s="21">
        <f t="shared" si="28"/>
        <v>0.26250000000000012</v>
      </c>
      <c r="O45" s="22">
        <f t="shared" ca="1" si="1"/>
        <v>111.44307038639255</v>
      </c>
      <c r="P45" s="23">
        <f t="shared" ca="1" si="2"/>
        <v>-1</v>
      </c>
      <c r="Q45" s="22" t="e">
        <f t="shared" ca="1" si="3"/>
        <v>#VALUE!</v>
      </c>
      <c r="R45" s="23">
        <f t="shared" ca="1" si="4"/>
        <v>-1</v>
      </c>
      <c r="S45" s="24" t="e">
        <f t="shared" ca="1" si="5"/>
        <v>#VALUE!</v>
      </c>
      <c r="T45" s="23">
        <f t="shared" ca="1" si="6"/>
        <v>-1</v>
      </c>
      <c r="U45" s="112">
        <f t="shared" si="17"/>
        <v>1.2468713538602828E-2</v>
      </c>
      <c r="V45" s="109">
        <f t="shared" si="18"/>
        <v>-1.2468713538602828E-2</v>
      </c>
      <c r="W45" s="112">
        <f t="shared" si="19"/>
        <v>1.2468713538602828E-2</v>
      </c>
      <c r="X45" s="113">
        <f t="shared" si="20"/>
        <v>-1.2468713538602828E-2</v>
      </c>
      <c r="Z45" s="20" t="s">
        <v>0</v>
      </c>
      <c r="AA45" s="93">
        <f>MAX(1,MIN(5,IF(OR(BreakMat="",BreakMat=0,Maturity1),MIN(Maturity1,BreakMat))))</f>
        <v>5</v>
      </c>
      <c r="AC45" s="32"/>
      <c r="AD45" s="32"/>
      <c r="AE45" s="32"/>
      <c r="AG45" s="26">
        <f t="shared" si="7"/>
        <v>0</v>
      </c>
      <c r="AH45" s="27">
        <f t="shared" si="8"/>
        <v>3.1254429904136204E-2</v>
      </c>
      <c r="AI45" s="28">
        <f t="shared" si="21"/>
        <v>1.2468713538602828E-2</v>
      </c>
      <c r="AJ45" s="27">
        <f t="shared" si="9"/>
        <v>1.2468713538602828E-2</v>
      </c>
      <c r="AK45" s="28">
        <f t="shared" si="10"/>
        <v>4.8672873807587445E-3</v>
      </c>
      <c r="AL45" s="27">
        <f t="shared" si="11"/>
        <v>1.2468713538602828E-2</v>
      </c>
      <c r="AM45" s="28">
        <f t="shared" si="22"/>
        <v>1.2468713538602828E-2</v>
      </c>
      <c r="AN45" s="27">
        <f t="shared" si="23"/>
        <v>-1.2468713538602828E-2</v>
      </c>
      <c r="AO45" s="28">
        <f t="shared" si="12"/>
        <v>-1.2468713538602828E-2</v>
      </c>
      <c r="AP45" s="27">
        <f t="shared" si="13"/>
        <v>-4.8672873807587445E-3</v>
      </c>
      <c r="AQ45" s="29">
        <f t="shared" si="14"/>
        <v>-1.2468713538602828E-2</v>
      </c>
      <c r="AS45" s="30">
        <f t="shared" si="15"/>
        <v>0.99215592657698748</v>
      </c>
      <c r="AT45" s="21">
        <f t="shared" si="16"/>
        <v>6.100240084682266</v>
      </c>
      <c r="AU45" s="31">
        <f t="shared" ca="1" si="29"/>
        <v>3.3638542201919197E-4</v>
      </c>
      <c r="AV45" s="109">
        <f t="shared" ca="1" si="24"/>
        <v>3.3927404449096699E-4</v>
      </c>
      <c r="AW45" s="27" t="e">
        <f t="shared" ca="1" si="25"/>
        <v>#VALUE!</v>
      </c>
      <c r="AX45" s="29" t="e">
        <f t="shared" ca="1" si="26"/>
        <v>#VALUE!</v>
      </c>
      <c r="AY45" s="72"/>
    </row>
    <row r="46" spans="2:51" s="11" customFormat="1" ht="15.6" customHeight="1" x14ac:dyDescent="0.3">
      <c r="B46" s="20" t="s">
        <v>90</v>
      </c>
      <c r="C46" s="76">
        <f ca="1">-IF(ISERROR(SUMPRODUCT(AQ31:AQ430,AX31:AX430,AS31:AS430)),0,SUMPRODUCT(AQ31:AQ430,AX31:AX430,AS31:AS430))</f>
        <v>0</v>
      </c>
      <c r="D46" s="77">
        <f ca="1">IF(ISERROR(FBA),0,FBA/ApproxDuration*10000)</f>
        <v>0</v>
      </c>
      <c r="M46" s="20">
        <f t="shared" si="27"/>
        <v>16</v>
      </c>
      <c r="N46" s="21">
        <f t="shared" si="28"/>
        <v>0.28000000000000014</v>
      </c>
      <c r="O46" s="22">
        <f t="shared" ca="1" si="1"/>
        <v>111.76007212109376</v>
      </c>
      <c r="P46" s="23">
        <f t="shared" ca="1" si="2"/>
        <v>-1</v>
      </c>
      <c r="Q46" s="22" t="e">
        <f t="shared" ca="1" si="3"/>
        <v>#VALUE!</v>
      </c>
      <c r="R46" s="23">
        <f t="shared" ca="1" si="4"/>
        <v>-1</v>
      </c>
      <c r="S46" s="24" t="e">
        <f t="shared" ca="1" si="5"/>
        <v>#VALUE!</v>
      </c>
      <c r="T46" s="23">
        <f t="shared" ca="1" si="6"/>
        <v>-1</v>
      </c>
      <c r="U46" s="112">
        <f t="shared" si="17"/>
        <v>1.2847442229491714E-2</v>
      </c>
      <c r="V46" s="109">
        <f t="shared" si="18"/>
        <v>-1.2847442229491714E-2</v>
      </c>
      <c r="W46" s="112">
        <f t="shared" si="19"/>
        <v>1.2847442229491714E-2</v>
      </c>
      <c r="X46" s="113">
        <f t="shared" si="20"/>
        <v>-1.2847442229491714E-2</v>
      </c>
      <c r="Z46" s="20" t="s">
        <v>15</v>
      </c>
      <c r="AA46" s="97" t="e">
        <f ca="1">(1+(RegMaturity-2.5)*bFac)/(1-1.5*bFac)</f>
        <v>#NUM!</v>
      </c>
      <c r="AC46" s="32"/>
      <c r="AD46" s="32"/>
      <c r="AE46" s="32"/>
      <c r="AG46" s="26">
        <f t="shared" si="7"/>
        <v>0</v>
      </c>
      <c r="AH46" s="27">
        <f t="shared" si="8"/>
        <v>3.220376194913227E-2</v>
      </c>
      <c r="AI46" s="28">
        <f t="shared" si="21"/>
        <v>1.2847442229491714E-2</v>
      </c>
      <c r="AJ46" s="27">
        <f t="shared" si="9"/>
        <v>1.2847442229491714E-2</v>
      </c>
      <c r="AK46" s="28">
        <f t="shared" si="10"/>
        <v>4.8558767317863254E-3</v>
      </c>
      <c r="AL46" s="27">
        <f t="shared" si="11"/>
        <v>1.2847442229491714E-2</v>
      </c>
      <c r="AM46" s="28">
        <f t="shared" si="22"/>
        <v>1.2847442229491714E-2</v>
      </c>
      <c r="AN46" s="27">
        <f t="shared" si="23"/>
        <v>-1.2847442229491714E-2</v>
      </c>
      <c r="AO46" s="28">
        <f t="shared" si="12"/>
        <v>-1.2847442229491714E-2</v>
      </c>
      <c r="AP46" s="27">
        <f t="shared" si="13"/>
        <v>-4.8558767317863263E-3</v>
      </c>
      <c r="AQ46" s="29">
        <f t="shared" si="14"/>
        <v>-1.2847442229491714E-2</v>
      </c>
      <c r="AS46" s="30">
        <f t="shared" si="15"/>
        <v>0.99163518142309837</v>
      </c>
      <c r="AT46" s="21">
        <f t="shared" si="16"/>
        <v>6.0859389570091889</v>
      </c>
      <c r="AU46" s="31">
        <f t="shared" ca="1" si="29"/>
        <v>3.3812536420219086E-4</v>
      </c>
      <c r="AV46" s="109">
        <f t="shared" ca="1" si="24"/>
        <v>3.4101193485092107E-4</v>
      </c>
      <c r="AW46" s="27" t="e">
        <f t="shared" ca="1" si="25"/>
        <v>#VALUE!</v>
      </c>
      <c r="AX46" s="29" t="e">
        <f t="shared" ca="1" si="26"/>
        <v>#VALUE!</v>
      </c>
      <c r="AY46" s="72"/>
    </row>
    <row r="47" spans="2:51" s="11" customFormat="1" ht="15.6" customHeight="1" x14ac:dyDescent="0.3">
      <c r="B47" s="20" t="s">
        <v>80</v>
      </c>
      <c r="C47" s="76">
        <f ca="1">-IF(ISERROR(SUMPRODUCT(AX31:AX430,AS31:AS430)),0,SUMPRODUCT(AX31:AX430,AS31:AS430)*InitialMargin1/2)</f>
        <v>0</v>
      </c>
      <c r="D47" s="77">
        <f ca="1">IF(ISERROR(IMVA),0,IMVA/ApproxDuration*10000)</f>
        <v>0</v>
      </c>
      <c r="M47" s="20">
        <f t="shared" si="27"/>
        <v>17</v>
      </c>
      <c r="N47" s="21">
        <f t="shared" si="28"/>
        <v>0.29750000000000015</v>
      </c>
      <c r="O47" s="22">
        <f t="shared" ca="1" si="1"/>
        <v>112.07741159346659</v>
      </c>
      <c r="P47" s="23">
        <f t="shared" ca="1" si="2"/>
        <v>-1</v>
      </c>
      <c r="Q47" s="22" t="e">
        <f t="shared" ca="1" si="3"/>
        <v>#VALUE!</v>
      </c>
      <c r="R47" s="23">
        <f t="shared" ca="1" si="4"/>
        <v>-1</v>
      </c>
      <c r="S47" s="24" t="e">
        <f t="shared" ca="1" si="5"/>
        <v>#VALUE!</v>
      </c>
      <c r="T47" s="23">
        <f t="shared" ca="1" si="6"/>
        <v>-1</v>
      </c>
      <c r="U47" s="112">
        <f t="shared" si="17"/>
        <v>1.3211705119936792E-2</v>
      </c>
      <c r="V47" s="109">
        <f t="shared" si="18"/>
        <v>-1.3211705119936792E-2</v>
      </c>
      <c r="W47" s="112">
        <f t="shared" si="19"/>
        <v>1.3211705119936792E-2</v>
      </c>
      <c r="X47" s="113">
        <f t="shared" si="20"/>
        <v>-1.3211705119936792E-2</v>
      </c>
      <c r="Z47" s="20" t="s">
        <v>29</v>
      </c>
      <c r="AA47" s="91">
        <f>MAX((MAX(MtoM1,0)+IF(Maturity1&lt;1,0,IF(Maturity1&lt;=5,0.5%,1.5%))),0)-IF(ThresholdB&lt;&gt;"",MAX(0,(SwapRate1-InterestRate)*NormalDuration-ThresholdB),0)</f>
        <v>1.4999999999999999E-2</v>
      </c>
      <c r="AB47" s="48">
        <f>MAX(0,EAD_CEM-IF(OR(HedgeType="SINGLE-NAME (DELTA)",HedgeType="SINGLE-NAME (INDEX)"),CDSHedge,0))</f>
        <v>1.4999999999999999E-2</v>
      </c>
      <c r="AC47" s="32"/>
      <c r="AD47" s="32"/>
      <c r="AE47" s="32"/>
      <c r="AG47" s="26">
        <f t="shared" si="7"/>
        <v>0</v>
      </c>
      <c r="AH47" s="27">
        <f t="shared" si="8"/>
        <v>3.3116833609720717E-2</v>
      </c>
      <c r="AI47" s="28">
        <f t="shared" si="21"/>
        <v>1.3211705119936792E-2</v>
      </c>
      <c r="AJ47" s="27">
        <f t="shared" si="9"/>
        <v>1.3211705119936792E-2</v>
      </c>
      <c r="AK47" s="28">
        <f t="shared" si="10"/>
        <v>4.8444600906503918E-3</v>
      </c>
      <c r="AL47" s="27">
        <f t="shared" si="11"/>
        <v>1.3211705119936792E-2</v>
      </c>
      <c r="AM47" s="28">
        <f t="shared" si="22"/>
        <v>1.3211705119936792E-2</v>
      </c>
      <c r="AN47" s="27">
        <f t="shared" si="23"/>
        <v>-1.3211705119936792E-2</v>
      </c>
      <c r="AO47" s="28">
        <f t="shared" si="12"/>
        <v>-1.3211705119936792E-2</v>
      </c>
      <c r="AP47" s="27">
        <f t="shared" si="13"/>
        <v>-4.8444600906503927E-3</v>
      </c>
      <c r="AQ47" s="29">
        <f t="shared" si="14"/>
        <v>-1.3211705119936792E-2</v>
      </c>
      <c r="AS47" s="30">
        <f t="shared" si="15"/>
        <v>0.99111470958866232</v>
      </c>
      <c r="AT47" s="21">
        <f t="shared" si="16"/>
        <v>6.0716303192728658</v>
      </c>
      <c r="AU47" s="31">
        <f t="shared" ca="1" si="29"/>
        <v>3.3986606083502569E-4</v>
      </c>
      <c r="AV47" s="109">
        <f t="shared" ca="1" si="24"/>
        <v>3.427505644080231E-4</v>
      </c>
      <c r="AW47" s="27" t="e">
        <f t="shared" ca="1" si="25"/>
        <v>#VALUE!</v>
      </c>
      <c r="AX47" s="29" t="e">
        <f t="shared" ca="1" si="26"/>
        <v>#VALUE!</v>
      </c>
      <c r="AY47" s="72"/>
    </row>
    <row r="48" spans="2:51" s="11" customFormat="1" ht="15.6" customHeight="1" x14ac:dyDescent="0.3">
      <c r="B48" s="16" t="s">
        <v>48</v>
      </c>
      <c r="C48" s="78">
        <f ca="1">-IF(CapitalMethodology="CEM",IF(ISERROR(CVACapitalCEMHedged+DefCapCEM),0,CVACapitalCEMHedged+DefCapCEM),IF(CapitalMethodology="SA-CCR",IF(ISERROR(DefCapSACCR+CVACapitalSACCEHedged),0,DefCapSACCR+CVACapitalSACCEHedged),IF(ISERROR(DefCapIMM+CVACapitalIMMHedged),0,DefCapIMM+CVACapitalIMMHedged)))*0.5*Maturity1*TargetROC</f>
        <v>0</v>
      </c>
      <c r="D48" s="79">
        <f ca="1">IF(ISERROR(KVA),0,KVA/ApproxDuration*10000)</f>
        <v>0</v>
      </c>
      <c r="M48" s="20">
        <f t="shared" si="27"/>
        <v>18</v>
      </c>
      <c r="N48" s="21">
        <f t="shared" si="28"/>
        <v>0.31500000000000017</v>
      </c>
      <c r="O48" s="22">
        <f t="shared" ca="1" si="1"/>
        <v>112.39508059460931</v>
      </c>
      <c r="P48" s="23">
        <f t="shared" ca="1" si="2"/>
        <v>-1</v>
      </c>
      <c r="Q48" s="22" t="e">
        <f t="shared" ca="1" si="3"/>
        <v>#VALUE!</v>
      </c>
      <c r="R48" s="23">
        <f t="shared" ca="1" si="4"/>
        <v>-1</v>
      </c>
      <c r="S48" s="24" t="e">
        <f t="shared" ca="1" si="5"/>
        <v>#VALUE!</v>
      </c>
      <c r="T48" s="23">
        <f t="shared" ca="1" si="6"/>
        <v>-1</v>
      </c>
      <c r="U48" s="112">
        <f t="shared" si="17"/>
        <v>1.3562677718308788E-2</v>
      </c>
      <c r="V48" s="109">
        <f t="shared" si="18"/>
        <v>-1.3562677718308788E-2</v>
      </c>
      <c r="W48" s="112">
        <f t="shared" si="19"/>
        <v>1.3562677718308788E-2</v>
      </c>
      <c r="X48" s="113">
        <f t="shared" si="20"/>
        <v>-1.3562677718308788E-2</v>
      </c>
      <c r="Z48" s="98" t="s">
        <v>89</v>
      </c>
      <c r="AA48" s="99">
        <f>IF(ThresholdB&lt;&gt;"",1.5*SQRT(MPR/250),1)</f>
        <v>1</v>
      </c>
      <c r="AB48" s="48"/>
      <c r="AC48" s="32"/>
      <c r="AD48" s="32"/>
      <c r="AE48" s="32"/>
      <c r="AG48" s="26">
        <f t="shared" si="7"/>
        <v>0</v>
      </c>
      <c r="AH48" s="27">
        <f t="shared" si="8"/>
        <v>3.3996591448420668E-2</v>
      </c>
      <c r="AI48" s="28">
        <f t="shared" si="21"/>
        <v>1.3562677718308788E-2</v>
      </c>
      <c r="AJ48" s="27">
        <f t="shared" si="9"/>
        <v>1.3562677718308788E-2</v>
      </c>
      <c r="AK48" s="28">
        <f t="shared" si="10"/>
        <v>4.833037454204229E-3</v>
      </c>
      <c r="AL48" s="27">
        <f t="shared" si="11"/>
        <v>1.3562677718308788E-2</v>
      </c>
      <c r="AM48" s="28">
        <f t="shared" si="22"/>
        <v>1.3562677718308788E-2</v>
      </c>
      <c r="AN48" s="27">
        <f t="shared" si="23"/>
        <v>-1.3562677718308788E-2</v>
      </c>
      <c r="AO48" s="28">
        <f t="shared" si="12"/>
        <v>-1.3562677718308788E-2</v>
      </c>
      <c r="AP48" s="27">
        <f t="shared" si="13"/>
        <v>-4.833037454204229E-3</v>
      </c>
      <c r="AQ48" s="29">
        <f t="shared" si="14"/>
        <v>-1.3562677718308788E-2</v>
      </c>
      <c r="AS48" s="30">
        <f t="shared" si="15"/>
        <v>0.99059451093022444</v>
      </c>
      <c r="AT48" s="21">
        <f t="shared" si="16"/>
        <v>6.0573141675294746</v>
      </c>
      <c r="AU48" s="31">
        <f t="shared" ca="1" si="29"/>
        <v>3.4160740404676204E-4</v>
      </c>
      <c r="AV48" s="109">
        <f t="shared" ca="1" si="24"/>
        <v>3.4448982528856309E-4</v>
      </c>
      <c r="AW48" s="27" t="e">
        <f t="shared" ca="1" si="25"/>
        <v>#VALUE!</v>
      </c>
      <c r="AX48" s="29" t="e">
        <f t="shared" ca="1" si="26"/>
        <v>#VALUE!</v>
      </c>
      <c r="AY48" s="72"/>
    </row>
    <row r="49" spans="2:51" s="11" customFormat="1" ht="15.6" customHeight="1" thickBot="1" x14ac:dyDescent="0.35">
      <c r="B49" s="35" t="s">
        <v>71</v>
      </c>
      <c r="C49" s="81">
        <f ca="1">IF(H24="SUM",SUM(C43:C48)-FBA,MIN(UCVA+UDVA+FCA+FBA+IMVA,KVA))</f>
        <v>-2.1014641854032439E-3</v>
      </c>
      <c r="D49" s="82">
        <f ca="1">IF(H24="SUM",SUM(D43:D48)-D46,MIN(SUM(D43:D47)-D46,D48))</f>
        <v>-3.716565403156721</v>
      </c>
      <c r="M49" s="20">
        <f t="shared" si="27"/>
        <v>19</v>
      </c>
      <c r="N49" s="21">
        <f t="shared" si="28"/>
        <v>0.33250000000000018</v>
      </c>
      <c r="O49" s="22">
        <f t="shared" ca="1" si="1"/>
        <v>112.71307091562015</v>
      </c>
      <c r="P49" s="23">
        <f t="shared" ca="1" si="2"/>
        <v>-1</v>
      </c>
      <c r="Q49" s="22" t="e">
        <f t="shared" ca="1" si="3"/>
        <v>#VALUE!</v>
      </c>
      <c r="R49" s="23">
        <f t="shared" ca="1" si="4"/>
        <v>-1</v>
      </c>
      <c r="S49" s="24" t="e">
        <f t="shared" ca="1" si="5"/>
        <v>#VALUE!</v>
      </c>
      <c r="T49" s="23">
        <f t="shared" ca="1" si="6"/>
        <v>-1</v>
      </c>
      <c r="U49" s="112">
        <f t="shared" si="17"/>
        <v>1.3901376378896985E-2</v>
      </c>
      <c r="V49" s="109">
        <f t="shared" si="18"/>
        <v>-1.3901376378896985E-2</v>
      </c>
      <c r="W49" s="112">
        <f t="shared" si="19"/>
        <v>1.3901376378896985E-2</v>
      </c>
      <c r="X49" s="113">
        <f t="shared" si="20"/>
        <v>-1.3901376378896985E-2</v>
      </c>
      <c r="Z49" s="98" t="s">
        <v>85</v>
      </c>
      <c r="AA49" s="97">
        <f>MIN(1,5%+95%*EXP((MtoM1-InitialMargin2)/(2*95%*0.5%*Duration1*MPRfac)))</f>
        <v>1</v>
      </c>
      <c r="AB49" s="48"/>
      <c r="AC49" s="32"/>
      <c r="AD49" s="32"/>
      <c r="AE49" s="32"/>
      <c r="AG49" s="26">
        <f t="shared" si="7"/>
        <v>0</v>
      </c>
      <c r="AH49" s="27">
        <f t="shared" si="8"/>
        <v>3.4845583087630694E-2</v>
      </c>
      <c r="AI49" s="28">
        <f t="shared" si="21"/>
        <v>1.3901376378896985E-2</v>
      </c>
      <c r="AJ49" s="27">
        <f t="shared" si="9"/>
        <v>1.3901376378896985E-2</v>
      </c>
      <c r="AK49" s="28">
        <f t="shared" si="10"/>
        <v>4.8216088192994727E-3</v>
      </c>
      <c r="AL49" s="27">
        <f t="shared" si="11"/>
        <v>1.3901376378896985E-2</v>
      </c>
      <c r="AM49" s="28">
        <f t="shared" si="22"/>
        <v>1.3901376378896985E-2</v>
      </c>
      <c r="AN49" s="27">
        <f t="shared" si="23"/>
        <v>-1.3901376378896985E-2</v>
      </c>
      <c r="AO49" s="28">
        <f t="shared" si="12"/>
        <v>-1.3901376378896985E-2</v>
      </c>
      <c r="AP49" s="27">
        <f t="shared" si="13"/>
        <v>-4.8216088192994735E-3</v>
      </c>
      <c r="AQ49" s="29">
        <f t="shared" si="14"/>
        <v>-1.3901376378896985E-2</v>
      </c>
      <c r="AS49" s="30">
        <f t="shared" si="15"/>
        <v>0.99007458530440495</v>
      </c>
      <c r="AT49" s="21">
        <f t="shared" si="16"/>
        <v>6.0429904978331264</v>
      </c>
      <c r="AU49" s="31">
        <f t="shared" ca="1" si="29"/>
        <v>3.4334928610291193E-4</v>
      </c>
      <c r="AV49" s="109">
        <f t="shared" ca="1" si="24"/>
        <v>3.4622960975638772E-4</v>
      </c>
      <c r="AW49" s="27" t="e">
        <f t="shared" ca="1" si="25"/>
        <v>#VALUE!</v>
      </c>
      <c r="AX49" s="29" t="e">
        <f t="shared" ca="1" si="26"/>
        <v>#VALUE!</v>
      </c>
      <c r="AY49" s="72"/>
    </row>
    <row r="50" spans="2:51" s="11" customFormat="1" ht="15.6" customHeight="1" x14ac:dyDescent="0.3">
      <c r="M50" s="20">
        <f t="shared" si="27"/>
        <v>20</v>
      </c>
      <c r="N50" s="21">
        <f t="shared" si="28"/>
        <v>0.3500000000000002</v>
      </c>
      <c r="O50" s="22">
        <f t="shared" ca="1" si="1"/>
        <v>113.03137434759738</v>
      </c>
      <c r="P50" s="23">
        <f t="shared" ca="1" si="2"/>
        <v>-1</v>
      </c>
      <c r="Q50" s="22" t="e">
        <f t="shared" ca="1" si="3"/>
        <v>#VALUE!</v>
      </c>
      <c r="R50" s="23">
        <f t="shared" ca="1" si="4"/>
        <v>-1</v>
      </c>
      <c r="S50" s="24" t="e">
        <f t="shared" ca="1" si="5"/>
        <v>#VALUE!</v>
      </c>
      <c r="T50" s="23">
        <f t="shared" ca="1" si="6"/>
        <v>-1</v>
      </c>
      <c r="U50" s="112">
        <f t="shared" si="17"/>
        <v>1.4228687117984317E-2</v>
      </c>
      <c r="V50" s="109">
        <f t="shared" si="18"/>
        <v>-1.4228687117984317E-2</v>
      </c>
      <c r="W50" s="112">
        <f t="shared" si="19"/>
        <v>1.4228687117984317E-2</v>
      </c>
      <c r="X50" s="113">
        <f t="shared" si="20"/>
        <v>-1.4228687117984317E-2</v>
      </c>
      <c r="Z50" s="98" t="s">
        <v>84</v>
      </c>
      <c r="AA50" s="91">
        <f>Alpha*(MAX(MtoM1,0)+0.5%*Duration1)*AA49*MPRfac</f>
        <v>4.1343667439380116E-2</v>
      </c>
      <c r="AB50" s="48">
        <f>MAX(0,EAD_SACCR-IF(OR(HedgeType="SINGLE-NAME (DELTA)",HedgeType="SINGLE-NAME (INDEX)"),CDSHedge,0))</f>
        <v>4.1343667439380116E-2</v>
      </c>
      <c r="AC50" s="32"/>
      <c r="AD50" s="32"/>
      <c r="AE50" s="32"/>
      <c r="AG50" s="26">
        <f t="shared" si="7"/>
        <v>0</v>
      </c>
      <c r="AH50" s="27">
        <f t="shared" si="8"/>
        <v>3.5666029440817371E-2</v>
      </c>
      <c r="AI50" s="28">
        <f t="shared" si="21"/>
        <v>1.4228687117984317E-2</v>
      </c>
      <c r="AJ50" s="27">
        <f t="shared" si="9"/>
        <v>1.4228687117984317E-2</v>
      </c>
      <c r="AK50" s="28">
        <f t="shared" si="10"/>
        <v>4.8101741827861104E-3</v>
      </c>
      <c r="AL50" s="27">
        <f t="shared" si="11"/>
        <v>1.4228687117984317E-2</v>
      </c>
      <c r="AM50" s="28">
        <f t="shared" si="22"/>
        <v>1.4228687117984317E-2</v>
      </c>
      <c r="AN50" s="27">
        <f t="shared" si="23"/>
        <v>-1.4228687117984317E-2</v>
      </c>
      <c r="AO50" s="28">
        <f t="shared" si="12"/>
        <v>-1.4228687117984317E-2</v>
      </c>
      <c r="AP50" s="27">
        <f t="shared" si="13"/>
        <v>-4.8101741827861104E-3</v>
      </c>
      <c r="AQ50" s="29">
        <f t="shared" si="14"/>
        <v>-1.4228687117984317E-2</v>
      </c>
      <c r="AS50" s="30">
        <f t="shared" si="15"/>
        <v>0.98955493256789917</v>
      </c>
      <c r="AT50" s="21">
        <f t="shared" si="16"/>
        <v>6.0286593062358653</v>
      </c>
      <c r="AU50" s="31">
        <f t="shared" ca="1" si="29"/>
        <v>3.4509159940732115E-4</v>
      </c>
      <c r="AV50" s="109">
        <f t="shared" ca="1" si="24"/>
        <v>3.4796981021545381E-4</v>
      </c>
      <c r="AW50" s="27" t="e">
        <f t="shared" ca="1" si="25"/>
        <v>#VALUE!</v>
      </c>
      <c r="AX50" s="29" t="e">
        <f t="shared" ca="1" si="26"/>
        <v>#VALUE!</v>
      </c>
      <c r="AY50" s="72"/>
    </row>
    <row r="51" spans="2:51" s="11" customFormat="1" ht="15.6" customHeight="1" x14ac:dyDescent="0.3">
      <c r="C51" s="11" t="s">
        <v>77</v>
      </c>
      <c r="D51" s="11" t="s">
        <v>86</v>
      </c>
      <c r="E51" s="11" t="s">
        <v>44</v>
      </c>
      <c r="M51" s="20">
        <f t="shared" si="27"/>
        <v>21</v>
      </c>
      <c r="N51" s="21">
        <f t="shared" si="28"/>
        <v>0.36750000000000022</v>
      </c>
      <c r="O51" s="22">
        <f t="shared" ca="1" si="1"/>
        <v>113.34998268163925</v>
      </c>
      <c r="P51" s="23">
        <f t="shared" ca="1" si="2"/>
        <v>-1</v>
      </c>
      <c r="Q51" s="22" t="e">
        <f t="shared" ca="1" si="3"/>
        <v>#VALUE!</v>
      </c>
      <c r="R51" s="23">
        <f t="shared" ca="1" si="4"/>
        <v>-1</v>
      </c>
      <c r="S51" s="24" t="e">
        <f t="shared" ca="1" si="5"/>
        <v>#VALUE!</v>
      </c>
      <c r="T51" s="23">
        <f t="shared" ca="1" si="6"/>
        <v>-1</v>
      </c>
      <c r="U51" s="112">
        <f t="shared" si="17"/>
        <v>1.4545388035297924E-2</v>
      </c>
      <c r="V51" s="109">
        <f t="shared" si="18"/>
        <v>-1.4545388035297924E-2</v>
      </c>
      <c r="W51" s="112">
        <f t="shared" si="19"/>
        <v>1.4545388035297924E-2</v>
      </c>
      <c r="X51" s="113">
        <f t="shared" si="20"/>
        <v>-1.4545388035297924E-2</v>
      </c>
      <c r="Z51" s="20" t="s">
        <v>12</v>
      </c>
      <c r="AA51" s="91">
        <f>AVERAGEIF(N30:N430,"&lt;=1",AM30:AM430)*Alpha</f>
        <v>2.1587576307717998E-2</v>
      </c>
      <c r="AB51" s="48">
        <f>MAX(0,EAD_IMM-IF(OR(HedgeType="SINGLE-NAME (DELTA)",HedgeType="SINGLE-NAME (INDEX)"),CDSHedge,0))</f>
        <v>2.1587576307717998E-2</v>
      </c>
      <c r="AC51" s="32"/>
      <c r="AD51" s="32"/>
      <c r="AE51" s="32"/>
      <c r="AG51" s="26">
        <f t="shared" si="7"/>
        <v>0</v>
      </c>
      <c r="AH51" s="27">
        <f t="shared" si="8"/>
        <v>3.6459880914757228E-2</v>
      </c>
      <c r="AI51" s="28">
        <f t="shared" si="21"/>
        <v>1.4545388035297924E-2</v>
      </c>
      <c r="AJ51" s="27">
        <f t="shared" si="9"/>
        <v>1.4545388035297924E-2</v>
      </c>
      <c r="AK51" s="28">
        <f t="shared" si="10"/>
        <v>4.7987335415124663E-3</v>
      </c>
      <c r="AL51" s="27">
        <f t="shared" si="11"/>
        <v>1.4545388035297924E-2</v>
      </c>
      <c r="AM51" s="28">
        <f t="shared" si="22"/>
        <v>1.4545388035297924E-2</v>
      </c>
      <c r="AN51" s="27">
        <f t="shared" si="23"/>
        <v>-1.4545388035297924E-2</v>
      </c>
      <c r="AO51" s="28">
        <f t="shared" si="12"/>
        <v>-1.4545388035297924E-2</v>
      </c>
      <c r="AP51" s="27">
        <f t="shared" si="13"/>
        <v>-4.7987335415124663E-3</v>
      </c>
      <c r="AQ51" s="29">
        <f t="shared" si="14"/>
        <v>-1.4545388035297924E-2</v>
      </c>
      <c r="AS51" s="30">
        <f t="shared" si="15"/>
        <v>0.98903555257747811</v>
      </c>
      <c r="AT51" s="21">
        <f t="shared" si="16"/>
        <v>6.0143205887876512</v>
      </c>
      <c r="AU51" s="31">
        <f t="shared" ca="1" si="29"/>
        <v>3.4683423650461176E-4</v>
      </c>
      <c r="AV51" s="109">
        <f t="shared" ca="1" si="24"/>
        <v>3.4971031921215978E-4</v>
      </c>
      <c r="AW51" s="27" t="e">
        <f t="shared" ca="1" si="25"/>
        <v>#VALUE!</v>
      </c>
      <c r="AX51" s="29" t="e">
        <f t="shared" ca="1" si="26"/>
        <v>#VALUE!</v>
      </c>
      <c r="AY51" s="72"/>
    </row>
    <row r="52" spans="2:51" s="11" customFormat="1" ht="15.6" customHeight="1" x14ac:dyDescent="0.3">
      <c r="B52" s="11" t="s">
        <v>78</v>
      </c>
      <c r="C52" s="48">
        <f ca="1">IF(ISERROR(DefCapCEM),0,DefCapCEM)</f>
        <v>0</v>
      </c>
      <c r="D52" s="48">
        <f ca="1">IF(ISERROR(DefCapSACCR),0,DefCapSACCR)</f>
        <v>0</v>
      </c>
      <c r="E52" s="48">
        <f ca="1">IF(ISERROR(DefCapIMM),0,DefCapIMM)</f>
        <v>0</v>
      </c>
      <c r="M52" s="20">
        <f t="shared" si="27"/>
        <v>22</v>
      </c>
      <c r="N52" s="21">
        <f t="shared" si="28"/>
        <v>0.38500000000000023</v>
      </c>
      <c r="O52" s="22">
        <f t="shared" ca="1" si="1"/>
        <v>113.66888770884405</v>
      </c>
      <c r="P52" s="23">
        <f t="shared" ca="1" si="2"/>
        <v>-1</v>
      </c>
      <c r="Q52" s="22" t="e">
        <f t="shared" ca="1" si="3"/>
        <v>#VALUE!</v>
      </c>
      <c r="R52" s="23">
        <f t="shared" ca="1" si="4"/>
        <v>-1</v>
      </c>
      <c r="S52" s="24" t="e">
        <f t="shared" ca="1" si="5"/>
        <v>#VALUE!</v>
      </c>
      <c r="T52" s="23">
        <f t="shared" ca="1" si="6"/>
        <v>-1</v>
      </c>
      <c r="U52" s="112">
        <f t="shared" si="17"/>
        <v>1.4852166995871422E-2</v>
      </c>
      <c r="V52" s="109">
        <f t="shared" si="18"/>
        <v>-1.4852166995871422E-2</v>
      </c>
      <c r="W52" s="112">
        <f t="shared" si="19"/>
        <v>1.4852166995871422E-2</v>
      </c>
      <c r="X52" s="113">
        <f t="shared" si="20"/>
        <v>-1.4852166995871422E-2</v>
      </c>
      <c r="Z52" s="20" t="s">
        <v>17</v>
      </c>
      <c r="AA52" s="100" t="e">
        <f ca="1">(1-BaselIIRec)*PD99.9*MAFac*EAD_CEM_Hedged*IF(HedgeType="SINGLE-NAME (CAPITAL)", 0, 1)</f>
        <v>#NUM!</v>
      </c>
      <c r="AC52" s="32"/>
      <c r="AD52" s="32"/>
      <c r="AE52" s="32"/>
      <c r="AG52" s="26">
        <f t="shared" si="7"/>
        <v>0</v>
      </c>
      <c r="AH52" s="27">
        <f t="shared" si="8"/>
        <v>3.7228861731392671E-2</v>
      </c>
      <c r="AI52" s="28">
        <f t="shared" si="21"/>
        <v>1.4852166995871422E-2</v>
      </c>
      <c r="AJ52" s="27">
        <f t="shared" si="9"/>
        <v>1.4852166995871422E-2</v>
      </c>
      <c r="AK52" s="28">
        <f t="shared" si="10"/>
        <v>4.7872868923252146E-3</v>
      </c>
      <c r="AL52" s="27">
        <f t="shared" si="11"/>
        <v>1.4852166995871422E-2</v>
      </c>
      <c r="AM52" s="28">
        <f t="shared" si="22"/>
        <v>1.4852166995871422E-2</v>
      </c>
      <c r="AN52" s="27">
        <f t="shared" si="23"/>
        <v>-1.4852166995871422E-2</v>
      </c>
      <c r="AO52" s="28">
        <f t="shared" si="12"/>
        <v>-1.4852166995871422E-2</v>
      </c>
      <c r="AP52" s="27">
        <f t="shared" si="13"/>
        <v>-4.7872868923252146E-3</v>
      </c>
      <c r="AQ52" s="29">
        <f t="shared" si="14"/>
        <v>-1.4852166995871422E-2</v>
      </c>
      <c r="AS52" s="30">
        <f t="shared" si="15"/>
        <v>0.98851644518998738</v>
      </c>
      <c r="AT52" s="21">
        <f t="shared" si="16"/>
        <v>5.9999743415363778</v>
      </c>
      <c r="AU52" s="31">
        <f t="shared" ca="1" si="29"/>
        <v>3.4857709008351279E-4</v>
      </c>
      <c r="AV52" s="109">
        <f t="shared" ca="1" si="24"/>
        <v>3.5145102943801021E-4</v>
      </c>
      <c r="AW52" s="27" t="e">
        <f t="shared" ca="1" si="25"/>
        <v>#VALUE!</v>
      </c>
      <c r="AX52" s="29" t="e">
        <f t="shared" ca="1" si="26"/>
        <v>#VALUE!</v>
      </c>
      <c r="AY52" s="72"/>
    </row>
    <row r="53" spans="2:51" s="11" customFormat="1" ht="15.6" customHeight="1" x14ac:dyDescent="0.3">
      <c r="B53" s="11" t="s">
        <v>79</v>
      </c>
      <c r="C53" s="48">
        <f ca="1">IF(ISERROR(CVAcapitalCEM),0,CVAcapitalCEM)</f>
        <v>0</v>
      </c>
      <c r="D53" s="48">
        <f ca="1">IF(ISERROR(CVAcapitalSACCR),0,CVAcapitalSACCR)</f>
        <v>0</v>
      </c>
      <c r="E53" s="48">
        <f ca="1">IF(ISERROR(CVACapIMM),0,CVACapIMM)</f>
        <v>0</v>
      </c>
      <c r="M53" s="20">
        <f t="shared" si="27"/>
        <v>23</v>
      </c>
      <c r="N53" s="21">
        <f t="shared" si="28"/>
        <v>0.40250000000000025</v>
      </c>
      <c r="O53" s="22">
        <f t="shared" ca="1" si="1"/>
        <v>113.98808122031002</v>
      </c>
      <c r="P53" s="23">
        <f t="shared" ca="1" si="2"/>
        <v>-1</v>
      </c>
      <c r="Q53" s="22" t="e">
        <f t="shared" ca="1" si="3"/>
        <v>#VALUE!</v>
      </c>
      <c r="R53" s="23">
        <f t="shared" ca="1" si="4"/>
        <v>-1</v>
      </c>
      <c r="S53" s="24" t="e">
        <f t="shared" ca="1" si="5"/>
        <v>#VALUE!</v>
      </c>
      <c r="T53" s="23">
        <f t="shared" ca="1" si="6"/>
        <v>-1</v>
      </c>
      <c r="U53" s="112">
        <f t="shared" si="17"/>
        <v>1.5149635743486352E-2</v>
      </c>
      <c r="V53" s="109">
        <f t="shared" si="18"/>
        <v>-1.5149635743486352E-2</v>
      </c>
      <c r="W53" s="112">
        <f t="shared" si="19"/>
        <v>1.5149635743486352E-2</v>
      </c>
      <c r="X53" s="113">
        <f t="shared" si="20"/>
        <v>-1.5149635743486352E-2</v>
      </c>
      <c r="Z53" s="20" t="s">
        <v>87</v>
      </c>
      <c r="AA53" s="100" t="e">
        <f ca="1">(1-BaselIIRec)*PD99.9*MAFac*EAD_SACCR_Hedged*IF(HedgeType="SINGLE-NAME (CAPITAL)", 0, 1)</f>
        <v>#NUM!</v>
      </c>
      <c r="AC53" s="32"/>
      <c r="AD53" s="32"/>
      <c r="AE53" s="32"/>
      <c r="AG53" s="26">
        <f t="shared" si="7"/>
        <v>0</v>
      </c>
      <c r="AH53" s="27">
        <f t="shared" si="8"/>
        <v>3.7974505304983329E-2</v>
      </c>
      <c r="AI53" s="28">
        <f t="shared" si="21"/>
        <v>1.5149635743486352E-2</v>
      </c>
      <c r="AJ53" s="27">
        <f t="shared" si="9"/>
        <v>1.5149635743486352E-2</v>
      </c>
      <c r="AK53" s="28">
        <f t="shared" si="10"/>
        <v>4.7758342320693703E-3</v>
      </c>
      <c r="AL53" s="27">
        <f t="shared" si="11"/>
        <v>1.5149635743486352E-2</v>
      </c>
      <c r="AM53" s="28">
        <f t="shared" si="22"/>
        <v>1.5149635743486352E-2</v>
      </c>
      <c r="AN53" s="27">
        <f t="shared" si="23"/>
        <v>-1.5149635743486352E-2</v>
      </c>
      <c r="AO53" s="28">
        <f t="shared" si="12"/>
        <v>-1.5149635743486352E-2</v>
      </c>
      <c r="AP53" s="27">
        <f t="shared" si="13"/>
        <v>-4.7758342320693703E-3</v>
      </c>
      <c r="AQ53" s="29">
        <f t="shared" si="14"/>
        <v>-1.5149635743486352E-2</v>
      </c>
      <c r="AS53" s="30">
        <f t="shared" si="15"/>
        <v>0.98799761026234811</v>
      </c>
      <c r="AT53" s="21">
        <f t="shared" si="16"/>
        <v>5.985620560527857</v>
      </c>
      <c r="AU53" s="31">
        <f t="shared" ca="1" si="29"/>
        <v>3.5032005297863655E-4</v>
      </c>
      <c r="AV53" s="109">
        <f t="shared" ca="1" si="24"/>
        <v>3.5319183373294649E-4</v>
      </c>
      <c r="AW53" s="27" t="e">
        <f t="shared" ca="1" si="25"/>
        <v>#VALUE!</v>
      </c>
      <c r="AX53" s="29" t="e">
        <f t="shared" ca="1" si="26"/>
        <v>#VALUE!</v>
      </c>
      <c r="AY53" s="72"/>
    </row>
    <row r="54" spans="2:51" s="11" customFormat="1" ht="15.6" customHeight="1" thickBot="1" x14ac:dyDescent="0.35">
      <c r="B54" s="11" t="s">
        <v>97</v>
      </c>
      <c r="C54" s="96">
        <f ca="1">C53+C52</f>
        <v>0</v>
      </c>
      <c r="D54" s="96">
        <f ca="1">D53+D52</f>
        <v>0</v>
      </c>
      <c r="E54" s="96">
        <f ca="1">E53+E52</f>
        <v>0</v>
      </c>
      <c r="M54" s="20">
        <f t="shared" si="27"/>
        <v>24</v>
      </c>
      <c r="N54" s="21">
        <f t="shared" si="28"/>
        <v>0.42000000000000026</v>
      </c>
      <c r="O54" s="22">
        <f t="shared" ca="1" si="1"/>
        <v>114.30755500713542</v>
      </c>
      <c r="P54" s="23">
        <f t="shared" ca="1" si="2"/>
        <v>-1</v>
      </c>
      <c r="Q54" s="22" t="e">
        <f t="shared" ca="1" si="3"/>
        <v>#VALUE!</v>
      </c>
      <c r="R54" s="23">
        <f t="shared" ca="1" si="4"/>
        <v>-1</v>
      </c>
      <c r="S54" s="24" t="e">
        <f t="shared" ca="1" si="5"/>
        <v>#VALUE!</v>
      </c>
      <c r="T54" s="23">
        <f t="shared" ca="1" si="6"/>
        <v>-1</v>
      </c>
      <c r="U54" s="112">
        <f t="shared" si="17"/>
        <v>1.5438341289281069E-2</v>
      </c>
      <c r="V54" s="109">
        <f t="shared" si="18"/>
        <v>-1.5438341289281069E-2</v>
      </c>
      <c r="W54" s="112">
        <f t="shared" si="19"/>
        <v>1.5438341289281069E-2</v>
      </c>
      <c r="X54" s="113">
        <f t="shared" si="20"/>
        <v>-1.5438341289281069E-2</v>
      </c>
      <c r="Z54" s="35" t="s">
        <v>18</v>
      </c>
      <c r="AA54" s="101" t="e">
        <f ca="1">(1-BaselIIRec)*PD99.9*MAFac*EAD_IMM_Hedged*IF(HedgeType="SINGLE-NAME (CAPITAL)", 0, 1)</f>
        <v>#NUM!</v>
      </c>
      <c r="AC54" s="32"/>
      <c r="AD54" s="32"/>
      <c r="AE54" s="32"/>
      <c r="AG54" s="26">
        <f t="shared" si="7"/>
        <v>0</v>
      </c>
      <c r="AH54" s="27">
        <f t="shared" si="8"/>
        <v>3.8698182789115139E-2</v>
      </c>
      <c r="AI54" s="28">
        <f t="shared" si="21"/>
        <v>1.5438341289281069E-2</v>
      </c>
      <c r="AJ54" s="27">
        <f t="shared" si="9"/>
        <v>1.5438341289281069E-2</v>
      </c>
      <c r="AK54" s="28">
        <f t="shared" si="10"/>
        <v>4.7643755575882988E-3</v>
      </c>
      <c r="AL54" s="27">
        <f t="shared" si="11"/>
        <v>1.5438341289281069E-2</v>
      </c>
      <c r="AM54" s="28">
        <f t="shared" si="22"/>
        <v>1.5438341289281069E-2</v>
      </c>
      <c r="AN54" s="27">
        <f t="shared" si="23"/>
        <v>-1.5438341289281069E-2</v>
      </c>
      <c r="AO54" s="28">
        <f t="shared" si="12"/>
        <v>-1.5438341289281069E-2</v>
      </c>
      <c r="AP54" s="27">
        <f t="shared" si="13"/>
        <v>-4.7643755575882997E-3</v>
      </c>
      <c r="AQ54" s="29">
        <f t="shared" si="14"/>
        <v>-1.5438341289281069E-2</v>
      </c>
      <c r="AS54" s="30">
        <f t="shared" si="15"/>
        <v>0.98747904765155647</v>
      </c>
      <c r="AT54" s="21">
        <f t="shared" si="16"/>
        <v>5.9712592418058339</v>
      </c>
      <c r="AU54" s="31">
        <f t="shared" ca="1" si="29"/>
        <v>3.5206301817380936E-4</v>
      </c>
      <c r="AV54" s="109">
        <f t="shared" ca="1" si="24"/>
        <v>3.5493262508667911E-4</v>
      </c>
      <c r="AW54" s="27" t="e">
        <f t="shared" ca="1" si="25"/>
        <v>#VALUE!</v>
      </c>
      <c r="AX54" s="29" t="e">
        <f t="shared" ca="1" si="26"/>
        <v>#VALUE!</v>
      </c>
      <c r="AY54" s="72"/>
    </row>
    <row r="55" spans="2:51" s="11" customFormat="1" ht="15.6" customHeight="1" thickBot="1" x14ac:dyDescent="0.35">
      <c r="B55" s="11" t="s">
        <v>96</v>
      </c>
      <c r="C55" s="48">
        <f ca="1">IF(ISERROR(DefCapCEM+CVACapitalCEMHedged),0,DefCapCEM+CVACapitalCEMHedged)</f>
        <v>0</v>
      </c>
      <c r="D55" s="48">
        <f ca="1">IF(ISERROR(DefCapSACCR+CVACapitalSACCEHedged),0,DefCapSACCR+CVACapitalSACCEHedged)</f>
        <v>0</v>
      </c>
      <c r="E55" s="48">
        <f ca="1">IF(ISERROR(DefCapIMM+CVACapitalIMMHedged),0,DefCapIMM+CVACapitalIMMHedged)</f>
        <v>0</v>
      </c>
      <c r="M55" s="20">
        <f t="shared" si="27"/>
        <v>25</v>
      </c>
      <c r="N55" s="21">
        <f t="shared" si="28"/>
        <v>0.43750000000000028</v>
      </c>
      <c r="O55" s="22">
        <f t="shared" ca="1" si="1"/>
        <v>114.62730086041849</v>
      </c>
      <c r="P55" s="23">
        <f t="shared" ca="1" si="2"/>
        <v>-1</v>
      </c>
      <c r="Q55" s="22" t="e">
        <f t="shared" ca="1" si="3"/>
        <v>#VALUE!</v>
      </c>
      <c r="R55" s="23">
        <f t="shared" ca="1" si="4"/>
        <v>-1</v>
      </c>
      <c r="S55" s="24" t="e">
        <f t="shared" ca="1" si="5"/>
        <v>#VALUE!</v>
      </c>
      <c r="T55" s="23">
        <f t="shared" ca="1" si="6"/>
        <v>-1</v>
      </c>
      <c r="U55" s="112">
        <f t="shared" si="17"/>
        <v>1.5718775192952016E-2</v>
      </c>
      <c r="V55" s="109">
        <f t="shared" si="18"/>
        <v>-1.5718775192952016E-2</v>
      </c>
      <c r="W55" s="112">
        <f t="shared" si="19"/>
        <v>1.5718775192952016E-2</v>
      </c>
      <c r="X55" s="113">
        <f t="shared" si="20"/>
        <v>-1.5718775192952016E-2</v>
      </c>
      <c r="Z55" s="102" t="s">
        <v>30</v>
      </c>
      <c r="AA55" s="88"/>
      <c r="AC55" s="32"/>
      <c r="AD55" s="32"/>
      <c r="AE55" s="32"/>
      <c r="AG55" s="26">
        <f t="shared" si="7"/>
        <v>0</v>
      </c>
      <c r="AH55" s="27">
        <f t="shared" si="8"/>
        <v>3.9401126341221879E-2</v>
      </c>
      <c r="AI55" s="28">
        <f t="shared" si="21"/>
        <v>1.5718775192952016E-2</v>
      </c>
      <c r="AJ55" s="27">
        <f t="shared" si="9"/>
        <v>1.5718775192952016E-2</v>
      </c>
      <c r="AK55" s="28">
        <f t="shared" si="10"/>
        <v>4.7529108657236958E-3</v>
      </c>
      <c r="AL55" s="27">
        <f t="shared" si="11"/>
        <v>1.5718775192952016E-2</v>
      </c>
      <c r="AM55" s="28">
        <f t="shared" si="22"/>
        <v>1.5718775192952016E-2</v>
      </c>
      <c r="AN55" s="27">
        <f t="shared" si="23"/>
        <v>-1.5718775192952016E-2</v>
      </c>
      <c r="AO55" s="28">
        <f t="shared" si="12"/>
        <v>-1.5718775192952016E-2</v>
      </c>
      <c r="AP55" s="27">
        <f t="shared" si="13"/>
        <v>-4.7529108657236958E-3</v>
      </c>
      <c r="AQ55" s="29">
        <f t="shared" si="14"/>
        <v>-1.5718775192952016E-2</v>
      </c>
      <c r="AS55" s="30">
        <f t="shared" si="15"/>
        <v>0.98696075721468357</v>
      </c>
      <c r="AT55" s="21">
        <f t="shared" si="16"/>
        <v>5.9568903814119611</v>
      </c>
      <c r="AU55" s="31">
        <f t="shared" ca="1" si="29"/>
        <v>3.5380587880429193E-4</v>
      </c>
      <c r="AV55" s="109">
        <f t="shared" ca="1" si="24"/>
        <v>3.5667329664246239E-4</v>
      </c>
      <c r="AW55" s="27" t="e">
        <f t="shared" ca="1" si="25"/>
        <v>#VALUE!</v>
      </c>
      <c r="AX55" s="29" t="e">
        <f t="shared" ca="1" si="26"/>
        <v>#VALUE!</v>
      </c>
      <c r="AY55" s="72"/>
    </row>
    <row r="56" spans="2:51" s="11" customFormat="1" ht="15.6" customHeight="1" x14ac:dyDescent="0.3">
      <c r="M56" s="20">
        <f t="shared" si="27"/>
        <v>26</v>
      </c>
      <c r="N56" s="21">
        <f t="shared" si="28"/>
        <v>0.45500000000000029</v>
      </c>
      <c r="O56" s="22">
        <f t="shared" ca="1" si="1"/>
        <v>114.94731057125752</v>
      </c>
      <c r="P56" s="23">
        <f t="shared" ca="1" si="2"/>
        <v>-1</v>
      </c>
      <c r="Q56" s="22" t="e">
        <f t="shared" ca="1" si="3"/>
        <v>#VALUE!</v>
      </c>
      <c r="R56" s="23">
        <f t="shared" ca="1" si="4"/>
        <v>-1</v>
      </c>
      <c r="S56" s="24" t="e">
        <f t="shared" ca="1" si="5"/>
        <v>#VALUE!</v>
      </c>
      <c r="T56" s="23">
        <f t="shared" ca="1" si="6"/>
        <v>-1</v>
      </c>
      <c r="U56" s="112">
        <f t="shared" si="17"/>
        <v>1.5991381195037905E-2</v>
      </c>
      <c r="V56" s="109">
        <f t="shared" si="18"/>
        <v>-1.5991381195037905E-2</v>
      </c>
      <c r="W56" s="112">
        <f t="shared" si="19"/>
        <v>1.5991381195037905E-2</v>
      </c>
      <c r="X56" s="113">
        <f t="shared" si="20"/>
        <v>-1.5991381195037905E-2</v>
      </c>
      <c r="Z56" s="73" t="s">
        <v>16</v>
      </c>
      <c r="AA56" s="103">
        <f>VLOOKUP(Rating,$Z$29:$AA$35,2,FALSE)</f>
        <v>8.0000000000000002E-3</v>
      </c>
      <c r="AC56" s="32"/>
      <c r="AD56" s="32"/>
      <c r="AE56" s="32"/>
      <c r="AG56" s="26">
        <f t="shared" si="7"/>
        <v>0</v>
      </c>
      <c r="AH56" s="27">
        <f t="shared" si="8"/>
        <v>4.0084448253884492E-2</v>
      </c>
      <c r="AI56" s="28">
        <f t="shared" si="21"/>
        <v>1.5991381195037905E-2</v>
      </c>
      <c r="AJ56" s="27">
        <f t="shared" si="9"/>
        <v>1.5991381195037905E-2</v>
      </c>
      <c r="AK56" s="28">
        <f t="shared" si="10"/>
        <v>4.7414401533156124E-3</v>
      </c>
      <c r="AL56" s="27">
        <f t="shared" si="11"/>
        <v>1.5991381195037905E-2</v>
      </c>
      <c r="AM56" s="28">
        <f t="shared" si="22"/>
        <v>1.5991381195037905E-2</v>
      </c>
      <c r="AN56" s="27">
        <f t="shared" si="23"/>
        <v>-1.5991381195037905E-2</v>
      </c>
      <c r="AO56" s="28">
        <f t="shared" si="12"/>
        <v>-1.5991381195037905E-2</v>
      </c>
      <c r="AP56" s="27">
        <f t="shared" si="13"/>
        <v>-4.7414401533156124E-3</v>
      </c>
      <c r="AQ56" s="29">
        <f t="shared" si="14"/>
        <v>-1.5991381195037905E-2</v>
      </c>
      <c r="AS56" s="30">
        <f t="shared" si="15"/>
        <v>0.98644273880887556</v>
      </c>
      <c r="AT56" s="21">
        <f t="shared" si="16"/>
        <v>5.9425139753858289</v>
      </c>
      <c r="AU56" s="31">
        <f t="shared" ca="1" si="29"/>
        <v>3.5554852815944393E-4</v>
      </c>
      <c r="AV56" s="109">
        <f t="shared" ca="1" si="24"/>
        <v>3.5841374169898188E-4</v>
      </c>
      <c r="AW56" s="27" t="e">
        <f t="shared" ca="1" si="25"/>
        <v>#VALUE!</v>
      </c>
      <c r="AX56" s="29" t="e">
        <f t="shared" ca="1" si="26"/>
        <v>#VALUE!</v>
      </c>
      <c r="AY56" s="72"/>
    </row>
    <row r="57" spans="2:51" s="11" customFormat="1" ht="15.6" customHeight="1" x14ac:dyDescent="0.3">
      <c r="M57" s="20">
        <f t="shared" si="27"/>
        <v>27</v>
      </c>
      <c r="N57" s="21">
        <f t="shared" si="28"/>
        <v>0.47250000000000031</v>
      </c>
      <c r="O57" s="22">
        <f t="shared" ca="1" si="1"/>
        <v>115.26757593075077</v>
      </c>
      <c r="P57" s="23">
        <f t="shared" ca="1" si="2"/>
        <v>-1</v>
      </c>
      <c r="Q57" s="22" t="e">
        <f t="shared" ca="1" si="3"/>
        <v>#VALUE!</v>
      </c>
      <c r="R57" s="23">
        <f t="shared" ca="1" si="4"/>
        <v>-1</v>
      </c>
      <c r="S57" s="24" t="e">
        <f t="shared" ca="1" si="5"/>
        <v>#VALUE!</v>
      </c>
      <c r="T57" s="23">
        <f t="shared" ca="1" si="6"/>
        <v>-1</v>
      </c>
      <c r="U57" s="112">
        <f t="shared" si="17"/>
        <v>1.6256561545276594E-2</v>
      </c>
      <c r="V57" s="109">
        <f t="shared" si="18"/>
        <v>-1.6256561545276594E-2</v>
      </c>
      <c r="W57" s="112">
        <f t="shared" si="19"/>
        <v>1.6256561545276594E-2</v>
      </c>
      <c r="X57" s="113">
        <f t="shared" si="20"/>
        <v>-1.6256561545276594E-2</v>
      </c>
      <c r="Z57" s="20" t="s">
        <v>7</v>
      </c>
      <c r="AA57" s="97">
        <f>(1-EXP(-5%*RegMaturity))/(RegMaturity*5%)</f>
        <v>0.88479686771438049</v>
      </c>
      <c r="AC57" s="32"/>
      <c r="AD57" s="32"/>
      <c r="AE57" s="32"/>
      <c r="AG57" s="26">
        <f t="shared" si="7"/>
        <v>0</v>
      </c>
      <c r="AH57" s="27">
        <f t="shared" si="8"/>
        <v>4.0749156817669337E-2</v>
      </c>
      <c r="AI57" s="28">
        <f t="shared" si="21"/>
        <v>1.6256561545276594E-2</v>
      </c>
      <c r="AJ57" s="27">
        <f t="shared" si="9"/>
        <v>1.6256561545276594E-2</v>
      </c>
      <c r="AK57" s="28">
        <f t="shared" si="10"/>
        <v>4.7299634172024273E-3</v>
      </c>
      <c r="AL57" s="27">
        <f t="shared" si="11"/>
        <v>1.6256561545276594E-2</v>
      </c>
      <c r="AM57" s="28">
        <f t="shared" si="22"/>
        <v>1.6256561545276594E-2</v>
      </c>
      <c r="AN57" s="27">
        <f t="shared" si="23"/>
        <v>-1.6256561545276594E-2</v>
      </c>
      <c r="AO57" s="28">
        <f t="shared" si="12"/>
        <v>-1.6256561545276594E-2</v>
      </c>
      <c r="AP57" s="27">
        <f t="shared" si="13"/>
        <v>-4.7299634172024282E-3</v>
      </c>
      <c r="AQ57" s="29">
        <f t="shared" si="14"/>
        <v>-1.6256561545276594E-2</v>
      </c>
      <c r="AS57" s="30">
        <f t="shared" si="15"/>
        <v>0.98592499229135377</v>
      </c>
      <c r="AT57" s="21">
        <f t="shared" si="16"/>
        <v>5.9281300197649358</v>
      </c>
      <c r="AU57" s="31">
        <f t="shared" ca="1" si="29"/>
        <v>3.5729085968549956E-4</v>
      </c>
      <c r="AV57" s="109">
        <f t="shared" ca="1" si="24"/>
        <v>3.6015385371368502E-4</v>
      </c>
      <c r="AW57" s="27" t="e">
        <f t="shared" ca="1" si="25"/>
        <v>#VALUE!</v>
      </c>
      <c r="AX57" s="29" t="e">
        <f t="shared" ca="1" si="26"/>
        <v>#VALUE!</v>
      </c>
      <c r="AY57" s="72"/>
    </row>
    <row r="58" spans="2:51" s="11" customFormat="1" ht="15.6" customHeight="1" x14ac:dyDescent="0.3">
      <c r="C58" s="86"/>
      <c r="M58" s="20">
        <f t="shared" si="27"/>
        <v>28</v>
      </c>
      <c r="N58" s="21">
        <f t="shared" si="28"/>
        <v>0.49000000000000032</v>
      </c>
      <c r="O58" s="22">
        <f t="shared" ca="1" si="1"/>
        <v>115.58808872999646</v>
      </c>
      <c r="P58" s="23">
        <f t="shared" ca="1" si="2"/>
        <v>-1</v>
      </c>
      <c r="Q58" s="22" t="e">
        <f t="shared" ca="1" si="3"/>
        <v>#VALUE!</v>
      </c>
      <c r="R58" s="23">
        <f t="shared" ca="1" si="4"/>
        <v>-1</v>
      </c>
      <c r="S58" s="24" t="e">
        <f t="shared" ca="1" si="5"/>
        <v>#VALUE!</v>
      </c>
      <c r="T58" s="23">
        <f t="shared" ca="1" si="6"/>
        <v>-1</v>
      </c>
      <c r="U58" s="112">
        <f t="shared" si="17"/>
        <v>1.6514682289773059E-2</v>
      </c>
      <c r="V58" s="109">
        <f t="shared" si="18"/>
        <v>-1.6514682289773059E-2</v>
      </c>
      <c r="W58" s="112">
        <f t="shared" si="19"/>
        <v>1.6514682289773059E-2</v>
      </c>
      <c r="X58" s="113">
        <f t="shared" si="20"/>
        <v>-1.6514682289773059E-2</v>
      </c>
      <c r="Z58" s="20" t="s">
        <v>20</v>
      </c>
      <c r="AA58" s="100">
        <f>EAD_CEM*DF_CEM</f>
        <v>1.3271953015715706E-2</v>
      </c>
      <c r="AC58" s="32"/>
      <c r="AD58" s="32"/>
      <c r="AE58" s="32"/>
      <c r="AG58" s="26">
        <f t="shared" si="7"/>
        <v>0</v>
      </c>
      <c r="AH58" s="27">
        <f t="shared" si="8"/>
        <v>4.1396169574092978E-2</v>
      </c>
      <c r="AI58" s="28">
        <f t="shared" si="21"/>
        <v>1.6514682289773059E-2</v>
      </c>
      <c r="AJ58" s="27">
        <f t="shared" si="9"/>
        <v>1.6514682289773059E-2</v>
      </c>
      <c r="AK58" s="28">
        <f t="shared" si="10"/>
        <v>4.7184806542208725E-3</v>
      </c>
      <c r="AL58" s="27">
        <f t="shared" si="11"/>
        <v>1.6514682289773059E-2</v>
      </c>
      <c r="AM58" s="28">
        <f t="shared" si="22"/>
        <v>1.6514682289773059E-2</v>
      </c>
      <c r="AN58" s="27">
        <f t="shared" si="23"/>
        <v>-1.6514682289773059E-2</v>
      </c>
      <c r="AO58" s="28">
        <f t="shared" si="12"/>
        <v>-1.6514682289773059E-2</v>
      </c>
      <c r="AP58" s="27">
        <f t="shared" si="13"/>
        <v>-4.7184806542208734E-3</v>
      </c>
      <c r="AQ58" s="29">
        <f t="shared" si="14"/>
        <v>-1.6514682289773059E-2</v>
      </c>
      <c r="AS58" s="30">
        <f t="shared" si="15"/>
        <v>0.98540751751941413</v>
      </c>
      <c r="AT58" s="21">
        <f t="shared" si="16"/>
        <v>5.91373851058471</v>
      </c>
      <c r="AU58" s="31">
        <f t="shared" ca="1" si="29"/>
        <v>3.5903276698823205E-4</v>
      </c>
      <c r="AV58" s="109">
        <f t="shared" ca="1" si="24"/>
        <v>3.6189352630433547E-4</v>
      </c>
      <c r="AW58" s="27" t="e">
        <f t="shared" ca="1" si="25"/>
        <v>#VALUE!</v>
      </c>
      <c r="AX58" s="29" t="e">
        <f t="shared" ca="1" si="26"/>
        <v>#VALUE!</v>
      </c>
      <c r="AY58" s="72"/>
    </row>
    <row r="59" spans="2:51" s="11" customFormat="1" ht="15.6" customHeight="1" x14ac:dyDescent="0.3">
      <c r="C59" s="86"/>
      <c r="M59" s="20">
        <f t="shared" si="27"/>
        <v>29</v>
      </c>
      <c r="N59" s="21">
        <f t="shared" si="28"/>
        <v>0.50750000000000028</v>
      </c>
      <c r="O59" s="22">
        <f t="shared" ca="1" si="1"/>
        <v>115.9088407600929</v>
      </c>
      <c r="P59" s="23">
        <f t="shared" ca="1" si="2"/>
        <v>-1</v>
      </c>
      <c r="Q59" s="22" t="e">
        <f t="shared" ca="1" si="3"/>
        <v>#VALUE!</v>
      </c>
      <c r="R59" s="23">
        <f t="shared" ca="1" si="4"/>
        <v>-1</v>
      </c>
      <c r="S59" s="24" t="e">
        <f t="shared" ca="1" si="5"/>
        <v>#VALUE!</v>
      </c>
      <c r="T59" s="23">
        <f t="shared" ca="1" si="6"/>
        <v>-1</v>
      </c>
      <c r="U59" s="112">
        <f t="shared" si="17"/>
        <v>1.6766077719304794E-2</v>
      </c>
      <c r="V59" s="109">
        <f t="shared" si="18"/>
        <v>-1.6766077719304794E-2</v>
      </c>
      <c r="W59" s="112">
        <f t="shared" si="19"/>
        <v>1.6766077719304794E-2</v>
      </c>
      <c r="X59" s="113">
        <f t="shared" si="20"/>
        <v>-1.6766077719304794E-2</v>
      </c>
      <c r="Z59" s="20" t="s">
        <v>33</v>
      </c>
      <c r="AA59" s="100" t="e">
        <f ca="1">NORMSINV(99%)*WiFac*SQRT((0.5*PortfolioSize*EAD_CEM*DF_CEM*Maturity1)^2+0.75*PortfolioSize*(EAD_CEM*DF_CEM*Maturity1)^2)/PortfolioSize</f>
        <v>#DIV/0!</v>
      </c>
      <c r="AB59" s="47" t="e">
        <f ca="1">NORMSINV(99%)*WiFac*SQRT((IF(OR(HedgeType="INDEX (CAPITAL)",HedgeType="SINGLE-NAME (CAPITAL)"), 0, 1)*0.5*PortfolioSize*(EAD_CEM*DF_CEM*Maturity1-CDSHedge*ApproxDuration))^2+IF(HedgeType="SINGLE-NAME (CAPITAL)", 0, 1)*0.75*PortfolioSize*(EAD_CEM*DF_CEM*Maturity1-IF(HedgeType="SINGLE-NAME (DELTA)",CDSHedge*ApproxDuration,0))^2)/PortfolioSize</f>
        <v>#DIV/0!</v>
      </c>
      <c r="AC59" s="32"/>
      <c r="AD59" s="32"/>
      <c r="AE59" s="32"/>
      <c r="AG59" s="26">
        <f t="shared" si="7"/>
        <v>0</v>
      </c>
      <c r="AH59" s="27">
        <f t="shared" si="8"/>
        <v>4.2026324465870228E-2</v>
      </c>
      <c r="AI59" s="28">
        <f t="shared" si="21"/>
        <v>1.6766077719304794E-2</v>
      </c>
      <c r="AJ59" s="27">
        <f t="shared" si="9"/>
        <v>1.6766077719304794E-2</v>
      </c>
      <c r="AK59" s="28">
        <f t="shared" si="10"/>
        <v>4.7069918612060056E-3</v>
      </c>
      <c r="AL59" s="27">
        <f t="shared" si="11"/>
        <v>1.6766077719304794E-2</v>
      </c>
      <c r="AM59" s="28">
        <f t="shared" si="22"/>
        <v>1.6766077719304794E-2</v>
      </c>
      <c r="AN59" s="27">
        <f t="shared" si="23"/>
        <v>-1.6766077719304794E-2</v>
      </c>
      <c r="AO59" s="28">
        <f t="shared" si="12"/>
        <v>-1.6766077719304794E-2</v>
      </c>
      <c r="AP59" s="27">
        <f t="shared" si="13"/>
        <v>-4.7069918612060065E-3</v>
      </c>
      <c r="AQ59" s="29">
        <f t="shared" si="14"/>
        <v>-1.6766077719304794E-2</v>
      </c>
      <c r="AS59" s="30">
        <f t="shared" si="15"/>
        <v>0.98489031435042784</v>
      </c>
      <c r="AT59" s="21">
        <f t="shared" si="16"/>
        <v>5.8993394438784854</v>
      </c>
      <c r="AU59" s="31">
        <f t="shared" ca="1" si="29"/>
        <v>3.607741438349521E-4</v>
      </c>
      <c r="AV59" s="109">
        <f t="shared" ca="1" si="24"/>
        <v>3.6363265325278782E-4</v>
      </c>
      <c r="AW59" s="27" t="e">
        <f t="shared" ca="1" si="25"/>
        <v>#VALUE!</v>
      </c>
      <c r="AX59" s="29" t="e">
        <f t="shared" ca="1" si="26"/>
        <v>#VALUE!</v>
      </c>
      <c r="AY59" s="72"/>
    </row>
    <row r="60" spans="2:51" s="11" customFormat="1" ht="15.6" customHeight="1" x14ac:dyDescent="0.3">
      <c r="M60" s="20">
        <f t="shared" si="27"/>
        <v>30</v>
      </c>
      <c r="N60" s="21">
        <f t="shared" si="28"/>
        <v>0.52500000000000024</v>
      </c>
      <c r="O60" s="22">
        <f t="shared" ca="1" si="1"/>
        <v>116.22982381213832</v>
      </c>
      <c r="P60" s="23">
        <f t="shared" ca="1" si="2"/>
        <v>-1</v>
      </c>
      <c r="Q60" s="22" t="e">
        <f t="shared" ca="1" si="3"/>
        <v>#VALUE!</v>
      </c>
      <c r="R60" s="23">
        <f t="shared" ca="1" si="4"/>
        <v>-1</v>
      </c>
      <c r="S60" s="24" t="e">
        <f t="shared" ca="1" si="5"/>
        <v>#VALUE!</v>
      </c>
      <c r="T60" s="23">
        <f t="shared" ca="1" si="6"/>
        <v>-1</v>
      </c>
      <c r="U60" s="112">
        <f t="shared" si="17"/>
        <v>1.7011054136168338E-2</v>
      </c>
      <c r="V60" s="109">
        <f t="shared" si="18"/>
        <v>-1.7011054136168338E-2</v>
      </c>
      <c r="W60" s="112">
        <f t="shared" si="19"/>
        <v>1.7011054136168338E-2</v>
      </c>
      <c r="X60" s="113">
        <f t="shared" si="20"/>
        <v>-1.7011054136168338E-2</v>
      </c>
      <c r="Z60" s="20" t="s">
        <v>88</v>
      </c>
      <c r="AA60" s="100" t="e">
        <f ca="1">NORMSINV(99%)*WiFac*SQRT((0.5*PortfolioSize*EAD_SACCR*DF_CEM*Maturity1)^2+0.75*PortfolioSize*(EAD_SACCR*DF_CEM*Maturity1)^2)/PortfolioSize</f>
        <v>#DIV/0!</v>
      </c>
      <c r="AB60" s="47" t="e">
        <f ca="1">NORMSINV(99%)*WiFac*SQRT((IF(OR(HedgeType="INDEX (CAPITAL)",HedgeType="SINGLE-NAME (CAPITAL)"), 0, 1)*0.5*PortfolioSize*(EAD_SACCR*DF_CEM*Maturity1-CDSHedge*ApproxDuration))^2+IF(HedgeType="SINGLE-NAME (CAPITAL)", 0, 1)*0.75*PortfolioSize*(EAD_SACCR*DF_CEM*Maturity1-IF(HedgeType="SINGLE-NAME (DELTA)",CDSHedge*ApproxDuration,0))^2)/PortfolioSize</f>
        <v>#DIV/0!</v>
      </c>
      <c r="AC60" s="32"/>
      <c r="AD60" s="32"/>
      <c r="AE60" s="32"/>
      <c r="AG60" s="26">
        <f t="shared" si="7"/>
        <v>0</v>
      </c>
      <c r="AH60" s="27">
        <f t="shared" si="8"/>
        <v>4.2640389278998186E-2</v>
      </c>
      <c r="AI60" s="28">
        <f t="shared" si="21"/>
        <v>1.7011054136168338E-2</v>
      </c>
      <c r="AJ60" s="27">
        <f t="shared" si="9"/>
        <v>1.7011054136168338E-2</v>
      </c>
      <c r="AK60" s="28">
        <f t="shared" si="10"/>
        <v>4.6954970349912285E-3</v>
      </c>
      <c r="AL60" s="27">
        <f t="shared" si="11"/>
        <v>1.7011054136168338E-2</v>
      </c>
      <c r="AM60" s="28">
        <f t="shared" si="22"/>
        <v>1.7011054136168338E-2</v>
      </c>
      <c r="AN60" s="27">
        <f t="shared" si="23"/>
        <v>-1.7011054136168338E-2</v>
      </c>
      <c r="AO60" s="28">
        <f t="shared" si="12"/>
        <v>-1.7011054136168338E-2</v>
      </c>
      <c r="AP60" s="27">
        <f t="shared" si="13"/>
        <v>-4.6954970349912285E-3</v>
      </c>
      <c r="AQ60" s="29">
        <f t="shared" si="14"/>
        <v>-1.7011054136168338E-2</v>
      </c>
      <c r="AS60" s="30">
        <f t="shared" si="15"/>
        <v>0.98437338264184071</v>
      </c>
      <c r="AT60" s="21">
        <f t="shared" si="16"/>
        <v>5.8849328156775202</v>
      </c>
      <c r="AU60" s="31">
        <f t="shared" ca="1" si="29"/>
        <v>3.6251488415817157E-4</v>
      </c>
      <c r="AV60" s="109">
        <f t="shared" ca="1" si="24"/>
        <v>3.6537112850687503E-4</v>
      </c>
      <c r="AW60" s="27" t="e">
        <f t="shared" ca="1" si="25"/>
        <v>#VALUE!</v>
      </c>
      <c r="AX60" s="29" t="e">
        <f t="shared" ca="1" si="26"/>
        <v>#VALUE!</v>
      </c>
      <c r="AY60" s="72"/>
    </row>
    <row r="61" spans="2:51" s="11" customFormat="1" ht="15.6" customHeight="1" thickBot="1" x14ac:dyDescent="0.35">
      <c r="M61" s="20">
        <f t="shared" si="27"/>
        <v>31</v>
      </c>
      <c r="N61" s="21">
        <f t="shared" si="28"/>
        <v>0.5425000000000002</v>
      </c>
      <c r="O61" s="22">
        <f t="shared" ca="1" si="1"/>
        <v>116.55102967723097</v>
      </c>
      <c r="P61" s="23">
        <f t="shared" ca="1" si="2"/>
        <v>-1</v>
      </c>
      <c r="Q61" s="22" t="e">
        <f t="shared" ca="1" si="3"/>
        <v>#VALUE!</v>
      </c>
      <c r="R61" s="23">
        <f t="shared" ca="1" si="4"/>
        <v>-1</v>
      </c>
      <c r="S61" s="24" t="e">
        <f t="shared" ca="1" si="5"/>
        <v>#VALUE!</v>
      </c>
      <c r="T61" s="23">
        <f t="shared" ca="1" si="6"/>
        <v>-1</v>
      </c>
      <c r="U61" s="112">
        <f t="shared" si="17"/>
        <v>1.7249893063183738E-2</v>
      </c>
      <c r="V61" s="109">
        <f t="shared" si="18"/>
        <v>-1.7249893063183738E-2</v>
      </c>
      <c r="W61" s="112">
        <f t="shared" si="19"/>
        <v>1.7249893063183738E-2</v>
      </c>
      <c r="X61" s="113">
        <f t="shared" si="20"/>
        <v>-1.7249893063183738E-2</v>
      </c>
      <c r="Z61" s="35" t="s">
        <v>34</v>
      </c>
      <c r="AA61" s="101" t="e">
        <f ca="1">NORMSINV(99%)*WiFac*SQRT((0.5*PortfolioSize*(EAD_IMM*Maturity1*DF_CEM))^2+0.75*PortfolioSize*(EAD_IMM*Maturity1)^2)/PortfolioSize*StressMultiplier*3*SQRT(10/250)</f>
        <v>#DIV/0!</v>
      </c>
      <c r="AB61" s="47" t="e">
        <f ca="1">NORMSINV(99%)*WiFac*SQRT((IF(OR(HedgeType="INDEX (CAPITAL)",HedgeType="SINGLE-NAME (CAPITAL)"), 0, 1)*0.5*PortfolioSize*(EAD_IMM*Maturity1*DF_CEM-CDSHedge*ApproxDuration))^2+IF(HedgeType="SINGLE-NAME (CAPITAL)", 0, 1)*0.75*PortfolioSize*(EAD_IMM*Maturity1-IF(HedgeType="SINGLE-NAME (DELTA)",CDSHedge*ApproxDuration,0))^2)/PortfolioSize*StressMultiplier*3*SQRT(10/250)</f>
        <v>#DIV/0!</v>
      </c>
      <c r="AC61" s="32"/>
      <c r="AD61" s="32"/>
      <c r="AE61" s="32"/>
      <c r="AG61" s="26">
        <f t="shared" si="7"/>
        <v>0</v>
      </c>
      <c r="AH61" s="27">
        <f t="shared" si="8"/>
        <v>4.3239069686537512E-2</v>
      </c>
      <c r="AI61" s="28">
        <f t="shared" si="21"/>
        <v>1.7249893063183738E-2</v>
      </c>
      <c r="AJ61" s="27">
        <f t="shared" si="9"/>
        <v>1.7249893063183738E-2</v>
      </c>
      <c r="AK61" s="28">
        <f t="shared" si="10"/>
        <v>4.6839961724082814E-3</v>
      </c>
      <c r="AL61" s="27">
        <f t="shared" si="11"/>
        <v>1.7249893063183738E-2</v>
      </c>
      <c r="AM61" s="28">
        <f t="shared" si="22"/>
        <v>1.7249893063183738E-2</v>
      </c>
      <c r="AN61" s="27">
        <f t="shared" si="23"/>
        <v>-1.7249893063183738E-2</v>
      </c>
      <c r="AO61" s="28">
        <f t="shared" si="12"/>
        <v>-1.7249893063183738E-2</v>
      </c>
      <c r="AP61" s="27">
        <f t="shared" si="13"/>
        <v>-4.6839961724082814E-3</v>
      </c>
      <c r="AQ61" s="29">
        <f t="shared" si="14"/>
        <v>-1.7249893063183738E-2</v>
      </c>
      <c r="AS61" s="30">
        <f t="shared" si="15"/>
        <v>0.98385672225117327</v>
      </c>
      <c r="AT61" s="21">
        <f t="shared" si="16"/>
        <v>5.87051862201099</v>
      </c>
      <c r="AU61" s="31">
        <f t="shared" ca="1" si="29"/>
        <v>3.6425488205737988E-4</v>
      </c>
      <c r="AV61" s="109">
        <f t="shared" ca="1" si="24"/>
        <v>3.6710884618307293E-4</v>
      </c>
      <c r="AW61" s="27" t="e">
        <f t="shared" ca="1" si="25"/>
        <v>#VALUE!</v>
      </c>
      <c r="AX61" s="29" t="e">
        <f t="shared" ca="1" si="26"/>
        <v>#VALUE!</v>
      </c>
      <c r="AY61" s="72"/>
    </row>
    <row r="62" spans="2:51" s="11" customFormat="1" ht="15.6" customHeight="1" x14ac:dyDescent="0.3">
      <c r="M62" s="20">
        <f t="shared" si="27"/>
        <v>32</v>
      </c>
      <c r="N62" s="21">
        <f t="shared" si="28"/>
        <v>0.56000000000000016</v>
      </c>
      <c r="O62" s="22">
        <f t="shared" ca="1" si="1"/>
        <v>116.87245014646913</v>
      </c>
      <c r="P62" s="23">
        <f t="shared" ca="1" si="2"/>
        <v>-1</v>
      </c>
      <c r="Q62" s="22" t="e">
        <f t="shared" ca="1" si="3"/>
        <v>#VALUE!</v>
      </c>
      <c r="R62" s="23">
        <f t="shared" ca="1" si="4"/>
        <v>-1</v>
      </c>
      <c r="S62" s="24" t="e">
        <f t="shared" ca="1" si="5"/>
        <v>#VALUE!</v>
      </c>
      <c r="T62" s="23">
        <f t="shared" ca="1" si="6"/>
        <v>-1</v>
      </c>
      <c r="U62" s="112">
        <f t="shared" si="17"/>
        <v>1.7482853992792226E-2</v>
      </c>
      <c r="V62" s="109">
        <f t="shared" si="18"/>
        <v>-1.7482853992792226E-2</v>
      </c>
      <c r="W62" s="112">
        <f t="shared" si="19"/>
        <v>1.7482853992792226E-2</v>
      </c>
      <c r="X62" s="113">
        <f t="shared" si="20"/>
        <v>-1.7482853992792226E-2</v>
      </c>
      <c r="AC62" s="32"/>
      <c r="AD62" s="32"/>
      <c r="AE62" s="32"/>
      <c r="AG62" s="26">
        <f t="shared" si="7"/>
        <v>0</v>
      </c>
      <c r="AH62" s="27">
        <f t="shared" si="8"/>
        <v>4.3823016139578473E-2</v>
      </c>
      <c r="AI62" s="28">
        <f t="shared" si="21"/>
        <v>1.7482853992792226E-2</v>
      </c>
      <c r="AJ62" s="27">
        <f t="shared" si="9"/>
        <v>1.7482853992792226E-2</v>
      </c>
      <c r="AK62" s="28">
        <f t="shared" si="10"/>
        <v>4.6724892702872372E-3</v>
      </c>
      <c r="AL62" s="27">
        <f t="shared" si="11"/>
        <v>1.7482853992792226E-2</v>
      </c>
      <c r="AM62" s="28">
        <f t="shared" si="22"/>
        <v>1.7482853992792226E-2</v>
      </c>
      <c r="AN62" s="27">
        <f t="shared" si="23"/>
        <v>-1.7482853992792226E-2</v>
      </c>
      <c r="AO62" s="28">
        <f t="shared" si="12"/>
        <v>-1.7482853992792226E-2</v>
      </c>
      <c r="AP62" s="27">
        <f t="shared" si="13"/>
        <v>-4.6724892702872372E-3</v>
      </c>
      <c r="AQ62" s="29">
        <f t="shared" si="14"/>
        <v>-1.7482853992792226E-2</v>
      </c>
      <c r="AS62" s="30">
        <f t="shared" si="15"/>
        <v>0.9833403330360212</v>
      </c>
      <c r="AT62" s="21">
        <f t="shared" si="16"/>
        <v>5.8560968589059792</v>
      </c>
      <c r="AU62" s="31">
        <f t="shared" ca="1" si="29"/>
        <v>3.659940318020416E-4</v>
      </c>
      <c r="AV62" s="109">
        <f t="shared" ca="1" si="24"/>
        <v>3.6884570056960886E-4</v>
      </c>
      <c r="AW62" s="27" t="e">
        <f t="shared" ca="1" si="25"/>
        <v>#VALUE!</v>
      </c>
      <c r="AX62" s="29" t="e">
        <f t="shared" ca="1" si="26"/>
        <v>#VALUE!</v>
      </c>
      <c r="AY62" s="72"/>
    </row>
    <row r="63" spans="2:51" s="11" customFormat="1" ht="15.6" customHeight="1" x14ac:dyDescent="0.3">
      <c r="M63" s="20">
        <f t="shared" si="27"/>
        <v>33</v>
      </c>
      <c r="N63" s="21">
        <f t="shared" si="28"/>
        <v>0.57750000000000012</v>
      </c>
      <c r="O63" s="22">
        <f t="shared" ca="1" si="1"/>
        <v>117.19407701095106</v>
      </c>
      <c r="P63" s="23">
        <f t="shared" ca="1" si="2"/>
        <v>-1</v>
      </c>
      <c r="Q63" s="22" t="e">
        <f t="shared" ca="1" si="3"/>
        <v>#VALUE!</v>
      </c>
      <c r="R63" s="23">
        <f t="shared" ca="1" si="4"/>
        <v>-1</v>
      </c>
      <c r="S63" s="24" t="e">
        <f t="shared" ca="1" si="5"/>
        <v>#VALUE!</v>
      </c>
      <c r="T63" s="23">
        <f t="shared" ca="1" si="6"/>
        <v>-1</v>
      </c>
      <c r="U63" s="112">
        <f t="shared" si="17"/>
        <v>1.7710176754470969E-2</v>
      </c>
      <c r="V63" s="109">
        <f t="shared" si="18"/>
        <v>-1.7710176754470969E-2</v>
      </c>
      <c r="W63" s="112">
        <f t="shared" si="19"/>
        <v>1.7710176754470969E-2</v>
      </c>
      <c r="X63" s="113">
        <f t="shared" si="20"/>
        <v>-1.7710176754470969E-2</v>
      </c>
      <c r="Z63" s="11" t="s">
        <v>94</v>
      </c>
      <c r="AA63" s="48">
        <f ca="1">-CntrptyLGD*SUMPRODUCT(AL31:AL430,AV31:AV430,AS31:AS430)</f>
        <v>-2.1113008311271575E-3</v>
      </c>
      <c r="AC63" s="32"/>
      <c r="AD63" s="32"/>
      <c r="AE63" s="32"/>
      <c r="AG63" s="26">
        <f t="shared" si="7"/>
        <v>0</v>
      </c>
      <c r="AH63" s="27">
        <f t="shared" si="8"/>
        <v>4.4392829801469615E-2</v>
      </c>
      <c r="AI63" s="28">
        <f t="shared" si="21"/>
        <v>1.7710176754470969E-2</v>
      </c>
      <c r="AJ63" s="27">
        <f t="shared" si="9"/>
        <v>1.7710176754470969E-2</v>
      </c>
      <c r="AK63" s="28">
        <f t="shared" si="10"/>
        <v>4.6609763254565097E-3</v>
      </c>
      <c r="AL63" s="27">
        <f t="shared" si="11"/>
        <v>1.7710176754470969E-2</v>
      </c>
      <c r="AM63" s="28">
        <f t="shared" si="22"/>
        <v>1.7710176754470969E-2</v>
      </c>
      <c r="AN63" s="27">
        <f t="shared" si="23"/>
        <v>-1.7710176754470969E-2</v>
      </c>
      <c r="AO63" s="28">
        <f t="shared" si="12"/>
        <v>-1.7710176754470969E-2</v>
      </c>
      <c r="AP63" s="27">
        <f t="shared" si="13"/>
        <v>-4.6609763254565105E-3</v>
      </c>
      <c r="AQ63" s="29">
        <f t="shared" si="14"/>
        <v>-1.7710176754470969E-2</v>
      </c>
      <c r="AS63" s="30">
        <f t="shared" si="15"/>
        <v>0.98282421485405469</v>
      </c>
      <c r="AT63" s="21">
        <f t="shared" si="16"/>
        <v>5.8416675223874952</v>
      </c>
      <c r="AU63" s="31">
        <f t="shared" ca="1" si="29"/>
        <v>3.6773222783392789E-4</v>
      </c>
      <c r="AV63" s="109">
        <f t="shared" ca="1" si="24"/>
        <v>3.7058158612846004E-4</v>
      </c>
      <c r="AW63" s="27" t="e">
        <f t="shared" ca="1" si="25"/>
        <v>#VALUE!</v>
      </c>
      <c r="AX63" s="29" t="e">
        <f t="shared" ca="1" si="26"/>
        <v>#VALUE!</v>
      </c>
      <c r="AY63" s="72"/>
    </row>
    <row r="64" spans="2:51" s="11" customFormat="1" ht="15.6" customHeight="1" x14ac:dyDescent="0.3">
      <c r="M64" s="20">
        <f t="shared" si="27"/>
        <v>34</v>
      </c>
      <c r="N64" s="21">
        <f t="shared" si="28"/>
        <v>0.59500000000000008</v>
      </c>
      <c r="O64" s="22">
        <f t="shared" ca="1" si="1"/>
        <v>117.51590206177501</v>
      </c>
      <c r="P64" s="23">
        <f t="shared" ca="1" si="2"/>
        <v>-1</v>
      </c>
      <c r="Q64" s="22" t="e">
        <f t="shared" ca="1" si="3"/>
        <v>#VALUE!</v>
      </c>
      <c r="R64" s="23">
        <f t="shared" ca="1" si="4"/>
        <v>-1</v>
      </c>
      <c r="S64" s="24" t="e">
        <f t="shared" ca="1" si="5"/>
        <v>#VALUE!</v>
      </c>
      <c r="T64" s="23">
        <f t="shared" ca="1" si="6"/>
        <v>-1</v>
      </c>
      <c r="U64" s="112">
        <f t="shared" si="17"/>
        <v>1.7932083563419514E-2</v>
      </c>
      <c r="V64" s="109">
        <f t="shared" si="18"/>
        <v>-1.7932083563419514E-2</v>
      </c>
      <c r="W64" s="112">
        <f t="shared" si="19"/>
        <v>1.7932083563419514E-2</v>
      </c>
      <c r="X64" s="113">
        <f t="shared" si="20"/>
        <v>-1.7932083563419514E-2</v>
      </c>
      <c r="Z64" s="11" t="s">
        <v>93</v>
      </c>
      <c r="AA64" s="96">
        <f ca="1">(-CVAbump+UCVA)*10000</f>
        <v>9.8366457239136215E-2</v>
      </c>
      <c r="AC64" s="32"/>
      <c r="AD64" s="32"/>
      <c r="AE64" s="32"/>
      <c r="AG64" s="26">
        <f t="shared" si="7"/>
        <v>0</v>
      </c>
      <c r="AH64" s="27">
        <f t="shared" si="8"/>
        <v>4.4949067683113179E-2</v>
      </c>
      <c r="AI64" s="28">
        <f t="shared" si="21"/>
        <v>1.7932083563419514E-2</v>
      </c>
      <c r="AJ64" s="27">
        <f t="shared" si="9"/>
        <v>1.7932083563419514E-2</v>
      </c>
      <c r="AK64" s="28">
        <f t="shared" si="10"/>
        <v>4.6494573347428377E-3</v>
      </c>
      <c r="AL64" s="27">
        <f t="shared" si="11"/>
        <v>1.7932083563419514E-2</v>
      </c>
      <c r="AM64" s="28">
        <f t="shared" si="22"/>
        <v>1.7932083563419514E-2</v>
      </c>
      <c r="AN64" s="27">
        <f t="shared" si="23"/>
        <v>-1.7932083563419514E-2</v>
      </c>
      <c r="AO64" s="28">
        <f t="shared" si="12"/>
        <v>-1.7932083563419514E-2</v>
      </c>
      <c r="AP64" s="27">
        <f t="shared" si="13"/>
        <v>-4.6494573347428377E-3</v>
      </c>
      <c r="AQ64" s="29">
        <f t="shared" si="14"/>
        <v>-1.7932083563419514E-2</v>
      </c>
      <c r="AS64" s="30">
        <f t="shared" si="15"/>
        <v>0.98230836756301854</v>
      </c>
      <c r="AT64" s="21">
        <f t="shared" si="16"/>
        <v>5.8272306084784438</v>
      </c>
      <c r="AU64" s="31">
        <f t="shared" ca="1" si="29"/>
        <v>3.6946936477022518E-4</v>
      </c>
      <c r="AV64" s="109">
        <f t="shared" ca="1" si="24"/>
        <v>3.7231639749824019E-4</v>
      </c>
      <c r="AW64" s="27" t="e">
        <f t="shared" ca="1" si="25"/>
        <v>#VALUE!</v>
      </c>
      <c r="AX64" s="29" t="e">
        <f t="shared" ca="1" si="26"/>
        <v>#VALUE!</v>
      </c>
      <c r="AY64" s="72"/>
    </row>
    <row r="65" spans="13:51" s="11" customFormat="1" ht="15.6" customHeight="1" x14ac:dyDescent="0.3">
      <c r="M65" s="20">
        <f t="shared" si="27"/>
        <v>35</v>
      </c>
      <c r="N65" s="21">
        <f t="shared" si="28"/>
        <v>0.61250000000000004</v>
      </c>
      <c r="O65" s="22">
        <f t="shared" ca="1" si="1"/>
        <v>117.83791709003924</v>
      </c>
      <c r="P65" s="23">
        <f t="shared" ca="1" si="2"/>
        <v>-1</v>
      </c>
      <c r="Q65" s="22" t="e">
        <f t="shared" ca="1" si="3"/>
        <v>#VALUE!</v>
      </c>
      <c r="R65" s="23">
        <f t="shared" ca="1" si="4"/>
        <v>-1</v>
      </c>
      <c r="S65" s="24" t="e">
        <f t="shared" ca="1" si="5"/>
        <v>#VALUE!</v>
      </c>
      <c r="T65" s="23">
        <f t="shared" ca="1" si="6"/>
        <v>-1</v>
      </c>
      <c r="U65" s="112">
        <f t="shared" si="17"/>
        <v>1.8148780801545524E-2</v>
      </c>
      <c r="V65" s="109">
        <f t="shared" si="18"/>
        <v>-1.8148780801545524E-2</v>
      </c>
      <c r="W65" s="112">
        <f t="shared" si="19"/>
        <v>1.8148780801545524E-2</v>
      </c>
      <c r="X65" s="113">
        <f t="shared" si="20"/>
        <v>-1.8148780801545524E-2</v>
      </c>
      <c r="Z65" s="11" t="s">
        <v>95</v>
      </c>
      <c r="AA65" s="47">
        <f>IF(HedgeType="NONE",0, CVADelta/ApproxDuration*HedgeBeta)</f>
        <v>0</v>
      </c>
      <c r="AC65" s="32"/>
      <c r="AD65" s="32"/>
      <c r="AE65" s="32"/>
      <c r="AG65" s="26">
        <f t="shared" si="7"/>
        <v>0</v>
      </c>
      <c r="AH65" s="27">
        <f t="shared" si="8"/>
        <v>4.5492247107234277E-2</v>
      </c>
      <c r="AI65" s="28">
        <f t="shared" si="21"/>
        <v>1.8148780801545524E-2</v>
      </c>
      <c r="AJ65" s="27">
        <f t="shared" si="9"/>
        <v>1.8148780801545524E-2</v>
      </c>
      <c r="AK65" s="28">
        <f t="shared" si="10"/>
        <v>4.6379322949713035E-3</v>
      </c>
      <c r="AL65" s="27">
        <f t="shared" si="11"/>
        <v>1.8148780801545524E-2</v>
      </c>
      <c r="AM65" s="28">
        <f t="shared" si="22"/>
        <v>1.8148780801545524E-2</v>
      </c>
      <c r="AN65" s="27">
        <f t="shared" si="23"/>
        <v>-1.8148780801545524E-2</v>
      </c>
      <c r="AO65" s="28">
        <f t="shared" si="12"/>
        <v>-1.8148780801545524E-2</v>
      </c>
      <c r="AP65" s="27">
        <f t="shared" si="13"/>
        <v>-4.6379322949713035E-3</v>
      </c>
      <c r="AQ65" s="29">
        <f t="shared" si="14"/>
        <v>-1.8148780801545524E-2</v>
      </c>
      <c r="AS65" s="30">
        <f t="shared" si="15"/>
        <v>0.98179279102073247</v>
      </c>
      <c r="AT65" s="21">
        <f t="shared" si="16"/>
        <v>5.8127861131996568</v>
      </c>
      <c r="AU65" s="31">
        <f t="shared" ca="1" si="29"/>
        <v>3.7120533740564454E-4</v>
      </c>
      <c r="AV65" s="109">
        <f t="shared" ca="1" si="24"/>
        <v>3.7405002949697508E-4</v>
      </c>
      <c r="AW65" s="27" t="e">
        <f t="shared" ca="1" si="25"/>
        <v>#VALUE!</v>
      </c>
      <c r="AX65" s="29" t="e">
        <f t="shared" ca="1" si="26"/>
        <v>#VALUE!</v>
      </c>
      <c r="AY65" s="72"/>
    </row>
    <row r="66" spans="13:51" s="11" customFormat="1" ht="15.6" customHeight="1" x14ac:dyDescent="0.3">
      <c r="M66" s="20">
        <f t="shared" si="27"/>
        <v>36</v>
      </c>
      <c r="N66" s="21">
        <f t="shared" si="28"/>
        <v>0.63</v>
      </c>
      <c r="O66" s="22">
        <f t="shared" ca="1" si="1"/>
        <v>118.16011388684201</v>
      </c>
      <c r="P66" s="23">
        <f t="shared" ca="1" si="2"/>
        <v>-1</v>
      </c>
      <c r="Q66" s="22" t="e">
        <f t="shared" ca="1" si="3"/>
        <v>#VALUE!</v>
      </c>
      <c r="R66" s="23">
        <f t="shared" ca="1" si="4"/>
        <v>-1</v>
      </c>
      <c r="S66" s="24" t="e">
        <f t="shared" ca="1" si="5"/>
        <v>#VALUE!</v>
      </c>
      <c r="T66" s="23">
        <f t="shared" ca="1" si="6"/>
        <v>-1</v>
      </c>
      <c r="U66" s="112">
        <f t="shared" si="17"/>
        <v>1.8360460572384427E-2</v>
      </c>
      <c r="V66" s="109">
        <f t="shared" si="18"/>
        <v>-1.8360460572384427E-2</v>
      </c>
      <c r="W66" s="112">
        <f t="shared" si="19"/>
        <v>1.8360460572384427E-2</v>
      </c>
      <c r="X66" s="113">
        <f t="shared" si="20"/>
        <v>-1.8360460572384427E-2</v>
      </c>
      <c r="AC66" s="32"/>
      <c r="AD66" s="32"/>
      <c r="AE66" s="32"/>
      <c r="AG66" s="26">
        <f t="shared" si="7"/>
        <v>0</v>
      </c>
      <c r="AH66" s="27">
        <f t="shared" si="8"/>
        <v>4.6022849605986481E-2</v>
      </c>
      <c r="AI66" s="28">
        <f t="shared" si="21"/>
        <v>1.8360460572384427E-2</v>
      </c>
      <c r="AJ66" s="27">
        <f t="shared" si="9"/>
        <v>1.8360460572384427E-2</v>
      </c>
      <c r="AK66" s="28">
        <f t="shared" si="10"/>
        <v>4.6264012029653152E-3</v>
      </c>
      <c r="AL66" s="27">
        <f t="shared" si="11"/>
        <v>1.8360460572384427E-2</v>
      </c>
      <c r="AM66" s="28">
        <f t="shared" si="22"/>
        <v>1.8360460572384427E-2</v>
      </c>
      <c r="AN66" s="27">
        <f t="shared" si="23"/>
        <v>-1.8360460572384427E-2</v>
      </c>
      <c r="AO66" s="28">
        <f t="shared" si="12"/>
        <v>-1.8360460572384427E-2</v>
      </c>
      <c r="AP66" s="27">
        <f t="shared" si="13"/>
        <v>-4.6264012029653152E-3</v>
      </c>
      <c r="AQ66" s="29">
        <f t="shared" si="14"/>
        <v>-1.8360460572384427E-2</v>
      </c>
      <c r="AS66" s="30">
        <f t="shared" si="15"/>
        <v>0.98127748508509061</v>
      </c>
      <c r="AT66" s="21">
        <f t="shared" si="16"/>
        <v>5.7983340325698665</v>
      </c>
      <c r="AU66" s="31">
        <f t="shared" ca="1" si="29"/>
        <v>3.7294004071497522E-4</v>
      </c>
      <c r="AV66" s="109">
        <f t="shared" ca="1" si="24"/>
        <v>3.7578237712421192E-4</v>
      </c>
      <c r="AW66" s="27" t="e">
        <f t="shared" ca="1" si="25"/>
        <v>#VALUE!</v>
      </c>
      <c r="AX66" s="29" t="e">
        <f t="shared" ca="1" si="26"/>
        <v>#VALUE!</v>
      </c>
      <c r="AY66" s="72"/>
    </row>
    <row r="67" spans="13:51" s="11" customFormat="1" ht="15.6" customHeight="1" thickBot="1" x14ac:dyDescent="0.35">
      <c r="M67" s="20">
        <f t="shared" si="27"/>
        <v>37</v>
      </c>
      <c r="N67" s="21">
        <f t="shared" si="28"/>
        <v>0.64749999999999996</v>
      </c>
      <c r="O67" s="22">
        <f t="shared" ca="1" si="1"/>
        <v>118.48248424328159</v>
      </c>
      <c r="P67" s="23">
        <f t="shared" ca="1" si="2"/>
        <v>-1</v>
      </c>
      <c r="Q67" s="22" t="e">
        <f t="shared" ca="1" si="3"/>
        <v>#VALUE!</v>
      </c>
      <c r="R67" s="23">
        <f t="shared" ca="1" si="4"/>
        <v>-1</v>
      </c>
      <c r="S67" s="24" t="e">
        <f t="shared" ca="1" si="5"/>
        <v>#VALUE!</v>
      </c>
      <c r="T67" s="23">
        <f t="shared" ca="1" si="6"/>
        <v>-1</v>
      </c>
      <c r="U67" s="112">
        <f t="shared" si="17"/>
        <v>1.8567302064137221E-2</v>
      </c>
      <c r="V67" s="109">
        <f t="shared" si="18"/>
        <v>-1.8567302064137221E-2</v>
      </c>
      <c r="W67" s="112">
        <f t="shared" si="19"/>
        <v>1.8567302064137221E-2</v>
      </c>
      <c r="X67" s="113">
        <f t="shared" si="20"/>
        <v>-1.8567302064137221E-2</v>
      </c>
      <c r="AC67" s="32"/>
      <c r="AD67" s="32"/>
      <c r="AE67" s="32"/>
      <c r="AG67" s="26">
        <f t="shared" si="7"/>
        <v>0</v>
      </c>
      <c r="AH67" s="27">
        <f t="shared" si="8"/>
        <v>4.6541324337580896E-2</v>
      </c>
      <c r="AI67" s="28">
        <f t="shared" si="21"/>
        <v>1.8567302064137221E-2</v>
      </c>
      <c r="AJ67" s="27">
        <f t="shared" si="9"/>
        <v>1.8567302064137221E-2</v>
      </c>
      <c r="AK67" s="28">
        <f t="shared" si="10"/>
        <v>4.6148640555466174E-3</v>
      </c>
      <c r="AL67" s="27">
        <f t="shared" si="11"/>
        <v>1.8567302064137221E-2</v>
      </c>
      <c r="AM67" s="28">
        <f t="shared" si="22"/>
        <v>1.8567302064137221E-2</v>
      </c>
      <c r="AN67" s="27">
        <f t="shared" si="23"/>
        <v>-1.8567302064137221E-2</v>
      </c>
      <c r="AO67" s="28">
        <f t="shared" si="12"/>
        <v>-1.8567302064137221E-2</v>
      </c>
      <c r="AP67" s="27">
        <f t="shared" si="13"/>
        <v>-4.6148640555466183E-3</v>
      </c>
      <c r="AQ67" s="29">
        <f t="shared" si="14"/>
        <v>-1.8567302064137221E-2</v>
      </c>
      <c r="AS67" s="30">
        <f t="shared" si="15"/>
        <v>0.98076244961406178</v>
      </c>
      <c r="AT67" s="21">
        <f t="shared" si="16"/>
        <v>5.7838743626057196</v>
      </c>
      <c r="AU67" s="31">
        <f t="shared" ca="1" si="29"/>
        <v>3.7467336985652633E-4</v>
      </c>
      <c r="AV67" s="109">
        <f t="shared" ca="1" si="24"/>
        <v>3.7751333556446109E-4</v>
      </c>
      <c r="AW67" s="27" t="e">
        <f t="shared" ca="1" si="25"/>
        <v>#VALUE!</v>
      </c>
      <c r="AX67" s="29" t="e">
        <f t="shared" ca="1" si="26"/>
        <v>#VALUE!</v>
      </c>
      <c r="AY67" s="72"/>
    </row>
    <row r="68" spans="13:51" s="11" customFormat="1" ht="15.6" customHeight="1" thickBot="1" x14ac:dyDescent="0.35">
      <c r="M68" s="20">
        <f t="shared" si="27"/>
        <v>38</v>
      </c>
      <c r="N68" s="21">
        <f t="shared" si="28"/>
        <v>0.66499999999999992</v>
      </c>
      <c r="O68" s="22">
        <f t="shared" ca="1" si="1"/>
        <v>118.80501995045623</v>
      </c>
      <c r="P68" s="23">
        <f t="shared" ca="1" si="2"/>
        <v>-1</v>
      </c>
      <c r="Q68" s="22" t="e">
        <f t="shared" ca="1" si="3"/>
        <v>#VALUE!</v>
      </c>
      <c r="R68" s="23">
        <f t="shared" ca="1" si="4"/>
        <v>-1</v>
      </c>
      <c r="S68" s="24" t="e">
        <f t="shared" ca="1" si="5"/>
        <v>#VALUE!</v>
      </c>
      <c r="T68" s="23">
        <f t="shared" ca="1" si="6"/>
        <v>-1</v>
      </c>
      <c r="U68" s="112">
        <f t="shared" si="17"/>
        <v>1.8769472749057561E-2</v>
      </c>
      <c r="V68" s="109">
        <f t="shared" si="18"/>
        <v>-1.8769472749057561E-2</v>
      </c>
      <c r="W68" s="112">
        <f t="shared" si="19"/>
        <v>1.8769472749057561E-2</v>
      </c>
      <c r="X68" s="113">
        <f t="shared" si="20"/>
        <v>-1.8769472749057561E-2</v>
      </c>
      <c r="Z68" s="102" t="s">
        <v>62</v>
      </c>
      <c r="AA68" s="88"/>
      <c r="AC68" s="32"/>
      <c r="AD68" s="32"/>
      <c r="AE68" s="32"/>
      <c r="AG68" s="26">
        <f t="shared" si="7"/>
        <v>0</v>
      </c>
      <c r="AH68" s="27">
        <f t="shared" si="8"/>
        <v>4.7048091092703734E-2</v>
      </c>
      <c r="AI68" s="28">
        <f t="shared" si="21"/>
        <v>1.8769472749057561E-2</v>
      </c>
      <c r="AJ68" s="27">
        <f t="shared" si="9"/>
        <v>1.8769472749057561E-2</v>
      </c>
      <c r="AK68" s="28">
        <f t="shared" si="10"/>
        <v>4.6033208495352878E-3</v>
      </c>
      <c r="AL68" s="27">
        <f t="shared" si="11"/>
        <v>1.8769472749057561E-2</v>
      </c>
      <c r="AM68" s="28">
        <f t="shared" si="22"/>
        <v>1.8769472749057561E-2</v>
      </c>
      <c r="AN68" s="27">
        <f t="shared" si="23"/>
        <v>-1.8769472749057561E-2</v>
      </c>
      <c r="AO68" s="28">
        <f t="shared" si="12"/>
        <v>-1.8769472749057561E-2</v>
      </c>
      <c r="AP68" s="27">
        <f t="shared" si="13"/>
        <v>-4.6033208495352878E-3</v>
      </c>
      <c r="AQ68" s="29">
        <f t="shared" si="14"/>
        <v>-1.8769472749057561E-2</v>
      </c>
      <c r="AS68" s="30">
        <f t="shared" si="15"/>
        <v>0.98024768446568944</v>
      </c>
      <c r="AT68" s="21">
        <f t="shared" si="16"/>
        <v>5.7694070993217741</v>
      </c>
      <c r="AU68" s="31">
        <f t="shared" ca="1" si="29"/>
        <v>3.7640522017345912E-4</v>
      </c>
      <c r="AV68" s="109">
        <f t="shared" ca="1" si="24"/>
        <v>3.7924280018863943E-4</v>
      </c>
      <c r="AW68" s="27" t="e">
        <f t="shared" ca="1" si="25"/>
        <v>#VALUE!</v>
      </c>
      <c r="AX68" s="29" t="e">
        <f t="shared" ca="1" si="26"/>
        <v>#VALUE!</v>
      </c>
      <c r="AY68" s="72"/>
    </row>
    <row r="69" spans="13:51" s="11" customFormat="1" ht="15.6" customHeight="1" x14ac:dyDescent="0.3">
      <c r="M69" s="20">
        <f t="shared" si="27"/>
        <v>39</v>
      </c>
      <c r="N69" s="21">
        <f t="shared" si="28"/>
        <v>0.68249999999999988</v>
      </c>
      <c r="O69" s="22">
        <f t="shared" ca="1" si="1"/>
        <v>119.12771279946419</v>
      </c>
      <c r="P69" s="23">
        <f t="shared" ca="1" si="2"/>
        <v>-1</v>
      </c>
      <c r="Q69" s="22" t="e">
        <f t="shared" ca="1" si="3"/>
        <v>#VALUE!</v>
      </c>
      <c r="R69" s="23">
        <f t="shared" ca="1" si="4"/>
        <v>-1</v>
      </c>
      <c r="S69" s="24" t="e">
        <f t="shared" ca="1" si="5"/>
        <v>#VALUE!</v>
      </c>
      <c r="T69" s="23">
        <f t="shared" ca="1" si="6"/>
        <v>-1</v>
      </c>
      <c r="U69" s="112">
        <f t="shared" si="17"/>
        <v>1.8967129442632562E-2</v>
      </c>
      <c r="V69" s="109">
        <f t="shared" si="18"/>
        <v>-1.8967129442632562E-2</v>
      </c>
      <c r="W69" s="112">
        <f t="shared" si="19"/>
        <v>1.8967129442632562E-2</v>
      </c>
      <c r="X69" s="113">
        <f t="shared" si="20"/>
        <v>-1.8967129442632562E-2</v>
      </c>
      <c r="Z69" s="73" t="s">
        <v>76</v>
      </c>
      <c r="AA69" s="104">
        <f>(1-EXP(-Maturity1*InterestRate))/InterestRate</f>
        <v>6.313858467660431</v>
      </c>
      <c r="AC69" s="32"/>
      <c r="AD69" s="32"/>
      <c r="AE69" s="32"/>
      <c r="AG69" s="26">
        <f t="shared" si="7"/>
        <v>0</v>
      </c>
      <c r="AH69" s="27">
        <f t="shared" si="8"/>
        <v>4.7543542949488905E-2</v>
      </c>
      <c r="AI69" s="28">
        <f t="shared" si="21"/>
        <v>1.8967129442632562E-2</v>
      </c>
      <c r="AJ69" s="27">
        <f t="shared" si="9"/>
        <v>1.8967129442632562E-2</v>
      </c>
      <c r="AK69" s="28">
        <f t="shared" si="10"/>
        <v>4.591771581749721E-3</v>
      </c>
      <c r="AL69" s="27">
        <f t="shared" si="11"/>
        <v>1.8967129442632562E-2</v>
      </c>
      <c r="AM69" s="28">
        <f t="shared" si="22"/>
        <v>1.8967129442632562E-2</v>
      </c>
      <c r="AN69" s="27">
        <f t="shared" si="23"/>
        <v>-1.8967129442632562E-2</v>
      </c>
      <c r="AO69" s="28">
        <f t="shared" si="12"/>
        <v>-1.8967129442632562E-2</v>
      </c>
      <c r="AP69" s="27">
        <f t="shared" si="13"/>
        <v>-4.5917715817497219E-3</v>
      </c>
      <c r="AQ69" s="29">
        <f t="shared" si="14"/>
        <v>-1.8967129442632562E-2</v>
      </c>
      <c r="AS69" s="30">
        <f t="shared" si="15"/>
        <v>0.97973318949809118</v>
      </c>
      <c r="AT69" s="21">
        <f t="shared" si="16"/>
        <v>5.7549322387304818</v>
      </c>
      <c r="AU69" s="31">
        <f t="shared" ca="1" si="29"/>
        <v>3.7813548719767276E-4</v>
      </c>
      <c r="AV69" s="109">
        <f t="shared" ca="1" si="24"/>
        <v>3.8097066655751188E-4</v>
      </c>
      <c r="AW69" s="27" t="e">
        <f t="shared" ca="1" si="25"/>
        <v>#VALUE!</v>
      </c>
      <c r="AX69" s="29" t="e">
        <f t="shared" ca="1" si="26"/>
        <v>#VALUE!</v>
      </c>
      <c r="AY69" s="72"/>
    </row>
    <row r="70" spans="13:51" s="11" customFormat="1" ht="15.6" customHeight="1" x14ac:dyDescent="0.3">
      <c r="M70" s="20">
        <f t="shared" si="27"/>
        <v>40</v>
      </c>
      <c r="N70" s="21">
        <f t="shared" si="28"/>
        <v>0.69999999999999984</v>
      </c>
      <c r="O70" s="22">
        <f t="shared" ca="1" si="1"/>
        <v>119.45055458140372</v>
      </c>
      <c r="P70" s="23">
        <f t="shared" ca="1" si="2"/>
        <v>-1</v>
      </c>
      <c r="Q70" s="22" t="e">
        <f t="shared" ca="1" si="3"/>
        <v>#VALUE!</v>
      </c>
      <c r="R70" s="23">
        <f t="shared" ca="1" si="4"/>
        <v>-1</v>
      </c>
      <c r="S70" s="24" t="e">
        <f t="shared" ca="1" si="5"/>
        <v>#VALUE!</v>
      </c>
      <c r="T70" s="23">
        <f t="shared" ca="1" si="6"/>
        <v>-1</v>
      </c>
      <c r="U70" s="112">
        <f t="shared" si="17"/>
        <v>1.9160419242128562E-2</v>
      </c>
      <c r="V70" s="109">
        <f t="shared" si="18"/>
        <v>-1.9160419242128562E-2</v>
      </c>
      <c r="W70" s="112">
        <f t="shared" si="19"/>
        <v>1.9160419242128562E-2</v>
      </c>
      <c r="X70" s="113">
        <f t="shared" si="20"/>
        <v>-1.9160419242128562E-2</v>
      </c>
      <c r="Z70" s="20" t="s">
        <v>60</v>
      </c>
      <c r="AA70" s="105">
        <f ca="1">CubicSpline(OFFSET($B$18,0,0,NumCurvePoints,1),OFFSET($C$18,0,0,NumCurvePoints,1),Maturity1)</f>
        <v>200</v>
      </c>
      <c r="AC70" s="32"/>
      <c r="AD70" s="32"/>
      <c r="AE70" s="32"/>
      <c r="AG70" s="26">
        <f t="shared" si="7"/>
        <v>0</v>
      </c>
      <c r="AH70" s="27">
        <f t="shared" si="8"/>
        <v>4.8028048626103333E-2</v>
      </c>
      <c r="AI70" s="28">
        <f t="shared" si="21"/>
        <v>1.9160419242128562E-2</v>
      </c>
      <c r="AJ70" s="27">
        <f t="shared" si="9"/>
        <v>1.9160419242128562E-2</v>
      </c>
      <c r="AK70" s="28">
        <f t="shared" si="10"/>
        <v>4.5802162490066554E-3</v>
      </c>
      <c r="AL70" s="27">
        <f t="shared" si="11"/>
        <v>1.9160419242128562E-2</v>
      </c>
      <c r="AM70" s="28">
        <f t="shared" si="22"/>
        <v>1.9160419242128562E-2</v>
      </c>
      <c r="AN70" s="27">
        <f t="shared" si="23"/>
        <v>-1.9160419242128562E-2</v>
      </c>
      <c r="AO70" s="28">
        <f t="shared" si="12"/>
        <v>-1.9160419242128562E-2</v>
      </c>
      <c r="AP70" s="27">
        <f t="shared" si="13"/>
        <v>-4.5802162490066562E-3</v>
      </c>
      <c r="AQ70" s="29">
        <f t="shared" si="14"/>
        <v>-1.9160419242128562E-2</v>
      </c>
      <c r="AS70" s="30">
        <f t="shared" si="15"/>
        <v>0.97921896456945956</v>
      </c>
      <c r="AT70" s="21">
        <f t="shared" si="16"/>
        <v>5.7404497768422127</v>
      </c>
      <c r="AU70" s="31">
        <f t="shared" ca="1" si="29"/>
        <v>3.7986406665102557E-4</v>
      </c>
      <c r="AV70" s="109">
        <f t="shared" ca="1" si="24"/>
        <v>3.8269683042424507E-4</v>
      </c>
      <c r="AW70" s="27" t="e">
        <f t="shared" ca="1" si="25"/>
        <v>#VALUE!</v>
      </c>
      <c r="AX70" s="29" t="e">
        <f t="shared" ca="1" si="26"/>
        <v>#VALUE!</v>
      </c>
      <c r="AY70" s="72"/>
    </row>
    <row r="71" spans="13:51" s="11" customFormat="1" ht="15.6" customHeight="1" x14ac:dyDescent="0.3">
      <c r="M71" s="20">
        <f t="shared" si="27"/>
        <v>41</v>
      </c>
      <c r="N71" s="21">
        <f t="shared" si="28"/>
        <v>0.7174999999999998</v>
      </c>
      <c r="O71" s="22">
        <f t="shared" ca="1" si="1"/>
        <v>119.77353708737309</v>
      </c>
      <c r="P71" s="23">
        <f t="shared" ca="1" si="2"/>
        <v>-1</v>
      </c>
      <c r="Q71" s="22" t="e">
        <f t="shared" ca="1" si="3"/>
        <v>#VALUE!</v>
      </c>
      <c r="R71" s="23">
        <f t="shared" ca="1" si="4"/>
        <v>-1</v>
      </c>
      <c r="S71" s="24" t="e">
        <f t="shared" ca="1" si="5"/>
        <v>#VALUE!</v>
      </c>
      <c r="T71" s="23">
        <f t="shared" ca="1" si="6"/>
        <v>-1</v>
      </c>
      <c r="U71" s="112">
        <f t="shared" si="17"/>
        <v>1.9349480360919713E-2</v>
      </c>
      <c r="V71" s="109">
        <f t="shared" si="18"/>
        <v>-1.9349480360919713E-2</v>
      </c>
      <c r="W71" s="112">
        <f t="shared" si="19"/>
        <v>1.9349480360919713E-2</v>
      </c>
      <c r="X71" s="113">
        <f t="shared" si="20"/>
        <v>-1.9349480360919713E-2</v>
      </c>
      <c r="Z71" s="20" t="s">
        <v>61</v>
      </c>
      <c r="AA71" s="106">
        <f ca="1">SpreadToMaturity/CntrptyLGD/10000</f>
        <v>3.333333333333334E-2</v>
      </c>
      <c r="AC71" s="32"/>
      <c r="AD71" s="32"/>
      <c r="AE71" s="32"/>
      <c r="AG71" s="26">
        <f t="shared" si="7"/>
        <v>0</v>
      </c>
      <c r="AH71" s="27">
        <f t="shared" si="8"/>
        <v>4.8501954572098605E-2</v>
      </c>
      <c r="AI71" s="28">
        <f t="shared" si="21"/>
        <v>1.9349480360919713E-2</v>
      </c>
      <c r="AJ71" s="27">
        <f t="shared" si="9"/>
        <v>1.9349480360919713E-2</v>
      </c>
      <c r="AK71" s="28">
        <f t="shared" si="10"/>
        <v>4.5686548481211533E-3</v>
      </c>
      <c r="AL71" s="27">
        <f t="shared" si="11"/>
        <v>1.9349480360919713E-2</v>
      </c>
      <c r="AM71" s="28">
        <f t="shared" si="22"/>
        <v>1.9349480360919713E-2</v>
      </c>
      <c r="AN71" s="27">
        <f t="shared" si="23"/>
        <v>-1.9349480360919713E-2</v>
      </c>
      <c r="AO71" s="28">
        <f t="shared" si="12"/>
        <v>-1.9349480360919713E-2</v>
      </c>
      <c r="AP71" s="27">
        <f t="shared" si="13"/>
        <v>-4.5686548481211542E-3</v>
      </c>
      <c r="AQ71" s="29">
        <f t="shared" si="14"/>
        <v>-1.9349480360919713E-2</v>
      </c>
      <c r="AS71" s="30">
        <f t="shared" si="15"/>
        <v>0.97870500953806128</v>
      </c>
      <c r="AT71" s="21">
        <f t="shared" si="16"/>
        <v>5.7259597096652408</v>
      </c>
      <c r="AU71" s="31">
        <f t="shared" ca="1" si="29"/>
        <v>3.8159085444955387E-4</v>
      </c>
      <c r="AV71" s="109">
        <f t="shared" ca="1" si="24"/>
        <v>3.8442118773640566E-4</v>
      </c>
      <c r="AW71" s="27" t="e">
        <f t="shared" ca="1" si="25"/>
        <v>#VALUE!</v>
      </c>
      <c r="AX71" s="29" t="e">
        <f t="shared" ca="1" si="26"/>
        <v>#VALUE!</v>
      </c>
      <c r="AY71" s="72"/>
    </row>
    <row r="72" spans="13:51" s="11" customFormat="1" ht="15.6" customHeight="1" thickBot="1" x14ac:dyDescent="0.35">
      <c r="M72" s="20">
        <f t="shared" si="27"/>
        <v>42</v>
      </c>
      <c r="N72" s="21">
        <f t="shared" si="28"/>
        <v>0.73499999999999976</v>
      </c>
      <c r="O72" s="22">
        <f t="shared" ca="1" si="1"/>
        <v>120.09665210847056</v>
      </c>
      <c r="P72" s="23">
        <f t="shared" ca="1" si="2"/>
        <v>-1</v>
      </c>
      <c r="Q72" s="22" t="e">
        <f t="shared" ca="1" si="3"/>
        <v>#VALUE!</v>
      </c>
      <c r="R72" s="23">
        <f t="shared" ca="1" si="4"/>
        <v>-1</v>
      </c>
      <c r="S72" s="24" t="e">
        <f t="shared" ca="1" si="5"/>
        <v>#VALUE!</v>
      </c>
      <c r="T72" s="23">
        <f t="shared" ca="1" si="6"/>
        <v>-1</v>
      </c>
      <c r="U72" s="112">
        <f t="shared" si="17"/>
        <v>1.9534442872437361E-2</v>
      </c>
      <c r="V72" s="109">
        <f t="shared" si="18"/>
        <v>-1.9534442872437361E-2</v>
      </c>
      <c r="W72" s="112">
        <f t="shared" si="19"/>
        <v>1.9534442872437361E-2</v>
      </c>
      <c r="X72" s="113">
        <f t="shared" si="20"/>
        <v>-1.9534442872437361E-2</v>
      </c>
      <c r="Z72" s="35" t="s">
        <v>24</v>
      </c>
      <c r="AA72" s="107">
        <f ca="1">(1-EXP(-(InterestRate+HR)*Maturity1))/(InterestRate+HR)</f>
        <v>5.6543177838827585</v>
      </c>
      <c r="AC72" s="32"/>
      <c r="AD72" s="32"/>
      <c r="AE72" s="32"/>
      <c r="AG72" s="26">
        <f t="shared" si="7"/>
        <v>0</v>
      </c>
      <c r="AH72" s="27">
        <f t="shared" si="8"/>
        <v>4.8965586833215502E-2</v>
      </c>
      <c r="AI72" s="28">
        <f t="shared" si="21"/>
        <v>1.9534442872437361E-2</v>
      </c>
      <c r="AJ72" s="27">
        <f t="shared" si="9"/>
        <v>1.9534442872437361E-2</v>
      </c>
      <c r="AK72" s="28">
        <f t="shared" si="10"/>
        <v>4.5570873759065988E-3</v>
      </c>
      <c r="AL72" s="27">
        <f t="shared" si="11"/>
        <v>1.9534442872437361E-2</v>
      </c>
      <c r="AM72" s="28">
        <f t="shared" si="22"/>
        <v>1.9534442872437361E-2</v>
      </c>
      <c r="AN72" s="27">
        <f t="shared" si="23"/>
        <v>-1.9534442872437361E-2</v>
      </c>
      <c r="AO72" s="28">
        <f t="shared" si="12"/>
        <v>-1.9534442872437361E-2</v>
      </c>
      <c r="AP72" s="27">
        <f t="shared" si="13"/>
        <v>-4.5570873759065988E-3</v>
      </c>
      <c r="AQ72" s="29">
        <f t="shared" si="14"/>
        <v>-1.9534442872437361E-2</v>
      </c>
      <c r="AS72" s="30">
        <f t="shared" si="15"/>
        <v>0.97819132426223743</v>
      </c>
      <c r="AT72" s="21">
        <f t="shared" si="16"/>
        <v>5.7114620332057351</v>
      </c>
      <c r="AU72" s="31">
        <f t="shared" ca="1" si="29"/>
        <v>3.8331574670413815E-4</v>
      </c>
      <c r="AV72" s="109">
        <f t="shared" ca="1" si="24"/>
        <v>3.8614363463940204E-4</v>
      </c>
      <c r="AW72" s="27" t="e">
        <f t="shared" ca="1" si="25"/>
        <v>#VALUE!</v>
      </c>
      <c r="AX72" s="29" t="e">
        <f t="shared" ca="1" si="26"/>
        <v>#VALUE!</v>
      </c>
      <c r="AY72" s="72"/>
    </row>
    <row r="73" spans="13:51" s="11" customFormat="1" ht="15.6" customHeight="1" x14ac:dyDescent="0.3">
      <c r="M73" s="20">
        <f t="shared" si="27"/>
        <v>43</v>
      </c>
      <c r="N73" s="21">
        <f t="shared" si="28"/>
        <v>0.75249999999999972</v>
      </c>
      <c r="O73" s="22">
        <f t="shared" ca="1" si="1"/>
        <v>120.4198914357944</v>
      </c>
      <c r="P73" s="23">
        <f t="shared" ca="1" si="2"/>
        <v>-1</v>
      </c>
      <c r="Q73" s="22" t="e">
        <f t="shared" ca="1" si="3"/>
        <v>#VALUE!</v>
      </c>
      <c r="R73" s="23">
        <f t="shared" ca="1" si="4"/>
        <v>-1</v>
      </c>
      <c r="S73" s="24" t="e">
        <f t="shared" ca="1" si="5"/>
        <v>#VALUE!</v>
      </c>
      <c r="T73" s="23">
        <f t="shared" ca="1" si="6"/>
        <v>-1</v>
      </c>
      <c r="U73" s="112">
        <f t="shared" si="17"/>
        <v>1.9715429375454875E-2</v>
      </c>
      <c r="V73" s="109">
        <f t="shared" si="18"/>
        <v>-1.9715429375454875E-2</v>
      </c>
      <c r="W73" s="112">
        <f t="shared" si="19"/>
        <v>1.9715429375454875E-2</v>
      </c>
      <c r="X73" s="113">
        <f t="shared" si="20"/>
        <v>-1.9715429375454875E-2</v>
      </c>
      <c r="Y73" s="32"/>
      <c r="Z73" s="32"/>
      <c r="AA73" s="32"/>
      <c r="AB73" s="32"/>
      <c r="AC73" s="32"/>
      <c r="AD73" s="32"/>
      <c r="AE73" s="32"/>
      <c r="AG73" s="26">
        <f t="shared" si="7"/>
        <v>0</v>
      </c>
      <c r="AH73" s="27">
        <f t="shared" si="8"/>
        <v>4.9419252719005796E-2</v>
      </c>
      <c r="AI73" s="28">
        <f t="shared" si="21"/>
        <v>1.9715429375454875E-2</v>
      </c>
      <c r="AJ73" s="27">
        <f t="shared" si="9"/>
        <v>1.9715429375454875E-2</v>
      </c>
      <c r="AK73" s="28">
        <f t="shared" si="10"/>
        <v>4.5455138291747134E-3</v>
      </c>
      <c r="AL73" s="27">
        <f t="shared" si="11"/>
        <v>1.9715429375454875E-2</v>
      </c>
      <c r="AM73" s="28">
        <f t="shared" si="22"/>
        <v>1.9715429375454875E-2</v>
      </c>
      <c r="AN73" s="27">
        <f t="shared" si="23"/>
        <v>-1.9715429375454875E-2</v>
      </c>
      <c r="AO73" s="28">
        <f t="shared" si="12"/>
        <v>-1.9715429375454875E-2</v>
      </c>
      <c r="AP73" s="27">
        <f t="shared" si="13"/>
        <v>-4.5455138291747143E-3</v>
      </c>
      <c r="AQ73" s="29">
        <f t="shared" si="14"/>
        <v>-1.9715429375454875E-2</v>
      </c>
      <c r="AS73" s="30">
        <f t="shared" si="15"/>
        <v>0.97767790860040349</v>
      </c>
      <c r="AT73" s="21">
        <f t="shared" si="16"/>
        <v>5.6969567434677817</v>
      </c>
      <c r="AU73" s="31">
        <f t="shared" ca="1" si="29"/>
        <v>3.850386397249439E-4</v>
      </c>
      <c r="AV73" s="109">
        <f t="shared" ca="1" si="24"/>
        <v>3.8786406747781665E-4</v>
      </c>
      <c r="AW73" s="27" t="e">
        <f t="shared" ca="1" si="25"/>
        <v>#VALUE!</v>
      </c>
      <c r="AX73" s="29" t="e">
        <f t="shared" ca="1" si="26"/>
        <v>#VALUE!</v>
      </c>
      <c r="AY73" s="72"/>
    </row>
    <row r="74" spans="13:51" s="11" customFormat="1" ht="15.6" customHeight="1" x14ac:dyDescent="0.3">
      <c r="M74" s="20">
        <f t="shared" si="27"/>
        <v>44</v>
      </c>
      <c r="N74" s="21">
        <f t="shared" si="28"/>
        <v>0.76999999999999968</v>
      </c>
      <c r="O74" s="22">
        <f t="shared" ca="1" si="1"/>
        <v>120.74324686044284</v>
      </c>
      <c r="P74" s="23">
        <f t="shared" ca="1" si="2"/>
        <v>-1</v>
      </c>
      <c r="Q74" s="22" t="e">
        <f t="shared" ca="1" si="3"/>
        <v>#VALUE!</v>
      </c>
      <c r="R74" s="23">
        <f t="shared" ca="1" si="4"/>
        <v>-1</v>
      </c>
      <c r="S74" s="24" t="e">
        <f t="shared" ca="1" si="5"/>
        <v>#VALUE!</v>
      </c>
      <c r="T74" s="23">
        <f t="shared" ca="1" si="6"/>
        <v>-1</v>
      </c>
      <c r="U74" s="112">
        <f t="shared" si="17"/>
        <v>1.9892555590666664E-2</v>
      </c>
      <c r="V74" s="109">
        <f t="shared" si="18"/>
        <v>-1.9892555590666664E-2</v>
      </c>
      <c r="W74" s="112">
        <f t="shared" si="19"/>
        <v>1.9892555590666664E-2</v>
      </c>
      <c r="X74" s="113">
        <f t="shared" si="20"/>
        <v>-1.9892555590666664E-2</v>
      </c>
      <c r="Y74" s="32"/>
      <c r="Z74" s="32"/>
      <c r="AA74" s="32"/>
      <c r="AB74" s="32"/>
      <c r="AC74" s="32"/>
      <c r="AD74" s="32"/>
      <c r="AE74" s="32"/>
      <c r="AG74" s="26">
        <f t="shared" si="7"/>
        <v>0</v>
      </c>
      <c r="AH74" s="27">
        <f t="shared" si="8"/>
        <v>4.9863242298234044E-2</v>
      </c>
      <c r="AI74" s="28">
        <f t="shared" si="21"/>
        <v>1.9892555590666664E-2</v>
      </c>
      <c r="AJ74" s="27">
        <f t="shared" si="9"/>
        <v>1.9892555590666664E-2</v>
      </c>
      <c r="AK74" s="28">
        <f t="shared" si="10"/>
        <v>4.5339342047355348E-3</v>
      </c>
      <c r="AL74" s="27">
        <f t="shared" si="11"/>
        <v>1.9892555590666664E-2</v>
      </c>
      <c r="AM74" s="28">
        <f t="shared" si="22"/>
        <v>1.9892555590666664E-2</v>
      </c>
      <c r="AN74" s="27">
        <f t="shared" si="23"/>
        <v>-1.9892555590666664E-2</v>
      </c>
      <c r="AO74" s="28">
        <f t="shared" si="12"/>
        <v>-1.9892555590666664E-2</v>
      </c>
      <c r="AP74" s="27">
        <f t="shared" si="13"/>
        <v>-4.5339342047355348E-3</v>
      </c>
      <c r="AQ74" s="29">
        <f t="shared" si="14"/>
        <v>-1.9892555590666664E-2</v>
      </c>
      <c r="AS74" s="30">
        <f t="shared" si="15"/>
        <v>0.97716476241104933</v>
      </c>
      <c r="AT74" s="21">
        <f t="shared" si="16"/>
        <v>5.6824438364533547</v>
      </c>
      <c r="AU74" s="31">
        <f t="shared" ca="1" si="29"/>
        <v>3.867594300226429E-4</v>
      </c>
      <c r="AV74" s="109">
        <f t="shared" ca="1" si="24"/>
        <v>3.8958238279951374E-4</v>
      </c>
      <c r="AW74" s="27" t="e">
        <f t="shared" ca="1" si="25"/>
        <v>#VALUE!</v>
      </c>
      <c r="AX74" s="29" t="e">
        <f t="shared" ca="1" si="26"/>
        <v>#VALUE!</v>
      </c>
      <c r="AY74" s="72"/>
    </row>
    <row r="75" spans="13:51" s="11" customFormat="1" ht="15.6" customHeight="1" x14ac:dyDescent="0.3">
      <c r="M75" s="20">
        <f t="shared" si="27"/>
        <v>45</v>
      </c>
      <c r="N75" s="21">
        <f t="shared" si="28"/>
        <v>0.78749999999999964</v>
      </c>
      <c r="O75" s="22">
        <f t="shared" ca="1" si="1"/>
        <v>121.06671017351418</v>
      </c>
      <c r="P75" s="23">
        <f t="shared" ca="1" si="2"/>
        <v>-1</v>
      </c>
      <c r="Q75" s="22" t="e">
        <f t="shared" ca="1" si="3"/>
        <v>#VALUE!</v>
      </c>
      <c r="R75" s="23">
        <f t="shared" ca="1" si="4"/>
        <v>-1</v>
      </c>
      <c r="S75" s="24" t="e">
        <f t="shared" ca="1" si="5"/>
        <v>#VALUE!</v>
      </c>
      <c r="T75" s="23">
        <f t="shared" ca="1" si="6"/>
        <v>-1</v>
      </c>
      <c r="U75" s="112">
        <f t="shared" si="17"/>
        <v>2.0065930897062004E-2</v>
      </c>
      <c r="V75" s="109">
        <f t="shared" si="18"/>
        <v>-2.0065930897062004E-2</v>
      </c>
      <c r="W75" s="112">
        <f t="shared" si="19"/>
        <v>2.0065930897062004E-2</v>
      </c>
      <c r="X75" s="113">
        <f t="shared" si="20"/>
        <v>-2.0065930897062004E-2</v>
      </c>
      <c r="Y75" s="32"/>
      <c r="Z75" s="32"/>
      <c r="AA75" s="32"/>
      <c r="AB75" s="32"/>
      <c r="AC75" s="32"/>
      <c r="AD75" s="32"/>
      <c r="AE75" s="32"/>
      <c r="AG75" s="26">
        <f t="shared" si="7"/>
        <v>0</v>
      </c>
      <c r="AH75" s="27">
        <f t="shared" si="8"/>
        <v>5.0297829743367412E-2</v>
      </c>
      <c r="AI75" s="28">
        <f t="shared" si="21"/>
        <v>2.0065930897062004E-2</v>
      </c>
      <c r="AJ75" s="27">
        <f t="shared" si="9"/>
        <v>2.0065930897062004E-2</v>
      </c>
      <c r="AK75" s="28">
        <f t="shared" si="10"/>
        <v>4.5223484993974277E-3</v>
      </c>
      <c r="AL75" s="27">
        <f t="shared" si="11"/>
        <v>2.0065930897062004E-2</v>
      </c>
      <c r="AM75" s="28">
        <f t="shared" si="22"/>
        <v>2.0065930897062004E-2</v>
      </c>
      <c r="AN75" s="27">
        <f t="shared" si="23"/>
        <v>-2.0065930897062004E-2</v>
      </c>
      <c r="AO75" s="28">
        <f t="shared" si="12"/>
        <v>-2.0065930897062004E-2</v>
      </c>
      <c r="AP75" s="27">
        <f t="shared" si="13"/>
        <v>-4.5223484993974277E-3</v>
      </c>
      <c r="AQ75" s="29">
        <f t="shared" si="14"/>
        <v>-2.0065930897062004E-2</v>
      </c>
      <c r="AS75" s="30">
        <f t="shared" si="15"/>
        <v>0.97665188555273896</v>
      </c>
      <c r="AT75" s="21">
        <f t="shared" si="16"/>
        <v>5.6679233081623339</v>
      </c>
      <c r="AU75" s="31">
        <f t="shared" ca="1" si="29"/>
        <v>3.8847801431152185E-4</v>
      </c>
      <c r="AV75" s="109">
        <f t="shared" ca="1" si="24"/>
        <v>3.9129847735674961E-4</v>
      </c>
      <c r="AW75" s="27" t="e">
        <f t="shared" ca="1" si="25"/>
        <v>#VALUE!</v>
      </c>
      <c r="AX75" s="29" t="e">
        <f t="shared" ca="1" si="26"/>
        <v>#VALUE!</v>
      </c>
      <c r="AY75" s="72"/>
    </row>
    <row r="76" spans="13:51" s="11" customFormat="1" ht="15.6" customHeight="1" x14ac:dyDescent="0.3">
      <c r="M76" s="20">
        <f t="shared" si="27"/>
        <v>46</v>
      </c>
      <c r="N76" s="21">
        <f t="shared" si="28"/>
        <v>0.8049999999999996</v>
      </c>
      <c r="O76" s="22">
        <f t="shared" ca="1" si="1"/>
        <v>121.39027316610664</v>
      </c>
      <c r="P76" s="23">
        <f t="shared" ca="1" si="2"/>
        <v>-1</v>
      </c>
      <c r="Q76" s="22" t="e">
        <f t="shared" ca="1" si="3"/>
        <v>#VALUE!</v>
      </c>
      <c r="R76" s="23">
        <f t="shared" ca="1" si="4"/>
        <v>-1</v>
      </c>
      <c r="S76" s="24" t="e">
        <f t="shared" ca="1" si="5"/>
        <v>#VALUE!</v>
      </c>
      <c r="T76" s="23">
        <f t="shared" ca="1" si="6"/>
        <v>-1</v>
      </c>
      <c r="U76" s="112">
        <f t="shared" si="17"/>
        <v>2.023565881537652E-2</v>
      </c>
      <c r="V76" s="109">
        <f t="shared" si="18"/>
        <v>-2.023565881537652E-2</v>
      </c>
      <c r="W76" s="112">
        <f t="shared" si="19"/>
        <v>2.023565881537652E-2</v>
      </c>
      <c r="X76" s="113">
        <f t="shared" si="20"/>
        <v>-2.023565881537652E-2</v>
      </c>
      <c r="Y76" s="32"/>
      <c r="Z76" s="32"/>
      <c r="AA76" s="32"/>
      <c r="AB76" s="32"/>
      <c r="AC76" s="32"/>
      <c r="AD76" s="32"/>
      <c r="AE76" s="32"/>
      <c r="AG76" s="26">
        <f t="shared" si="7"/>
        <v>0</v>
      </c>
      <c r="AH76" s="27">
        <f t="shared" si="8"/>
        <v>5.0723274542408839E-2</v>
      </c>
      <c r="AI76" s="28">
        <f t="shared" si="21"/>
        <v>2.023565881537652E-2</v>
      </c>
      <c r="AJ76" s="27">
        <f t="shared" si="9"/>
        <v>2.023565881537652E-2</v>
      </c>
      <c r="AK76" s="28">
        <f t="shared" si="10"/>
        <v>4.5107567099670846E-3</v>
      </c>
      <c r="AL76" s="27">
        <f t="shared" si="11"/>
        <v>2.023565881537652E-2</v>
      </c>
      <c r="AM76" s="28">
        <f t="shared" si="22"/>
        <v>2.023565881537652E-2</v>
      </c>
      <c r="AN76" s="27">
        <f t="shared" si="23"/>
        <v>-2.023565881537652E-2</v>
      </c>
      <c r="AO76" s="28">
        <f t="shared" si="12"/>
        <v>-2.023565881537652E-2</v>
      </c>
      <c r="AP76" s="27">
        <f t="shared" si="13"/>
        <v>-4.5107567099670846E-3</v>
      </c>
      <c r="AQ76" s="29">
        <f t="shared" si="14"/>
        <v>-2.023565881537652E-2</v>
      </c>
      <c r="AS76" s="30">
        <f t="shared" si="15"/>
        <v>0.9761392778841107</v>
      </c>
      <c r="AT76" s="21">
        <f t="shared" si="16"/>
        <v>5.6533951545925003</v>
      </c>
      <c r="AU76" s="31">
        <f t="shared" ca="1" si="29"/>
        <v>3.9019428951203583E-4</v>
      </c>
      <c r="AV76" s="109">
        <f t="shared" ca="1" si="24"/>
        <v>3.9301224810983637E-4</v>
      </c>
      <c r="AW76" s="27" t="e">
        <f t="shared" ca="1" si="25"/>
        <v>#VALUE!</v>
      </c>
      <c r="AX76" s="29" t="e">
        <f t="shared" ca="1" si="26"/>
        <v>#VALUE!</v>
      </c>
      <c r="AY76" s="72"/>
    </row>
    <row r="77" spans="13:51" s="11" customFormat="1" ht="15.6" customHeight="1" x14ac:dyDescent="0.3">
      <c r="M77" s="20">
        <f t="shared" si="27"/>
        <v>47</v>
      </c>
      <c r="N77" s="21">
        <f t="shared" si="28"/>
        <v>0.82249999999999956</v>
      </c>
      <c r="O77" s="22">
        <f t="shared" ca="1" si="1"/>
        <v>121.7139276293185</v>
      </c>
      <c r="P77" s="23">
        <f t="shared" ca="1" si="2"/>
        <v>-1</v>
      </c>
      <c r="Q77" s="22" t="e">
        <f t="shared" ca="1" si="3"/>
        <v>#VALUE!</v>
      </c>
      <c r="R77" s="23">
        <f t="shared" ca="1" si="4"/>
        <v>-1</v>
      </c>
      <c r="S77" s="24" t="e">
        <f t="shared" ca="1" si="5"/>
        <v>#VALUE!</v>
      </c>
      <c r="T77" s="23">
        <f t="shared" ca="1" si="6"/>
        <v>-1</v>
      </c>
      <c r="U77" s="112">
        <f t="shared" si="17"/>
        <v>2.0401837444884031E-2</v>
      </c>
      <c r="V77" s="109">
        <f t="shared" si="18"/>
        <v>-2.0401837444884031E-2</v>
      </c>
      <c r="W77" s="112">
        <f t="shared" si="19"/>
        <v>2.0401837444884031E-2</v>
      </c>
      <c r="X77" s="113">
        <f t="shared" si="20"/>
        <v>-2.0401837444884031E-2</v>
      </c>
      <c r="Y77" s="32"/>
      <c r="Z77" s="32"/>
      <c r="AA77" s="32"/>
      <c r="AB77" s="32"/>
      <c r="AC77" s="32"/>
      <c r="AD77" s="32"/>
      <c r="AE77" s="32"/>
      <c r="AG77" s="26">
        <f t="shared" si="7"/>
        <v>0</v>
      </c>
      <c r="AH77" s="27">
        <f t="shared" si="8"/>
        <v>5.1139822593771797E-2</v>
      </c>
      <c r="AI77" s="28">
        <f t="shared" si="21"/>
        <v>2.0401837444884031E-2</v>
      </c>
      <c r="AJ77" s="27">
        <f t="shared" si="9"/>
        <v>2.0401837444884031E-2</v>
      </c>
      <c r="AK77" s="28">
        <f t="shared" si="10"/>
        <v>4.4991588332495176E-3</v>
      </c>
      <c r="AL77" s="27">
        <f t="shared" si="11"/>
        <v>2.0401837444884031E-2</v>
      </c>
      <c r="AM77" s="28">
        <f t="shared" si="22"/>
        <v>2.0401837444884031E-2</v>
      </c>
      <c r="AN77" s="27">
        <f t="shared" si="23"/>
        <v>-2.0401837444884031E-2</v>
      </c>
      <c r="AO77" s="28">
        <f t="shared" si="12"/>
        <v>-2.0401837444884031E-2</v>
      </c>
      <c r="AP77" s="27">
        <f t="shared" si="13"/>
        <v>-4.4991588332495176E-3</v>
      </c>
      <c r="AQ77" s="29">
        <f t="shared" si="14"/>
        <v>-2.0401837444884031E-2</v>
      </c>
      <c r="AS77" s="30">
        <f t="shared" si="15"/>
        <v>0.97562693926387711</v>
      </c>
      <c r="AT77" s="21">
        <f t="shared" si="16"/>
        <v>5.6388593717395317</v>
      </c>
      <c r="AU77" s="31">
        <f t="shared" ca="1" si="29"/>
        <v>3.9190815275325086E-4</v>
      </c>
      <c r="AV77" s="109">
        <f t="shared" ca="1" si="24"/>
        <v>3.9472359222858522E-4</v>
      </c>
      <c r="AW77" s="27" t="e">
        <f t="shared" ca="1" si="25"/>
        <v>#VALUE!</v>
      </c>
      <c r="AX77" s="29" t="e">
        <f t="shared" ca="1" si="26"/>
        <v>#VALUE!</v>
      </c>
      <c r="AY77" s="72"/>
    </row>
    <row r="78" spans="13:51" s="11" customFormat="1" ht="15.6" customHeight="1" x14ac:dyDescent="0.3">
      <c r="M78" s="20">
        <f t="shared" si="27"/>
        <v>48</v>
      </c>
      <c r="N78" s="21">
        <f t="shared" si="28"/>
        <v>0.83999999999999952</v>
      </c>
      <c r="O78" s="22">
        <f t="shared" ca="1" si="1"/>
        <v>122.03766535424801</v>
      </c>
      <c r="P78" s="23">
        <f t="shared" ca="1" si="2"/>
        <v>-1</v>
      </c>
      <c r="Q78" s="22" t="e">
        <f t="shared" ca="1" si="3"/>
        <v>#VALUE!</v>
      </c>
      <c r="R78" s="23">
        <f t="shared" ca="1" si="4"/>
        <v>-1</v>
      </c>
      <c r="S78" s="24" t="e">
        <f t="shared" ca="1" si="5"/>
        <v>#VALUE!</v>
      </c>
      <c r="T78" s="23">
        <f t="shared" ca="1" si="6"/>
        <v>-1</v>
      </c>
      <c r="U78" s="112">
        <f t="shared" si="17"/>
        <v>2.0564559858932647E-2</v>
      </c>
      <c r="V78" s="109">
        <f t="shared" si="18"/>
        <v>-2.0564559858932647E-2</v>
      </c>
      <c r="W78" s="112">
        <f t="shared" si="19"/>
        <v>2.0564559858932647E-2</v>
      </c>
      <c r="X78" s="113">
        <f t="shared" si="20"/>
        <v>-2.0564559858932647E-2</v>
      </c>
      <c r="Y78" s="32"/>
      <c r="Z78" s="32"/>
      <c r="AA78" s="32"/>
      <c r="AB78" s="32"/>
      <c r="AC78" s="32"/>
      <c r="AD78" s="32"/>
      <c r="AE78" s="32"/>
      <c r="AG78" s="26">
        <f t="shared" si="7"/>
        <v>0</v>
      </c>
      <c r="AH78" s="27">
        <f t="shared" si="8"/>
        <v>5.1547707197742272E-2</v>
      </c>
      <c r="AI78" s="28">
        <f t="shared" si="21"/>
        <v>2.0564559858932647E-2</v>
      </c>
      <c r="AJ78" s="27">
        <f t="shared" si="9"/>
        <v>2.0564559858932647E-2</v>
      </c>
      <c r="AK78" s="28">
        <f t="shared" si="10"/>
        <v>4.4875548660480609E-3</v>
      </c>
      <c r="AL78" s="27">
        <f t="shared" si="11"/>
        <v>2.0564559858932647E-2</v>
      </c>
      <c r="AM78" s="28">
        <f t="shared" si="22"/>
        <v>2.0564559858932647E-2</v>
      </c>
      <c r="AN78" s="27">
        <f t="shared" si="23"/>
        <v>-2.0564559858932647E-2</v>
      </c>
      <c r="AO78" s="28">
        <f t="shared" si="12"/>
        <v>-2.0564559858932647E-2</v>
      </c>
      <c r="AP78" s="27">
        <f t="shared" si="13"/>
        <v>-4.4875548660480609E-3</v>
      </c>
      <c r="AQ78" s="29">
        <f t="shared" si="14"/>
        <v>-2.0564559858932647E-2</v>
      </c>
      <c r="AS78" s="30">
        <f t="shared" si="15"/>
        <v>0.97511486955082494</v>
      </c>
      <c r="AT78" s="21">
        <f t="shared" si="16"/>
        <v>5.6243159555969999</v>
      </c>
      <c r="AU78" s="31">
        <f t="shared" ca="1" si="29"/>
        <v>3.9361950137528634E-4</v>
      </c>
      <c r="AV78" s="109">
        <f t="shared" ca="1" si="24"/>
        <v>3.9643240709597016E-4</v>
      </c>
      <c r="AW78" s="27" t="e">
        <f t="shared" ca="1" si="25"/>
        <v>#VALUE!</v>
      </c>
      <c r="AX78" s="29" t="e">
        <f t="shared" ca="1" si="26"/>
        <v>#VALUE!</v>
      </c>
      <c r="AY78" s="72"/>
    </row>
    <row r="79" spans="13:51" s="11" customFormat="1" ht="15.6" customHeight="1" x14ac:dyDescent="0.3">
      <c r="M79" s="20">
        <f t="shared" si="27"/>
        <v>49</v>
      </c>
      <c r="N79" s="21">
        <f t="shared" si="28"/>
        <v>0.85749999999999948</v>
      </c>
      <c r="O79" s="22">
        <f t="shared" ca="1" si="1"/>
        <v>122.36147813199344</v>
      </c>
      <c r="P79" s="23">
        <f t="shared" ca="1" si="2"/>
        <v>-1</v>
      </c>
      <c r="Q79" s="22" t="e">
        <f t="shared" ca="1" si="3"/>
        <v>#VALUE!</v>
      </c>
      <c r="R79" s="23">
        <f t="shared" ca="1" si="4"/>
        <v>-1</v>
      </c>
      <c r="S79" s="24" t="e">
        <f t="shared" ca="1" si="5"/>
        <v>#VALUE!</v>
      </c>
      <c r="T79" s="23">
        <f t="shared" ca="1" si="6"/>
        <v>-1</v>
      </c>
      <c r="U79" s="112">
        <f t="shared" si="17"/>
        <v>2.0723914463903668E-2</v>
      </c>
      <c r="V79" s="109">
        <f t="shared" si="18"/>
        <v>-2.0723914463903668E-2</v>
      </c>
      <c r="W79" s="112">
        <f t="shared" si="19"/>
        <v>2.0723914463903668E-2</v>
      </c>
      <c r="X79" s="113">
        <f t="shared" si="20"/>
        <v>-2.0723914463903668E-2</v>
      </c>
      <c r="Y79" s="32"/>
      <c r="Z79" s="32"/>
      <c r="AA79" s="32"/>
      <c r="AB79" s="32"/>
      <c r="AC79" s="32"/>
      <c r="AD79" s="32"/>
      <c r="AE79" s="32"/>
      <c r="AG79" s="26">
        <f t="shared" si="7"/>
        <v>0</v>
      </c>
      <c r="AH79" s="27">
        <f t="shared" si="8"/>
        <v>5.1947149956255281E-2</v>
      </c>
      <c r="AI79" s="28">
        <f t="shared" si="21"/>
        <v>2.0723914463903668E-2</v>
      </c>
      <c r="AJ79" s="27">
        <f t="shared" si="9"/>
        <v>2.0723914463903668E-2</v>
      </c>
      <c r="AK79" s="28">
        <f t="shared" si="10"/>
        <v>4.4759448051643743E-3</v>
      </c>
      <c r="AL79" s="27">
        <f t="shared" si="11"/>
        <v>2.0723914463903668E-2</v>
      </c>
      <c r="AM79" s="28">
        <f t="shared" si="22"/>
        <v>2.0723914463903668E-2</v>
      </c>
      <c r="AN79" s="27">
        <f t="shared" si="23"/>
        <v>-2.0723914463903668E-2</v>
      </c>
      <c r="AO79" s="28">
        <f t="shared" si="12"/>
        <v>-2.0723914463903668E-2</v>
      </c>
      <c r="AP79" s="27">
        <f t="shared" si="13"/>
        <v>-4.4759448051643743E-3</v>
      </c>
      <c r="AQ79" s="29">
        <f t="shared" si="14"/>
        <v>-2.0723914463903668E-2</v>
      </c>
      <c r="AS79" s="30">
        <f t="shared" si="15"/>
        <v>0.97460306860381474</v>
      </c>
      <c r="AT79" s="21">
        <f t="shared" si="16"/>
        <v>5.6097649021563818</v>
      </c>
      <c r="AU79" s="31">
        <f t="shared" ca="1" si="29"/>
        <v>3.9532823293209063E-4</v>
      </c>
      <c r="AV79" s="109">
        <f t="shared" ca="1" si="24"/>
        <v>3.9813859031012644E-4</v>
      </c>
      <c r="AW79" s="27" t="e">
        <f t="shared" ca="1" si="25"/>
        <v>#VALUE!</v>
      </c>
      <c r="AX79" s="29" t="e">
        <f t="shared" ca="1" si="26"/>
        <v>#VALUE!</v>
      </c>
      <c r="AY79" s="72"/>
    </row>
    <row r="80" spans="13:51" s="11" customFormat="1" ht="15.6" customHeight="1" x14ac:dyDescent="0.3">
      <c r="M80" s="20">
        <f t="shared" si="27"/>
        <v>50</v>
      </c>
      <c r="N80" s="21">
        <f t="shared" si="28"/>
        <v>0.87499999999999944</v>
      </c>
      <c r="O80" s="22">
        <f t="shared" ca="1" si="1"/>
        <v>122.68535775365304</v>
      </c>
      <c r="P80" s="23">
        <f t="shared" ca="1" si="2"/>
        <v>-1</v>
      </c>
      <c r="Q80" s="22" t="e">
        <f t="shared" ca="1" si="3"/>
        <v>#VALUE!</v>
      </c>
      <c r="R80" s="23">
        <f t="shared" ca="1" si="4"/>
        <v>-1</v>
      </c>
      <c r="S80" s="24" t="e">
        <f t="shared" ca="1" si="5"/>
        <v>#VALUE!</v>
      </c>
      <c r="T80" s="23">
        <f t="shared" ca="1" si="6"/>
        <v>-1</v>
      </c>
      <c r="U80" s="112">
        <f t="shared" si="17"/>
        <v>2.0879985325656058E-2</v>
      </c>
      <c r="V80" s="109">
        <f t="shared" si="18"/>
        <v>-2.0879985325656058E-2</v>
      </c>
      <c r="W80" s="112">
        <f t="shared" si="19"/>
        <v>2.0879985325656058E-2</v>
      </c>
      <c r="X80" s="113">
        <f t="shared" si="20"/>
        <v>-2.0879985325656058E-2</v>
      </c>
      <c r="Y80" s="32"/>
      <c r="Z80" s="32"/>
      <c r="AA80" s="32"/>
      <c r="AB80" s="32"/>
      <c r="AC80" s="32"/>
      <c r="AD80" s="32"/>
      <c r="AE80" s="32"/>
      <c r="AG80" s="26">
        <f t="shared" si="7"/>
        <v>0</v>
      </c>
      <c r="AH80" s="27">
        <f t="shared" si="8"/>
        <v>5.2338361591169849E-2</v>
      </c>
      <c r="AI80" s="28">
        <f t="shared" si="21"/>
        <v>2.0879985325656058E-2</v>
      </c>
      <c r="AJ80" s="27">
        <f t="shared" si="9"/>
        <v>2.0879985325656058E-2</v>
      </c>
      <c r="AK80" s="28">
        <f t="shared" si="10"/>
        <v>4.46432864739843E-3</v>
      </c>
      <c r="AL80" s="27">
        <f t="shared" si="11"/>
        <v>2.0879985325656058E-2</v>
      </c>
      <c r="AM80" s="28">
        <f t="shared" si="22"/>
        <v>2.0879985325656058E-2</v>
      </c>
      <c r="AN80" s="27">
        <f t="shared" si="23"/>
        <v>-2.0879985325656058E-2</v>
      </c>
      <c r="AO80" s="28">
        <f t="shared" si="12"/>
        <v>-2.0879985325656058E-2</v>
      </c>
      <c r="AP80" s="27">
        <f t="shared" si="13"/>
        <v>-4.46432864739843E-3</v>
      </c>
      <c r="AQ80" s="29">
        <f t="shared" si="14"/>
        <v>-2.0879985325656058E-2</v>
      </c>
      <c r="AS80" s="30">
        <f t="shared" si="15"/>
        <v>0.97409153628178158</v>
      </c>
      <c r="AT80" s="21">
        <f t="shared" si="16"/>
        <v>5.5952062074070366</v>
      </c>
      <c r="AU80" s="31">
        <f t="shared" ca="1" si="29"/>
        <v>3.9703424519377251E-4</v>
      </c>
      <c r="AV80" s="109">
        <f t="shared" ca="1" si="24"/>
        <v>3.998420396863489E-4</v>
      </c>
      <c r="AW80" s="27" t="e">
        <f t="shared" ca="1" si="25"/>
        <v>#VALUE!</v>
      </c>
      <c r="AX80" s="29" t="e">
        <f t="shared" ca="1" si="26"/>
        <v>#VALUE!</v>
      </c>
      <c r="AY80" s="72"/>
    </row>
    <row r="81" spans="13:51" s="11" customFormat="1" ht="15.6" customHeight="1" x14ac:dyDescent="0.3">
      <c r="M81" s="20">
        <f t="shared" si="27"/>
        <v>51</v>
      </c>
      <c r="N81" s="21">
        <f t="shared" si="28"/>
        <v>0.8924999999999994</v>
      </c>
      <c r="O81" s="22">
        <f t="shared" ca="1" si="1"/>
        <v>123.00929601032506</v>
      </c>
      <c r="P81" s="23">
        <f t="shared" ca="1" si="2"/>
        <v>-1</v>
      </c>
      <c r="Q81" s="22" t="e">
        <f t="shared" ca="1" si="3"/>
        <v>#VALUE!</v>
      </c>
      <c r="R81" s="23">
        <f t="shared" ca="1" si="4"/>
        <v>-1</v>
      </c>
      <c r="S81" s="24" t="e">
        <f t="shared" ca="1" si="5"/>
        <v>#VALUE!</v>
      </c>
      <c r="T81" s="23">
        <f t="shared" ca="1" si="6"/>
        <v>-1</v>
      </c>
      <c r="U81" s="112">
        <f t="shared" si="17"/>
        <v>2.1032852466996238E-2</v>
      </c>
      <c r="V81" s="109">
        <f t="shared" si="18"/>
        <v>-2.1032852466996238E-2</v>
      </c>
      <c r="W81" s="112">
        <f t="shared" si="19"/>
        <v>2.1032852466996238E-2</v>
      </c>
      <c r="X81" s="113">
        <f t="shared" si="20"/>
        <v>-2.1032852466996238E-2</v>
      </c>
      <c r="Y81" s="32"/>
      <c r="Z81" s="32"/>
      <c r="AA81" s="32"/>
      <c r="AB81" s="32"/>
      <c r="AC81" s="32"/>
      <c r="AD81" s="32"/>
      <c r="AE81" s="32"/>
      <c r="AG81" s="26">
        <f t="shared" si="7"/>
        <v>0</v>
      </c>
      <c r="AH81" s="27">
        <f t="shared" si="8"/>
        <v>5.2721542689915156E-2</v>
      </c>
      <c r="AI81" s="28">
        <f t="shared" si="21"/>
        <v>2.1032852466996238E-2</v>
      </c>
      <c r="AJ81" s="27">
        <f t="shared" si="9"/>
        <v>2.1032852466996238E-2</v>
      </c>
      <c r="AK81" s="28">
        <f t="shared" si="10"/>
        <v>4.452706389548527E-3</v>
      </c>
      <c r="AL81" s="27">
        <f t="shared" si="11"/>
        <v>2.1032852466996238E-2</v>
      </c>
      <c r="AM81" s="28">
        <f t="shared" si="22"/>
        <v>2.1032852466996238E-2</v>
      </c>
      <c r="AN81" s="27">
        <f t="shared" si="23"/>
        <v>-2.1032852466996238E-2</v>
      </c>
      <c r="AO81" s="28">
        <f t="shared" si="12"/>
        <v>-2.1032852466996238E-2</v>
      </c>
      <c r="AP81" s="27">
        <f t="shared" si="13"/>
        <v>-4.4527063895485278E-3</v>
      </c>
      <c r="AQ81" s="29">
        <f t="shared" si="14"/>
        <v>-2.1032852466996238E-2</v>
      </c>
      <c r="AS81" s="30">
        <f t="shared" si="15"/>
        <v>0.97358027244373413</v>
      </c>
      <c r="AT81" s="21">
        <f t="shared" si="16"/>
        <v>5.5806398673362274</v>
      </c>
      <c r="AU81" s="31">
        <f t="shared" ca="1" si="29"/>
        <v>3.9873743614915469E-4</v>
      </c>
      <c r="AV81" s="109">
        <f t="shared" ca="1" si="24"/>
        <v>4.0154265326064476E-4</v>
      </c>
      <c r="AW81" s="27" t="e">
        <f t="shared" ca="1" si="25"/>
        <v>#VALUE!</v>
      </c>
      <c r="AX81" s="29" t="e">
        <f t="shared" ca="1" si="26"/>
        <v>#VALUE!</v>
      </c>
      <c r="AY81" s="72"/>
    </row>
    <row r="82" spans="13:51" s="11" customFormat="1" ht="15.6" customHeight="1" x14ac:dyDescent="0.3">
      <c r="M82" s="20">
        <f t="shared" si="27"/>
        <v>52</v>
      </c>
      <c r="N82" s="21">
        <f t="shared" si="28"/>
        <v>0.90999999999999936</v>
      </c>
      <c r="O82" s="22">
        <f t="shared" ca="1" si="1"/>
        <v>123.3332846931078</v>
      </c>
      <c r="P82" s="23">
        <f t="shared" ca="1" si="2"/>
        <v>-1</v>
      </c>
      <c r="Q82" s="22" t="e">
        <f t="shared" ca="1" si="3"/>
        <v>#VALUE!</v>
      </c>
      <c r="R82" s="23">
        <f t="shared" ca="1" si="4"/>
        <v>-1</v>
      </c>
      <c r="S82" s="24" t="e">
        <f t="shared" ca="1" si="5"/>
        <v>#VALUE!</v>
      </c>
      <c r="T82" s="23">
        <f t="shared" ca="1" si="6"/>
        <v>-1</v>
      </c>
      <c r="U82" s="112">
        <f t="shared" si="17"/>
        <v>2.1182592139264992E-2</v>
      </c>
      <c r="V82" s="109">
        <f t="shared" si="18"/>
        <v>-2.1182592139264992E-2</v>
      </c>
      <c r="W82" s="112">
        <f t="shared" si="19"/>
        <v>2.1182592139264992E-2</v>
      </c>
      <c r="X82" s="113">
        <f t="shared" si="20"/>
        <v>-2.1182592139264992E-2</v>
      </c>
      <c r="Y82" s="32"/>
      <c r="Z82" s="32"/>
      <c r="AA82" s="32"/>
      <c r="AB82" s="32"/>
      <c r="AC82" s="32"/>
      <c r="AD82" s="32"/>
      <c r="AE82" s="32"/>
      <c r="AG82" s="26">
        <f t="shared" si="7"/>
        <v>0</v>
      </c>
      <c r="AH82" s="27">
        <f t="shared" si="8"/>
        <v>5.3096884386257995E-2</v>
      </c>
      <c r="AI82" s="28">
        <f t="shared" si="21"/>
        <v>2.1182592139264992E-2</v>
      </c>
      <c r="AJ82" s="27">
        <f t="shared" si="9"/>
        <v>2.1182592139264992E-2</v>
      </c>
      <c r="AK82" s="28">
        <f t="shared" si="10"/>
        <v>4.4410780284112796E-3</v>
      </c>
      <c r="AL82" s="27">
        <f t="shared" si="11"/>
        <v>2.1182592139264992E-2</v>
      </c>
      <c r="AM82" s="28">
        <f t="shared" si="22"/>
        <v>2.1182592139264992E-2</v>
      </c>
      <c r="AN82" s="27">
        <f t="shared" si="23"/>
        <v>-2.1182592139264992E-2</v>
      </c>
      <c r="AO82" s="28">
        <f t="shared" si="12"/>
        <v>-2.1182592139264992E-2</v>
      </c>
      <c r="AP82" s="27">
        <f t="shared" si="13"/>
        <v>-4.4410780284112805E-3</v>
      </c>
      <c r="AQ82" s="29">
        <f t="shared" si="14"/>
        <v>-2.1182592139264992E-2</v>
      </c>
      <c r="AS82" s="30">
        <f t="shared" si="15"/>
        <v>0.97306927694875556</v>
      </c>
      <c r="AT82" s="21">
        <f t="shared" si="16"/>
        <v>5.5660658779291055</v>
      </c>
      <c r="AU82" s="31">
        <f t="shared" ca="1" si="29"/>
        <v>4.004377040081053E-4</v>
      </c>
      <c r="AV82" s="109">
        <f t="shared" ca="1" si="24"/>
        <v>4.0324032929139886E-4</v>
      </c>
      <c r="AW82" s="27" t="e">
        <f t="shared" ca="1" si="25"/>
        <v>#VALUE!</v>
      </c>
      <c r="AX82" s="29" t="e">
        <f t="shared" ca="1" si="26"/>
        <v>#VALUE!</v>
      </c>
      <c r="AY82" s="72"/>
    </row>
    <row r="83" spans="13:51" s="11" customFormat="1" ht="15.6" customHeight="1" x14ac:dyDescent="0.3">
      <c r="M83" s="20">
        <f t="shared" si="27"/>
        <v>53</v>
      </c>
      <c r="N83" s="21">
        <f t="shared" si="28"/>
        <v>0.92749999999999932</v>
      </c>
      <c r="O83" s="22">
        <f t="shared" ca="1" si="1"/>
        <v>123.65731559309947</v>
      </c>
      <c r="P83" s="23">
        <f t="shared" ca="1" si="2"/>
        <v>-1</v>
      </c>
      <c r="Q83" s="22" t="e">
        <f t="shared" ca="1" si="3"/>
        <v>#VALUE!</v>
      </c>
      <c r="R83" s="23">
        <f t="shared" ca="1" si="4"/>
        <v>-1</v>
      </c>
      <c r="S83" s="24" t="e">
        <f t="shared" ca="1" si="5"/>
        <v>#VALUE!</v>
      </c>
      <c r="T83" s="23">
        <f t="shared" ca="1" si="6"/>
        <v>-1</v>
      </c>
      <c r="U83" s="112">
        <f t="shared" si="17"/>
        <v>2.1329277070750611E-2</v>
      </c>
      <c r="V83" s="109">
        <f t="shared" si="18"/>
        <v>-2.1329277070750611E-2</v>
      </c>
      <c r="W83" s="112">
        <f t="shared" si="19"/>
        <v>2.1329277070750611E-2</v>
      </c>
      <c r="X83" s="113">
        <f t="shared" si="20"/>
        <v>-2.1329277070750611E-2</v>
      </c>
      <c r="Y83" s="32"/>
      <c r="Z83" s="32"/>
      <c r="AA83" s="32"/>
      <c r="AB83" s="32"/>
      <c r="AC83" s="32"/>
      <c r="AD83" s="32"/>
      <c r="AE83" s="32"/>
      <c r="AG83" s="26">
        <f t="shared" si="7"/>
        <v>0</v>
      </c>
      <c r="AH83" s="27">
        <f t="shared" si="8"/>
        <v>5.3464568982982165E-2</v>
      </c>
      <c r="AI83" s="28">
        <f t="shared" si="21"/>
        <v>2.1329277070750611E-2</v>
      </c>
      <c r="AJ83" s="27">
        <f t="shared" si="9"/>
        <v>2.1329277070750611E-2</v>
      </c>
      <c r="AK83" s="28">
        <f t="shared" si="10"/>
        <v>4.4294435607816224E-3</v>
      </c>
      <c r="AL83" s="27">
        <f t="shared" si="11"/>
        <v>2.1329277070750611E-2</v>
      </c>
      <c r="AM83" s="28">
        <f t="shared" si="22"/>
        <v>2.1329277070750611E-2</v>
      </c>
      <c r="AN83" s="27">
        <f t="shared" si="23"/>
        <v>-2.1329277070750611E-2</v>
      </c>
      <c r="AO83" s="28">
        <f t="shared" si="12"/>
        <v>-2.1329277070750611E-2</v>
      </c>
      <c r="AP83" s="27">
        <f t="shared" si="13"/>
        <v>-4.4294435607816224E-3</v>
      </c>
      <c r="AQ83" s="29">
        <f t="shared" si="14"/>
        <v>-2.1329277070750611E-2</v>
      </c>
      <c r="AS83" s="30">
        <f t="shared" si="15"/>
        <v>0.97255854965600264</v>
      </c>
      <c r="AT83" s="21">
        <f t="shared" si="16"/>
        <v>5.5514842351687168</v>
      </c>
      <c r="AU83" s="31">
        <f t="shared" ca="1" si="29"/>
        <v>4.0213494720431342E-4</v>
      </c>
      <c r="AV83" s="109">
        <f t="shared" ca="1" si="24"/>
        <v>4.0493496626192726E-4</v>
      </c>
      <c r="AW83" s="27" t="e">
        <f t="shared" ca="1" si="25"/>
        <v>#VALUE!</v>
      </c>
      <c r="AX83" s="29" t="e">
        <f t="shared" ca="1" si="26"/>
        <v>#VALUE!</v>
      </c>
      <c r="AY83" s="72"/>
    </row>
    <row r="84" spans="13:51" s="11" customFormat="1" ht="15.6" customHeight="1" x14ac:dyDescent="0.3">
      <c r="M84" s="20">
        <f t="shared" si="27"/>
        <v>54</v>
      </c>
      <c r="N84" s="21">
        <f t="shared" si="28"/>
        <v>0.94499999999999929</v>
      </c>
      <c r="O84" s="22">
        <f t="shared" ca="1" si="1"/>
        <v>123.98138050139835</v>
      </c>
      <c r="P84" s="23">
        <f t="shared" ca="1" si="2"/>
        <v>-1</v>
      </c>
      <c r="Q84" s="22" t="e">
        <f t="shared" ca="1" si="3"/>
        <v>#VALUE!</v>
      </c>
      <c r="R84" s="23">
        <f t="shared" ca="1" si="4"/>
        <v>-1</v>
      </c>
      <c r="S84" s="24" t="e">
        <f t="shared" ca="1" si="5"/>
        <v>#VALUE!</v>
      </c>
      <c r="T84" s="23">
        <f t="shared" ca="1" si="6"/>
        <v>-1</v>
      </c>
      <c r="U84" s="112">
        <f t="shared" si="17"/>
        <v>2.1472976694307679E-2</v>
      </c>
      <c r="V84" s="109">
        <f t="shared" si="18"/>
        <v>-2.1472976694307679E-2</v>
      </c>
      <c r="W84" s="112">
        <f t="shared" si="19"/>
        <v>2.1472976694307679E-2</v>
      </c>
      <c r="X84" s="113">
        <f t="shared" si="20"/>
        <v>-2.1472976694307679E-2</v>
      </c>
      <c r="Y84" s="32"/>
      <c r="Z84" s="32"/>
      <c r="AA84" s="32"/>
      <c r="AB84" s="32"/>
      <c r="AC84" s="32"/>
      <c r="AD84" s="32"/>
      <c r="AE84" s="32"/>
      <c r="AG84" s="26">
        <f t="shared" si="7"/>
        <v>0</v>
      </c>
      <c r="AH84" s="27">
        <f t="shared" si="8"/>
        <v>5.3824770522444138E-2</v>
      </c>
      <c r="AI84" s="28">
        <f t="shared" si="21"/>
        <v>2.1472976694307679E-2</v>
      </c>
      <c r="AJ84" s="27">
        <f t="shared" si="9"/>
        <v>2.1472976694307679E-2</v>
      </c>
      <c r="AK84" s="28">
        <f t="shared" si="10"/>
        <v>4.4178029834528029E-3</v>
      </c>
      <c r="AL84" s="27">
        <f t="shared" si="11"/>
        <v>2.1472976694307679E-2</v>
      </c>
      <c r="AM84" s="28">
        <f t="shared" si="22"/>
        <v>2.1472976694307679E-2</v>
      </c>
      <c r="AN84" s="27">
        <f t="shared" si="23"/>
        <v>-2.1472976694307679E-2</v>
      </c>
      <c r="AO84" s="28">
        <f t="shared" si="12"/>
        <v>-2.1472976694307679E-2</v>
      </c>
      <c r="AP84" s="27">
        <f t="shared" si="13"/>
        <v>-4.4178029834528038E-3</v>
      </c>
      <c r="AQ84" s="29">
        <f t="shared" si="14"/>
        <v>-2.1472976694307679E-2</v>
      </c>
      <c r="AS84" s="30">
        <f t="shared" si="15"/>
        <v>0.97204809042470608</v>
      </c>
      <c r="AT84" s="21">
        <f t="shared" si="16"/>
        <v>5.5368949350359928</v>
      </c>
      <c r="AU84" s="31">
        <f t="shared" ca="1" si="29"/>
        <v>4.0382906439784261E-4</v>
      </c>
      <c r="AV84" s="109">
        <f t="shared" ca="1" si="24"/>
        <v>4.066264628839189E-4</v>
      </c>
      <c r="AW84" s="27" t="e">
        <f t="shared" ca="1" si="25"/>
        <v>#VALUE!</v>
      </c>
      <c r="AX84" s="29" t="e">
        <f t="shared" ca="1" si="26"/>
        <v>#VALUE!</v>
      </c>
      <c r="AY84" s="72"/>
    </row>
    <row r="85" spans="13:51" s="11" customFormat="1" ht="15.6" customHeight="1" x14ac:dyDescent="0.3">
      <c r="M85" s="20">
        <f t="shared" si="27"/>
        <v>55</v>
      </c>
      <c r="N85" s="21">
        <f t="shared" si="28"/>
        <v>0.96249999999999925</v>
      </c>
      <c r="O85" s="22">
        <f t="shared" ca="1" si="1"/>
        <v>124.30546357970819</v>
      </c>
      <c r="P85" s="23">
        <f t="shared" ca="1" si="2"/>
        <v>-1</v>
      </c>
      <c r="Q85" s="22" t="e">
        <f t="shared" ca="1" si="3"/>
        <v>#VALUE!</v>
      </c>
      <c r="R85" s="23">
        <f t="shared" ca="1" si="4"/>
        <v>-1</v>
      </c>
      <c r="S85" s="24" t="e">
        <f t="shared" ca="1" si="5"/>
        <v>#VALUE!</v>
      </c>
      <c r="T85" s="23">
        <f t="shared" ca="1" si="6"/>
        <v>-1</v>
      </c>
      <c r="U85" s="112">
        <f t="shared" si="17"/>
        <v>2.1613757356277147E-2</v>
      </c>
      <c r="V85" s="109">
        <f t="shared" si="18"/>
        <v>-2.1613757356277147E-2</v>
      </c>
      <c r="W85" s="112">
        <f t="shared" si="19"/>
        <v>2.1613757356277147E-2</v>
      </c>
      <c r="X85" s="113">
        <f t="shared" si="20"/>
        <v>-2.1613757356277147E-2</v>
      </c>
      <c r="Y85" s="32"/>
      <c r="Z85" s="32"/>
      <c r="AA85" s="32"/>
      <c r="AB85" s="32"/>
      <c r="AC85" s="32"/>
      <c r="AD85" s="32"/>
      <c r="AE85" s="32"/>
      <c r="AG85" s="26">
        <f t="shared" si="7"/>
        <v>0</v>
      </c>
      <c r="AH85" s="27">
        <f t="shared" si="8"/>
        <v>5.4177655310258074E-2</v>
      </c>
      <c r="AI85" s="28">
        <f t="shared" si="21"/>
        <v>2.1613757356277147E-2</v>
      </c>
      <c r="AJ85" s="27">
        <f t="shared" si="9"/>
        <v>2.1613757356277147E-2</v>
      </c>
      <c r="AK85" s="28">
        <f t="shared" si="10"/>
        <v>4.4061562932163892E-3</v>
      </c>
      <c r="AL85" s="27">
        <f t="shared" si="11"/>
        <v>2.1613757356277147E-2</v>
      </c>
      <c r="AM85" s="28">
        <f t="shared" si="22"/>
        <v>2.1613757356277147E-2</v>
      </c>
      <c r="AN85" s="27">
        <f t="shared" si="23"/>
        <v>-2.1613757356277147E-2</v>
      </c>
      <c r="AO85" s="28">
        <f t="shared" si="12"/>
        <v>-2.1613757356277147E-2</v>
      </c>
      <c r="AP85" s="27">
        <f t="shared" si="13"/>
        <v>-4.4061562932163892E-3</v>
      </c>
      <c r="AQ85" s="29">
        <f t="shared" si="14"/>
        <v>-2.1613757356277147E-2</v>
      </c>
      <c r="AS85" s="30">
        <f t="shared" si="15"/>
        <v>0.97153789911417054</v>
      </c>
      <c r="AT85" s="21">
        <f t="shared" si="16"/>
        <v>5.5222979735097599</v>
      </c>
      <c r="AU85" s="31">
        <f t="shared" ca="1" si="29"/>
        <v>4.0551875475836052E-4</v>
      </c>
      <c r="AV85" s="109">
        <f t="shared" ca="1" si="24"/>
        <v>4.0831351857195664E-4</v>
      </c>
      <c r="AW85" s="27" t="e">
        <f t="shared" ca="1" si="25"/>
        <v>#VALUE!</v>
      </c>
      <c r="AX85" s="29" t="e">
        <f t="shared" ca="1" si="26"/>
        <v>#VALUE!</v>
      </c>
      <c r="AY85" s="72"/>
    </row>
    <row r="86" spans="13:51" s="11" customFormat="1" ht="15.6" customHeight="1" x14ac:dyDescent="0.3">
      <c r="M86" s="20">
        <f t="shared" si="27"/>
        <v>56</v>
      </c>
      <c r="N86" s="21">
        <f t="shared" si="28"/>
        <v>0.97999999999999921</v>
      </c>
      <c r="O86" s="22">
        <f t="shared" ca="1" si="1"/>
        <v>124.62957950731081</v>
      </c>
      <c r="P86" s="23">
        <f t="shared" ca="1" si="2"/>
        <v>-1</v>
      </c>
      <c r="Q86" s="22" t="e">
        <f t="shared" ca="1" si="3"/>
        <v>#VALUE!</v>
      </c>
      <c r="R86" s="23">
        <f t="shared" ca="1" si="4"/>
        <v>-1</v>
      </c>
      <c r="S86" s="24" t="e">
        <f t="shared" ca="1" si="5"/>
        <v>#VALUE!</v>
      </c>
      <c r="T86" s="23">
        <f t="shared" ca="1" si="6"/>
        <v>-1</v>
      </c>
      <c r="U86" s="112">
        <f t="shared" si="17"/>
        <v>2.1751682508557614E-2</v>
      </c>
      <c r="V86" s="109">
        <f t="shared" si="18"/>
        <v>-2.1751682508557614E-2</v>
      </c>
      <c r="W86" s="112">
        <f t="shared" si="19"/>
        <v>2.1751682508557614E-2</v>
      </c>
      <c r="X86" s="113">
        <f t="shared" si="20"/>
        <v>-2.1751682508557614E-2</v>
      </c>
      <c r="Y86" s="32"/>
      <c r="Z86" s="32"/>
      <c r="AA86" s="32"/>
      <c r="AB86" s="32"/>
      <c r="AC86" s="32"/>
      <c r="AD86" s="32"/>
      <c r="AE86" s="32"/>
      <c r="AG86" s="26">
        <f t="shared" si="7"/>
        <v>0</v>
      </c>
      <c r="AH86" s="27">
        <f t="shared" si="8"/>
        <v>5.4523382396747082E-2</v>
      </c>
      <c r="AI86" s="28">
        <f t="shared" si="21"/>
        <v>2.1751682508557614E-2</v>
      </c>
      <c r="AJ86" s="27">
        <f t="shared" si="9"/>
        <v>2.1751682508557614E-2</v>
      </c>
      <c r="AK86" s="28">
        <f t="shared" si="10"/>
        <v>4.394503486862259E-3</v>
      </c>
      <c r="AL86" s="27">
        <f t="shared" si="11"/>
        <v>2.1751682508557614E-2</v>
      </c>
      <c r="AM86" s="28">
        <f t="shared" si="22"/>
        <v>2.1751682508557614E-2</v>
      </c>
      <c r="AN86" s="27">
        <f t="shared" si="23"/>
        <v>-2.1751682508557614E-2</v>
      </c>
      <c r="AO86" s="28">
        <f t="shared" si="12"/>
        <v>-2.1751682508557614E-2</v>
      </c>
      <c r="AP86" s="27">
        <f t="shared" si="13"/>
        <v>-4.3945034868622598E-3</v>
      </c>
      <c r="AQ86" s="29">
        <f t="shared" si="14"/>
        <v>-2.1751682508557614E-2</v>
      </c>
      <c r="AS86" s="30">
        <f t="shared" si="15"/>
        <v>0.97102797558377463</v>
      </c>
      <c r="AT86" s="21">
        <f t="shared" si="16"/>
        <v>5.5076933465667297</v>
      </c>
      <c r="AU86" s="31">
        <f t="shared" ca="1" si="29"/>
        <v>4.0720871628041611E-4</v>
      </c>
      <c r="AV86" s="109">
        <f t="shared" ca="1" si="24"/>
        <v>4.1000083060505066E-4</v>
      </c>
      <c r="AW86" s="27" t="e">
        <f t="shared" ca="1" si="25"/>
        <v>#VALUE!</v>
      </c>
      <c r="AX86" s="29" t="e">
        <f t="shared" ca="1" si="26"/>
        <v>#VALUE!</v>
      </c>
      <c r="AY86" s="72"/>
    </row>
    <row r="87" spans="13:51" s="11" customFormat="1" ht="15.6" customHeight="1" x14ac:dyDescent="0.3">
      <c r="M87" s="20">
        <f t="shared" si="27"/>
        <v>57</v>
      </c>
      <c r="N87" s="21">
        <f t="shared" si="28"/>
        <v>0.99749999999999917</v>
      </c>
      <c r="O87" s="22">
        <f t="shared" ca="1" si="1"/>
        <v>124.95369718712087</v>
      </c>
      <c r="P87" s="23">
        <f t="shared" ca="1" si="2"/>
        <v>125</v>
      </c>
      <c r="Q87" s="22" t="e">
        <f t="shared" ca="1" si="3"/>
        <v>#VALUE!</v>
      </c>
      <c r="R87" s="23">
        <f t="shared" ca="1" si="4"/>
        <v>0</v>
      </c>
      <c r="S87" s="24" t="e">
        <f t="shared" ca="1" si="5"/>
        <v>#VALUE!</v>
      </c>
      <c r="T87" s="23">
        <f t="shared" ca="1" si="6"/>
        <v>0</v>
      </c>
      <c r="U87" s="112">
        <f t="shared" si="17"/>
        <v>2.1886812885465012E-2</v>
      </c>
      <c r="V87" s="109">
        <f t="shared" si="18"/>
        <v>-2.1886812885465012E-2</v>
      </c>
      <c r="W87" s="112">
        <f t="shared" si="19"/>
        <v>2.1886812885465012E-2</v>
      </c>
      <c r="X87" s="113">
        <f t="shared" si="20"/>
        <v>-2.1886812885465012E-2</v>
      </c>
      <c r="Y87" s="32"/>
      <c r="Z87" s="32"/>
      <c r="AA87" s="32"/>
      <c r="AB87" s="32"/>
      <c r="AC87" s="32"/>
      <c r="AD87" s="32"/>
      <c r="AE87" s="32"/>
      <c r="AG87" s="26">
        <f t="shared" si="7"/>
        <v>0</v>
      </c>
      <c r="AH87" s="27">
        <f t="shared" si="8"/>
        <v>5.4862104020264708E-2</v>
      </c>
      <c r="AI87" s="28">
        <f t="shared" si="21"/>
        <v>2.1886812885465012E-2</v>
      </c>
      <c r="AJ87" s="27">
        <f t="shared" si="9"/>
        <v>2.1886812885465012E-2</v>
      </c>
      <c r="AK87" s="28">
        <f t="shared" si="10"/>
        <v>4.3828445611786117E-3</v>
      </c>
      <c r="AL87" s="27">
        <f t="shared" si="11"/>
        <v>2.1886812885465012E-2</v>
      </c>
      <c r="AM87" s="28">
        <f t="shared" si="22"/>
        <v>2.1886812885465012E-2</v>
      </c>
      <c r="AN87" s="27">
        <f t="shared" si="23"/>
        <v>-2.1886812885465012E-2</v>
      </c>
      <c r="AO87" s="28">
        <f t="shared" si="12"/>
        <v>-2.1886812885465012E-2</v>
      </c>
      <c r="AP87" s="27">
        <f t="shared" si="13"/>
        <v>-4.3828445611786126E-3</v>
      </c>
      <c r="AQ87" s="29">
        <f t="shared" si="14"/>
        <v>-2.1886812885465012E-2</v>
      </c>
      <c r="AS87" s="30">
        <f t="shared" si="15"/>
        <v>0.97051831969297064</v>
      </c>
      <c r="AT87" s="21">
        <f t="shared" si="16"/>
        <v>5.4930810501815035</v>
      </c>
      <c r="AU87" s="31">
        <f t="shared" ca="1" si="29"/>
        <v>4.0889165000446148E-4</v>
      </c>
      <c r="AV87" s="109">
        <f t="shared" ca="1" si="24"/>
        <v>4.1168110123446233E-4</v>
      </c>
      <c r="AW87" s="27" t="e">
        <f t="shared" ca="1" si="25"/>
        <v>#VALUE!</v>
      </c>
      <c r="AX87" s="29" t="e">
        <f t="shared" ca="1" si="26"/>
        <v>#VALUE!</v>
      </c>
      <c r="AY87" s="72"/>
    </row>
    <row r="88" spans="13:51" s="11" customFormat="1" ht="15.6" customHeight="1" x14ac:dyDescent="0.3">
      <c r="M88" s="20">
        <f t="shared" si="27"/>
        <v>58</v>
      </c>
      <c r="N88" s="21">
        <f t="shared" si="28"/>
        <v>1.0149999999999992</v>
      </c>
      <c r="O88" s="22">
        <f t="shared" ca="1" si="1"/>
        <v>125.2778160396312</v>
      </c>
      <c r="P88" s="23">
        <f t="shared" ca="1" si="2"/>
        <v>-1</v>
      </c>
      <c r="Q88" s="22" t="e">
        <f t="shared" ca="1" si="3"/>
        <v>#VALUE!</v>
      </c>
      <c r="R88" s="23">
        <f t="shared" ca="1" si="4"/>
        <v>-1</v>
      </c>
      <c r="S88" s="24" t="e">
        <f t="shared" ca="1" si="5"/>
        <v>#VALUE!</v>
      </c>
      <c r="T88" s="23">
        <f t="shared" ca="1" si="6"/>
        <v>-1</v>
      </c>
      <c r="U88" s="112">
        <f t="shared" si="17"/>
        <v>2.201920666683272E-2</v>
      </c>
      <c r="V88" s="109">
        <f t="shared" si="18"/>
        <v>-2.201920666683272E-2</v>
      </c>
      <c r="W88" s="112">
        <f t="shared" si="19"/>
        <v>2.201920666683272E-2</v>
      </c>
      <c r="X88" s="113">
        <f t="shared" si="20"/>
        <v>-2.201920666683272E-2</v>
      </c>
      <c r="Y88" s="32"/>
      <c r="Z88" s="32"/>
      <c r="AA88" s="32"/>
      <c r="AB88" s="32"/>
      <c r="AC88" s="32"/>
      <c r="AD88" s="32"/>
      <c r="AE88" s="32"/>
      <c r="AG88" s="26">
        <f t="shared" si="7"/>
        <v>0</v>
      </c>
      <c r="AH88" s="27">
        <f t="shared" si="8"/>
        <v>5.5193966016026323E-2</v>
      </c>
      <c r="AI88" s="28">
        <f t="shared" si="21"/>
        <v>2.201920666683272E-2</v>
      </c>
      <c r="AJ88" s="27">
        <f t="shared" si="9"/>
        <v>2.201920666683272E-2</v>
      </c>
      <c r="AK88" s="28">
        <f t="shared" si="10"/>
        <v>4.3711795129519528E-3</v>
      </c>
      <c r="AL88" s="27">
        <f t="shared" si="11"/>
        <v>2.201920666683272E-2</v>
      </c>
      <c r="AM88" s="28">
        <f t="shared" si="22"/>
        <v>2.201920666683272E-2</v>
      </c>
      <c r="AN88" s="27">
        <f t="shared" si="23"/>
        <v>-2.201920666683272E-2</v>
      </c>
      <c r="AO88" s="28">
        <f t="shared" si="12"/>
        <v>-2.201920666683272E-2</v>
      </c>
      <c r="AP88" s="27">
        <f t="shared" si="13"/>
        <v>-4.3711795129519528E-3</v>
      </c>
      <c r="AQ88" s="29">
        <f t="shared" si="14"/>
        <v>-2.201920666683272E-2</v>
      </c>
      <c r="AS88" s="30">
        <f t="shared" si="15"/>
        <v>0.97000893130128463</v>
      </c>
      <c r="AT88" s="21">
        <f t="shared" si="16"/>
        <v>5.4784610803265652</v>
      </c>
      <c r="AU88" s="31">
        <f t="shared" ca="1" si="29"/>
        <v>4.10572254395003E-4</v>
      </c>
      <c r="AV88" s="109">
        <f t="shared" ca="1" si="24"/>
        <v>4.1335902821115766E-4</v>
      </c>
      <c r="AW88" s="27" t="e">
        <f t="shared" ca="1" si="25"/>
        <v>#VALUE!</v>
      </c>
      <c r="AX88" s="29" t="e">
        <f t="shared" ca="1" si="26"/>
        <v>#VALUE!</v>
      </c>
      <c r="AY88" s="72"/>
    </row>
    <row r="89" spans="13:51" s="11" customFormat="1" ht="15.6" customHeight="1" x14ac:dyDescent="0.3">
      <c r="M89" s="20">
        <f t="shared" si="27"/>
        <v>59</v>
      </c>
      <c r="N89" s="21">
        <f t="shared" si="28"/>
        <v>1.0324999999999993</v>
      </c>
      <c r="O89" s="22">
        <f t="shared" ca="1" si="1"/>
        <v>125.60192785594005</v>
      </c>
      <c r="P89" s="23">
        <f t="shared" ca="1" si="2"/>
        <v>-1</v>
      </c>
      <c r="Q89" s="22" t="e">
        <f t="shared" ca="1" si="3"/>
        <v>#VALUE!</v>
      </c>
      <c r="R89" s="23">
        <f t="shared" ca="1" si="4"/>
        <v>-1</v>
      </c>
      <c r="S89" s="24" t="e">
        <f t="shared" ca="1" si="5"/>
        <v>#VALUE!</v>
      </c>
      <c r="T89" s="23">
        <f t="shared" ca="1" si="6"/>
        <v>-1</v>
      </c>
      <c r="U89" s="112">
        <f t="shared" si="17"/>
        <v>2.2148919628642849E-2</v>
      </c>
      <c r="V89" s="109">
        <f t="shared" si="18"/>
        <v>-2.2148919628642849E-2</v>
      </c>
      <c r="W89" s="112">
        <f t="shared" si="19"/>
        <v>2.2148919628642849E-2</v>
      </c>
      <c r="X89" s="113">
        <f t="shared" si="20"/>
        <v>-2.2148919628642849E-2</v>
      </c>
      <c r="Y89" s="32"/>
      <c r="Z89" s="32"/>
      <c r="AA89" s="32"/>
      <c r="AB89" s="32"/>
      <c r="AC89" s="32"/>
      <c r="AD89" s="32"/>
      <c r="AE89" s="32"/>
      <c r="AG89" s="26">
        <f t="shared" si="7"/>
        <v>0</v>
      </c>
      <c r="AH89" s="27">
        <f t="shared" si="8"/>
        <v>5.5519108193685725E-2</v>
      </c>
      <c r="AI89" s="28">
        <f t="shared" si="21"/>
        <v>2.2148919628642849E-2</v>
      </c>
      <c r="AJ89" s="27">
        <f t="shared" si="9"/>
        <v>2.2148919628642849E-2</v>
      </c>
      <c r="AK89" s="28">
        <f t="shared" si="10"/>
        <v>4.3595083389671033E-3</v>
      </c>
      <c r="AL89" s="27">
        <f t="shared" si="11"/>
        <v>2.2148919628642849E-2</v>
      </c>
      <c r="AM89" s="28">
        <f t="shared" si="22"/>
        <v>2.2148919628642849E-2</v>
      </c>
      <c r="AN89" s="27">
        <f t="shared" si="23"/>
        <v>-2.2148919628642849E-2</v>
      </c>
      <c r="AO89" s="28">
        <f t="shared" si="12"/>
        <v>-2.2148919628642849E-2</v>
      </c>
      <c r="AP89" s="27">
        <f t="shared" si="13"/>
        <v>-4.3595083389671033E-3</v>
      </c>
      <c r="AQ89" s="29">
        <f t="shared" si="14"/>
        <v>-2.2148919628642849E-2</v>
      </c>
      <c r="AS89" s="30">
        <f t="shared" si="15"/>
        <v>0.96949981026831655</v>
      </c>
      <c r="AT89" s="21">
        <f t="shared" si="16"/>
        <v>5.463833432972284</v>
      </c>
      <c r="AU89" s="31">
        <f t="shared" ca="1" si="29"/>
        <v>4.1224922956040189E-4</v>
      </c>
      <c r="AV89" s="109">
        <f t="shared" ca="1" si="24"/>
        <v>4.1503331189518544E-4</v>
      </c>
      <c r="AW89" s="27" t="e">
        <f t="shared" ca="1" si="25"/>
        <v>#VALUE!</v>
      </c>
      <c r="AX89" s="29" t="e">
        <f t="shared" ca="1" si="26"/>
        <v>#VALUE!</v>
      </c>
      <c r="AY89" s="72"/>
    </row>
    <row r="90" spans="13:51" s="11" customFormat="1" ht="15.6" customHeight="1" x14ac:dyDescent="0.3">
      <c r="M90" s="20">
        <f t="shared" si="27"/>
        <v>60</v>
      </c>
      <c r="N90" s="21">
        <f t="shared" si="28"/>
        <v>1.0499999999999994</v>
      </c>
      <c r="O90" s="22">
        <f t="shared" ca="1" si="1"/>
        <v>125.92602442714566</v>
      </c>
      <c r="P90" s="23">
        <f t="shared" ca="1" si="2"/>
        <v>-1</v>
      </c>
      <c r="Q90" s="22" t="e">
        <f t="shared" ca="1" si="3"/>
        <v>#VALUE!</v>
      </c>
      <c r="R90" s="23">
        <f t="shared" ca="1" si="4"/>
        <v>-1</v>
      </c>
      <c r="S90" s="24" t="e">
        <f t="shared" ca="1" si="5"/>
        <v>#VALUE!</v>
      </c>
      <c r="T90" s="23">
        <f t="shared" ca="1" si="6"/>
        <v>-1</v>
      </c>
      <c r="U90" s="112">
        <f t="shared" si="17"/>
        <v>2.2276005282338418E-2</v>
      </c>
      <c r="V90" s="109">
        <f t="shared" si="18"/>
        <v>-2.2276005282338418E-2</v>
      </c>
      <c r="W90" s="112">
        <f t="shared" si="19"/>
        <v>2.2276005282338418E-2</v>
      </c>
      <c r="X90" s="113">
        <f t="shared" si="20"/>
        <v>-2.2276005282338418E-2</v>
      </c>
      <c r="Y90" s="32"/>
      <c r="Z90" s="32"/>
      <c r="AA90" s="32"/>
      <c r="AB90" s="32"/>
      <c r="AC90" s="32"/>
      <c r="AD90" s="32"/>
      <c r="AE90" s="32"/>
      <c r="AG90" s="26">
        <f t="shared" si="7"/>
        <v>0</v>
      </c>
      <c r="AH90" s="27">
        <f t="shared" si="8"/>
        <v>5.5837664686539001E-2</v>
      </c>
      <c r="AI90" s="28">
        <f t="shared" si="21"/>
        <v>2.2276005282338418E-2</v>
      </c>
      <c r="AJ90" s="27">
        <f t="shared" si="9"/>
        <v>2.2276005282338418E-2</v>
      </c>
      <c r="AK90" s="28">
        <f t="shared" si="10"/>
        <v>4.3478310360071963E-3</v>
      </c>
      <c r="AL90" s="27">
        <f t="shared" si="11"/>
        <v>2.2276005282338418E-2</v>
      </c>
      <c r="AM90" s="28">
        <f t="shared" si="22"/>
        <v>2.2276005282338418E-2</v>
      </c>
      <c r="AN90" s="27">
        <f t="shared" si="23"/>
        <v>-2.2276005282338418E-2</v>
      </c>
      <c r="AO90" s="28">
        <f t="shared" si="12"/>
        <v>-2.2276005282338418E-2</v>
      </c>
      <c r="AP90" s="27">
        <f t="shared" si="13"/>
        <v>-4.3478310360071971E-3</v>
      </c>
      <c r="AQ90" s="29">
        <f t="shared" si="14"/>
        <v>-2.2276005282338418E-2</v>
      </c>
      <c r="AS90" s="30">
        <f t="shared" si="15"/>
        <v>0.96899095645373967</v>
      </c>
      <c r="AT90" s="21">
        <f t="shared" si="16"/>
        <v>5.4491981040869168</v>
      </c>
      <c r="AU90" s="31">
        <f t="shared" ca="1" si="29"/>
        <v>4.1392247556915063E-4</v>
      </c>
      <c r="AV90" s="109">
        <f t="shared" ca="1" si="24"/>
        <v>4.1670385241454611E-4</v>
      </c>
      <c r="AW90" s="27" t="e">
        <f t="shared" ca="1" si="25"/>
        <v>#VALUE!</v>
      </c>
      <c r="AX90" s="29" t="e">
        <f t="shared" ca="1" si="26"/>
        <v>#VALUE!</v>
      </c>
      <c r="AY90" s="72"/>
    </row>
    <row r="91" spans="13:51" s="11" customFormat="1" ht="15.6" customHeight="1" x14ac:dyDescent="0.3">
      <c r="M91" s="20">
        <f t="shared" si="27"/>
        <v>61</v>
      </c>
      <c r="N91" s="21">
        <f t="shared" si="28"/>
        <v>1.0674999999999994</v>
      </c>
      <c r="O91" s="22">
        <f t="shared" ca="1" si="1"/>
        <v>126.2500975443463</v>
      </c>
      <c r="P91" s="23">
        <f t="shared" ca="1" si="2"/>
        <v>-1</v>
      </c>
      <c r="Q91" s="22" t="e">
        <f t="shared" ca="1" si="3"/>
        <v>#VALUE!</v>
      </c>
      <c r="R91" s="23">
        <f t="shared" ca="1" si="4"/>
        <v>-1</v>
      </c>
      <c r="S91" s="24" t="e">
        <f t="shared" ca="1" si="5"/>
        <v>#VALUE!</v>
      </c>
      <c r="T91" s="23">
        <f t="shared" ca="1" si="6"/>
        <v>-1</v>
      </c>
      <c r="U91" s="112">
        <f t="shared" si="17"/>
        <v>2.2400515003842748E-2</v>
      </c>
      <c r="V91" s="109">
        <f t="shared" si="18"/>
        <v>-2.2400515003842748E-2</v>
      </c>
      <c r="W91" s="112">
        <f t="shared" si="19"/>
        <v>2.2400515003842748E-2</v>
      </c>
      <c r="X91" s="113">
        <f t="shared" si="20"/>
        <v>-2.2400515003842748E-2</v>
      </c>
      <c r="Y91" s="32"/>
      <c r="Z91" s="32"/>
      <c r="AA91" s="32"/>
      <c r="AB91" s="32"/>
      <c r="AC91" s="32"/>
      <c r="AD91" s="32"/>
      <c r="AE91" s="32"/>
      <c r="AG91" s="26">
        <f t="shared" si="7"/>
        <v>0</v>
      </c>
      <c r="AH91" s="27">
        <f t="shared" si="8"/>
        <v>5.6149764274928182E-2</v>
      </c>
      <c r="AI91" s="28">
        <f t="shared" si="21"/>
        <v>2.2400515003842748E-2</v>
      </c>
      <c r="AJ91" s="27">
        <f t="shared" si="9"/>
        <v>2.2400515003842748E-2</v>
      </c>
      <c r="AK91" s="28">
        <f t="shared" si="10"/>
        <v>4.3361476008536778E-3</v>
      </c>
      <c r="AL91" s="27">
        <f t="shared" si="11"/>
        <v>2.2400515003842748E-2</v>
      </c>
      <c r="AM91" s="28">
        <f t="shared" si="22"/>
        <v>2.2400515003842748E-2</v>
      </c>
      <c r="AN91" s="27">
        <f t="shared" si="23"/>
        <v>-2.2400515003842748E-2</v>
      </c>
      <c r="AO91" s="28">
        <f t="shared" si="12"/>
        <v>-2.2400515003842748E-2</v>
      </c>
      <c r="AP91" s="27">
        <f t="shared" si="13"/>
        <v>-4.3361476008536778E-3</v>
      </c>
      <c r="AQ91" s="29">
        <f t="shared" si="14"/>
        <v>-2.2400515003842748E-2</v>
      </c>
      <c r="AS91" s="30">
        <f t="shared" si="15"/>
        <v>0.96848236971730139</v>
      </c>
      <c r="AT91" s="21">
        <f t="shared" si="16"/>
        <v>5.4345550896366026</v>
      </c>
      <c r="AU91" s="31">
        <f t="shared" ca="1" si="29"/>
        <v>4.1559189273276953E-4</v>
      </c>
      <c r="AV91" s="109">
        <f t="shared" ca="1" si="24"/>
        <v>4.1837055014193325E-4</v>
      </c>
      <c r="AW91" s="27" t="e">
        <f t="shared" ca="1" si="25"/>
        <v>#VALUE!</v>
      </c>
      <c r="AX91" s="29" t="e">
        <f t="shared" ca="1" si="26"/>
        <v>#VALUE!</v>
      </c>
      <c r="AY91" s="72"/>
    </row>
    <row r="92" spans="13:51" s="11" customFormat="1" ht="15.6" customHeight="1" x14ac:dyDescent="0.3">
      <c r="M92" s="20">
        <f t="shared" si="27"/>
        <v>62</v>
      </c>
      <c r="N92" s="21">
        <f t="shared" si="28"/>
        <v>1.0849999999999995</v>
      </c>
      <c r="O92" s="22">
        <f t="shared" ca="1" si="1"/>
        <v>126.57413899864022</v>
      </c>
      <c r="P92" s="23">
        <f t="shared" ca="1" si="2"/>
        <v>-1</v>
      </c>
      <c r="Q92" s="22" t="e">
        <f t="shared" ca="1" si="3"/>
        <v>#VALUE!</v>
      </c>
      <c r="R92" s="23">
        <f t="shared" ca="1" si="4"/>
        <v>-1</v>
      </c>
      <c r="S92" s="24" t="e">
        <f t="shared" ca="1" si="5"/>
        <v>#VALUE!</v>
      </c>
      <c r="T92" s="23">
        <f t="shared" ca="1" si="6"/>
        <v>-1</v>
      </c>
      <c r="U92" s="112">
        <f t="shared" si="17"/>
        <v>2.2522498153203806E-2</v>
      </c>
      <c r="V92" s="109">
        <f t="shared" si="18"/>
        <v>-2.2522498153203806E-2</v>
      </c>
      <c r="W92" s="112">
        <f t="shared" si="19"/>
        <v>2.2522498153203806E-2</v>
      </c>
      <c r="X92" s="113">
        <f t="shared" si="20"/>
        <v>-2.2522498153203806E-2</v>
      </c>
      <c r="Y92" s="32"/>
      <c r="Z92" s="32"/>
      <c r="AA92" s="32"/>
      <c r="AB92" s="32"/>
      <c r="AC92" s="32"/>
      <c r="AD92" s="32"/>
      <c r="AE92" s="32"/>
      <c r="AG92" s="26">
        <f t="shared" si="7"/>
        <v>0</v>
      </c>
      <c r="AH92" s="27">
        <f t="shared" si="8"/>
        <v>5.6455530686145144E-2</v>
      </c>
      <c r="AI92" s="28">
        <f t="shared" si="21"/>
        <v>2.2522498153203806E-2</v>
      </c>
      <c r="AJ92" s="27">
        <f t="shared" si="9"/>
        <v>2.2522498153203806E-2</v>
      </c>
      <c r="AK92" s="28">
        <f t="shared" si="10"/>
        <v>4.3244580302862941E-3</v>
      </c>
      <c r="AL92" s="27">
        <f t="shared" si="11"/>
        <v>2.2522498153203806E-2</v>
      </c>
      <c r="AM92" s="28">
        <f t="shared" si="22"/>
        <v>2.2522498153203806E-2</v>
      </c>
      <c r="AN92" s="27">
        <f t="shared" si="23"/>
        <v>-2.2522498153203806E-2</v>
      </c>
      <c r="AO92" s="28">
        <f t="shared" si="12"/>
        <v>-2.2522498153203806E-2</v>
      </c>
      <c r="AP92" s="27">
        <f t="shared" si="13"/>
        <v>-4.3244580302862941E-3</v>
      </c>
      <c r="AQ92" s="29">
        <f t="shared" si="14"/>
        <v>-2.2522498153203806E-2</v>
      </c>
      <c r="AS92" s="30">
        <f t="shared" si="15"/>
        <v>0.96797404991882241</v>
      </c>
      <c r="AT92" s="21">
        <f t="shared" si="16"/>
        <v>5.4199043855853537</v>
      </c>
      <c r="AU92" s="31">
        <f t="shared" ca="1" si="29"/>
        <v>4.1725738160791614E-4</v>
      </c>
      <c r="AV92" s="109">
        <f t="shared" ca="1" si="24"/>
        <v>4.2003330569739816E-4</v>
      </c>
      <c r="AW92" s="27" t="e">
        <f t="shared" ca="1" si="25"/>
        <v>#VALUE!</v>
      </c>
      <c r="AX92" s="29" t="e">
        <f t="shared" ca="1" si="26"/>
        <v>#VALUE!</v>
      </c>
      <c r="AY92" s="72"/>
    </row>
    <row r="93" spans="13:51" s="11" customFormat="1" ht="15.6" customHeight="1" x14ac:dyDescent="0.3">
      <c r="M93" s="20">
        <f t="shared" si="27"/>
        <v>63</v>
      </c>
      <c r="N93" s="21">
        <f t="shared" si="28"/>
        <v>1.1024999999999996</v>
      </c>
      <c r="O93" s="22">
        <f t="shared" ca="1" si="1"/>
        <v>126.89814058112569</v>
      </c>
      <c r="P93" s="23">
        <f t="shared" ca="1" si="2"/>
        <v>-1</v>
      </c>
      <c r="Q93" s="22" t="e">
        <f t="shared" ca="1" si="3"/>
        <v>#VALUE!</v>
      </c>
      <c r="R93" s="23">
        <f t="shared" ca="1" si="4"/>
        <v>-1</v>
      </c>
      <c r="S93" s="24" t="e">
        <f t="shared" ca="1" si="5"/>
        <v>#VALUE!</v>
      </c>
      <c r="T93" s="23">
        <f t="shared" ca="1" si="6"/>
        <v>-1</v>
      </c>
      <c r="U93" s="112">
        <f t="shared" si="17"/>
        <v>2.264200218568636E-2</v>
      </c>
      <c r="V93" s="109">
        <f t="shared" si="18"/>
        <v>-2.264200218568636E-2</v>
      </c>
      <c r="W93" s="112">
        <f t="shared" si="19"/>
        <v>2.264200218568636E-2</v>
      </c>
      <c r="X93" s="113">
        <f t="shared" si="20"/>
        <v>-2.264200218568636E-2</v>
      </c>
      <c r="Y93" s="32"/>
      <c r="Z93" s="32"/>
      <c r="AA93" s="32"/>
      <c r="AB93" s="32"/>
      <c r="AC93" s="32"/>
      <c r="AD93" s="32"/>
      <c r="AE93" s="32"/>
      <c r="AG93" s="26">
        <f t="shared" si="7"/>
        <v>0</v>
      </c>
      <c r="AH93" s="27">
        <f t="shared" si="8"/>
        <v>5.6755082872898335E-2</v>
      </c>
      <c r="AI93" s="28">
        <f t="shared" si="21"/>
        <v>2.264200218568636E-2</v>
      </c>
      <c r="AJ93" s="27">
        <f t="shared" si="9"/>
        <v>2.264200218568636E-2</v>
      </c>
      <c r="AK93" s="28">
        <f t="shared" si="10"/>
        <v>4.3127623210831162E-3</v>
      </c>
      <c r="AL93" s="27">
        <f t="shared" si="11"/>
        <v>2.264200218568636E-2</v>
      </c>
      <c r="AM93" s="28">
        <f t="shared" si="22"/>
        <v>2.264200218568636E-2</v>
      </c>
      <c r="AN93" s="27">
        <f t="shared" si="23"/>
        <v>-2.264200218568636E-2</v>
      </c>
      <c r="AO93" s="28">
        <f t="shared" si="12"/>
        <v>-2.264200218568636E-2</v>
      </c>
      <c r="AP93" s="27">
        <f t="shared" si="13"/>
        <v>-4.3127623210831171E-3</v>
      </c>
      <c r="AQ93" s="29">
        <f t="shared" si="14"/>
        <v>-2.264200218568636E-2</v>
      </c>
      <c r="AS93" s="30">
        <f t="shared" si="15"/>
        <v>0.96746599691819701</v>
      </c>
      <c r="AT93" s="21">
        <f t="shared" si="16"/>
        <v>5.4052459878950803</v>
      </c>
      <c r="AU93" s="31">
        <f t="shared" ca="1" si="29"/>
        <v>4.1891884300016002E-4</v>
      </c>
      <c r="AV93" s="109">
        <f t="shared" ca="1" si="24"/>
        <v>4.2169201994968208E-4</v>
      </c>
      <c r="AW93" s="27" t="e">
        <f t="shared" ca="1" si="25"/>
        <v>#VALUE!</v>
      </c>
      <c r="AX93" s="29" t="e">
        <f t="shared" ca="1" si="26"/>
        <v>#VALUE!</v>
      </c>
      <c r="AY93" s="72"/>
    </row>
    <row r="94" spans="13:51" s="11" customFormat="1" ht="15.6" customHeight="1" x14ac:dyDescent="0.3">
      <c r="M94" s="20">
        <f t="shared" si="27"/>
        <v>64</v>
      </c>
      <c r="N94" s="21">
        <f t="shared" si="28"/>
        <v>1.1199999999999997</v>
      </c>
      <c r="O94" s="22">
        <f t="shared" ref="O94:O157" ca="1" si="30">CubicSpline(OFFSET($B$18,0,0,NumCurvePoints,1),OFFSET($C$18,0,0,NumCurvePoints,1),N94)</f>
        <v>127.22209408290097</v>
      </c>
      <c r="P94" s="23">
        <f t="shared" ref="P94:P157" ca="1" si="31">IF(ISERROR(MATCH(M94,$A$20:$A$27,0)),-1,OFFSET($C$17,MATCH(M94,$A$20:$A$27,0),0,1,1))</f>
        <v>-1</v>
      </c>
      <c r="Q94" s="22" t="e">
        <f t="shared" ref="Q94:Q157" ca="1" si="32">CubicSpline(OFFSET($B$18,0,0,NumCurvePoints2,1),OFFSET($D$18,0,0,NumCurvePoints2,1),N94)</f>
        <v>#VALUE!</v>
      </c>
      <c r="R94" s="23">
        <f t="shared" ref="R94:R157" ca="1" si="33">IF(ISERROR(MATCH(M94,$A$20:$A$27,0)),-1,OFFSET($D$17,MATCH(M94,$A$20:$A$27,0),0,1,1))</f>
        <v>-1</v>
      </c>
      <c r="S94" s="24" t="e">
        <f t="shared" ref="S94:S157" ca="1" si="34">CubicSpline(OFFSET($B$18,0,0,NumCurvePoints3,1),OFFSET($E$18,0,0,NumCurvePoints3,1),N94)</f>
        <v>#VALUE!</v>
      </c>
      <c r="T94" s="23">
        <f t="shared" ref="T94:T157" ca="1" si="35">IF(ISERROR(MATCH(M94,$A$20:$A$27,0)),-1,OFFSET($E$17,MATCH(M94,$A$20:$A$27,0),0,1,1))</f>
        <v>-1</v>
      </c>
      <c r="U94" s="112">
        <f t="shared" si="17"/>
        <v>2.2759072755049684E-2</v>
      </c>
      <c r="V94" s="109">
        <f t="shared" si="18"/>
        <v>-2.2759072755049684E-2</v>
      </c>
      <c r="W94" s="112">
        <f t="shared" si="19"/>
        <v>2.2759072755049684E-2</v>
      </c>
      <c r="X94" s="113">
        <f t="shared" si="20"/>
        <v>-2.2759072755049684E-2</v>
      </c>
      <c r="Y94" s="32"/>
      <c r="Z94" s="32"/>
      <c r="AA94" s="32"/>
      <c r="AB94" s="32"/>
      <c r="AC94" s="32"/>
      <c r="AD94" s="32"/>
      <c r="AE94" s="32"/>
      <c r="AG94" s="26">
        <f t="shared" ref="AG94:AG157" si="36">(SwapRate1-InterestRate)*AT94</f>
        <v>0</v>
      </c>
      <c r="AH94" s="27">
        <f t="shared" ref="AH94:AH157" si="37">MAX(0.0000000001,SQRT(N94)*AT94*IRVol)</f>
        <v>5.70485352721916E-2</v>
      </c>
      <c r="AI94" s="28">
        <f t="shared" si="21"/>
        <v>2.2759072755049684E-2</v>
      </c>
      <c r="AJ94" s="27">
        <f t="shared" ref="AJ94:AJ157" si="38">AI94-IF(ThresholdB="",0,1)*IF((ThresholdB-AG94)/AH94&gt;6,0,(1-NORMSDIST((ThresholdB-AG94)/AH94))*(AG94+AH94*NORMDIST(((ThresholdB-AG94)/AH94),0,1,FALSE)/(1-NORMSDIST((ThresholdB-AG94)/AH94))-ThresholdB))</f>
        <v>2.2759072755049684E-2</v>
      </c>
      <c r="AK94" s="28">
        <f t="shared" ref="AK94:AK157" si="39">-InitialMargin2*NORMSDIST(-InitialMargin2/(IRVol*SQRT(MPR/250)*AT94))+(IRVol*SQRT(MPR/250)*AT94)*NORMDIST(-InitialMargin2/(IRVol*SQRT(MPR/250)*AT94),0,1,FALSE)</f>
        <v>4.3010604700205084E-3</v>
      </c>
      <c r="AL94" s="27">
        <f t="shared" ref="AL94:AL157" si="40">IF(OR(BreakMat="",BreakMat=0,BreakMat&gt;N94),IF(AND(ThresholdB="",ThresholdA=0,ThresholdA&lt;&gt;""),AJ94+AK94,IF(AND(ThresholdB=0,ThresholdB&lt;&gt;""),AK94,IF(ThresholdB&gt;0,MAX(AJ94,AK94),AJ94))))</f>
        <v>2.2759072755049684E-2</v>
      </c>
      <c r="AM94" s="28">
        <f t="shared" si="22"/>
        <v>2.2759072755049684E-2</v>
      </c>
      <c r="AN94" s="27">
        <f t="shared" si="23"/>
        <v>-2.2759072755049684E-2</v>
      </c>
      <c r="AO94" s="28">
        <f t="shared" ref="AO94:AO157" si="41">AN94+IF(AND(ThresholdA&lt;&gt;"",(ThresholdA+AG94)/AH94&lt;6),(1-NORMSDIST((ThresholdA+AG94)/AH94))*(-AG94+AH94*NORMDIST(((ThresholdA+AG94)/AH94),0,1,FALSE)/(1-NORMSDIST((ThresholdA+AG94)/AH94))-ThresholdA))</f>
        <v>-2.2759072755049684E-2</v>
      </c>
      <c r="AP94" s="27">
        <f t="shared" ref="AP94:AP157" si="42">InitialMargin1*NORMSDIST(-InitialMargin1/(IRVol*AT94*SQRT(MPR/250)))-(IRVol*AT94*SQRT(MPR/250))*NORMDIST(-InitialMargin1/(IRVol*AT94*SQRT(MPR/250)),0,1,FALSE)</f>
        <v>-4.3010604700205084E-3</v>
      </c>
      <c r="AQ94" s="29">
        <f t="shared" ref="AQ94:AQ157" si="43">IF(OR(BreakMat="",BreakMat=0,BreakMat&gt;N94),IF(AND(ThresholdA="",ThresholdB=0,ThresholdB&lt;&gt;""),AO94+AP94,IF(AND(ThresholdA=0,ThresholdA&lt;&gt;""),AP94,MIN(AO94,AP94))))</f>
        <v>-2.2759072755049684E-2</v>
      </c>
      <c r="AS94" s="30">
        <f t="shared" ref="AS94:AS157" si="44">EXP(-InterestRate*N94)</f>
        <v>0.96695821057539311</v>
      </c>
      <c r="AT94" s="21">
        <f t="shared" ref="AT94:AT157" si="45">MAX((1-EXP(-(Maturity1-N94)*InterestRate))/InterestRate,0)</f>
        <v>5.3905798925255528</v>
      </c>
      <c r="AU94" s="31">
        <f t="shared" ca="1" si="29"/>
        <v>4.2057617796420477E-4</v>
      </c>
      <c r="AV94" s="109">
        <f t="shared" ca="1" si="24"/>
        <v>4.2334659401999097E-4</v>
      </c>
      <c r="AW94" s="27" t="e">
        <f t="shared" ca="1" si="25"/>
        <v>#VALUE!</v>
      </c>
      <c r="AX94" s="29" t="e">
        <f t="shared" ca="1" si="26"/>
        <v>#VALUE!</v>
      </c>
      <c r="AY94" s="72"/>
    </row>
    <row r="95" spans="13:51" s="11" customFormat="1" ht="15.6" customHeight="1" x14ac:dyDescent="0.3">
      <c r="M95" s="20">
        <f t="shared" si="27"/>
        <v>65</v>
      </c>
      <c r="N95" s="21">
        <f t="shared" si="28"/>
        <v>1.1374999999999997</v>
      </c>
      <c r="O95" s="22">
        <f t="shared" ca="1" si="30"/>
        <v>127.54599129506431</v>
      </c>
      <c r="P95" s="23">
        <f t="shared" ca="1" si="31"/>
        <v>-1</v>
      </c>
      <c r="Q95" s="22" t="e">
        <f t="shared" ca="1" si="32"/>
        <v>#VALUE!</v>
      </c>
      <c r="R95" s="23">
        <f t="shared" ca="1" si="33"/>
        <v>-1</v>
      </c>
      <c r="S95" s="24" t="e">
        <f t="shared" ca="1" si="34"/>
        <v>#VALUE!</v>
      </c>
      <c r="T95" s="23">
        <f t="shared" ca="1" si="35"/>
        <v>-1</v>
      </c>
      <c r="U95" s="112">
        <f t="shared" ref="U95:U158" si="46">AI95</f>
        <v>2.2873753809675566E-2</v>
      </c>
      <c r="V95" s="109">
        <f t="shared" ref="V95:V158" si="47">AN95</f>
        <v>-2.2873753809675566E-2</v>
      </c>
      <c r="W95" s="112">
        <f t="shared" ref="W95:W158" si="48">AL95</f>
        <v>2.2873753809675566E-2</v>
      </c>
      <c r="X95" s="113">
        <f t="shared" ref="X95:X158" si="49">AQ95</f>
        <v>-2.2873753809675566E-2</v>
      </c>
      <c r="Y95" s="32"/>
      <c r="Z95" s="32"/>
      <c r="AA95" s="32"/>
      <c r="AB95" s="32"/>
      <c r="AC95" s="32"/>
      <c r="AD95" s="32"/>
      <c r="AE95" s="32"/>
      <c r="AG95" s="26">
        <f t="shared" si="36"/>
        <v>0</v>
      </c>
      <c r="AH95" s="27">
        <f t="shared" si="37"/>
        <v>5.7335998046281339E-2</v>
      </c>
      <c r="AI95" s="28">
        <f t="shared" ref="AI95:AI158" si="50">(AG95*NORMSDIST(AG95/AH95)+AH95*NORMDIST(AG95/AH95,0,1,FALSE))</f>
        <v>2.2873753809675566E-2</v>
      </c>
      <c r="AJ95" s="27">
        <f t="shared" si="38"/>
        <v>2.2873753809675566E-2</v>
      </c>
      <c r="AK95" s="28">
        <f t="shared" si="39"/>
        <v>4.2893524738731462E-3</v>
      </c>
      <c r="AL95" s="27">
        <f t="shared" si="40"/>
        <v>2.2873753809675566E-2</v>
      </c>
      <c r="AM95" s="28">
        <f t="shared" ref="AM95:AM158" si="51">MAX(AL95,AM94)</f>
        <v>2.2873753809675566E-2</v>
      </c>
      <c r="AN95" s="27">
        <f t="shared" ref="AN95:AN158" si="52">(AG95*NORMSDIST(-AG95/AH95)-AH95*NORMDIST(-AG95/AH95,0,1,FALSE))</f>
        <v>-2.2873753809675566E-2</v>
      </c>
      <c r="AO95" s="28">
        <f t="shared" si="41"/>
        <v>-2.2873753809675566E-2</v>
      </c>
      <c r="AP95" s="27">
        <f t="shared" si="42"/>
        <v>-4.2893524738731462E-3</v>
      </c>
      <c r="AQ95" s="29">
        <f t="shared" si="43"/>
        <v>-2.2873753809675566E-2</v>
      </c>
      <c r="AS95" s="30">
        <f t="shared" si="44"/>
        <v>0.9664506907504522</v>
      </c>
      <c r="AT95" s="21">
        <f t="shared" si="45"/>
        <v>5.375906095434428</v>
      </c>
      <c r="AU95" s="31">
        <f t="shared" ref="AU95:AU158" ca="1" si="53">EXP(-N94*O94/CntrptyLGD/10000)-EXP(-N95*O95/CntrptyLGD/10000)</f>
        <v>4.2222928780843993E-4</v>
      </c>
      <c r="AV95" s="109">
        <f t="shared" ref="AV95:AV158" ca="1" si="54">EXP(-N94*(O94+1)/CntrptyLGD/10000)-EXP(-N95*(O95+1)/CntrptyLGD/10000)</f>
        <v>4.2499692928288368E-4</v>
      </c>
      <c r="AW95" s="27" t="e">
        <f t="shared" ref="AW95:AW158" ca="1" si="55">EXP(-N94*Q94/OwnLGD/10000)-EXP(-N95*Q95/OwnLGD/10000)</f>
        <v>#VALUE!</v>
      </c>
      <c r="AX95" s="29" t="e">
        <f t="shared" ref="AX95:AX158" ca="1" si="56">EXP(-N94*S94/10000)-EXP(-N95*S95/10000)</f>
        <v>#VALUE!</v>
      </c>
      <c r="AY95" s="72"/>
    </row>
    <row r="96" spans="13:51" s="11" customFormat="1" ht="15.6" customHeight="1" x14ac:dyDescent="0.3">
      <c r="M96" s="20">
        <f t="shared" ref="M96:M159" si="57">M95+1</f>
        <v>66</v>
      </c>
      <c r="N96" s="21">
        <f t="shared" ref="N96:N159" si="58">N95+Maturity1/400</f>
        <v>1.1549999999999998</v>
      </c>
      <c r="O96" s="22">
        <f t="shared" ca="1" si="30"/>
        <v>127.86982400871396</v>
      </c>
      <c r="P96" s="23">
        <f t="shared" ca="1" si="31"/>
        <v>-1</v>
      </c>
      <c r="Q96" s="22" t="e">
        <f t="shared" ca="1" si="32"/>
        <v>#VALUE!</v>
      </c>
      <c r="R96" s="23">
        <f t="shared" ca="1" si="33"/>
        <v>-1</v>
      </c>
      <c r="S96" s="24" t="e">
        <f t="shared" ca="1" si="34"/>
        <v>#VALUE!</v>
      </c>
      <c r="T96" s="23">
        <f t="shared" ca="1" si="35"/>
        <v>-1</v>
      </c>
      <c r="U96" s="112">
        <f t="shared" si="46"/>
        <v>2.2986087682144336E-2</v>
      </c>
      <c r="V96" s="109">
        <f t="shared" si="47"/>
        <v>-2.2986087682144336E-2</v>
      </c>
      <c r="W96" s="112">
        <f t="shared" si="48"/>
        <v>2.2986087682144336E-2</v>
      </c>
      <c r="X96" s="113">
        <f t="shared" si="49"/>
        <v>-2.2986087682144336E-2</v>
      </c>
      <c r="Y96" s="32"/>
      <c r="Z96" s="32"/>
      <c r="AA96" s="32"/>
      <c r="AB96" s="32"/>
      <c r="AC96" s="32"/>
      <c r="AD96" s="32"/>
      <c r="AE96" s="32"/>
      <c r="AG96" s="26">
        <f t="shared" si="36"/>
        <v>0</v>
      </c>
      <c r="AH96" s="27">
        <f t="shared" si="37"/>
        <v>5.7617577307210351E-2</v>
      </c>
      <c r="AI96" s="28">
        <f t="shared" si="50"/>
        <v>2.2986087682144336E-2</v>
      </c>
      <c r="AJ96" s="27">
        <f t="shared" si="38"/>
        <v>2.2986087682144336E-2</v>
      </c>
      <c r="AK96" s="28">
        <f t="shared" si="39"/>
        <v>4.2776383294140189E-3</v>
      </c>
      <c r="AL96" s="27">
        <f t="shared" si="40"/>
        <v>2.2986087682144336E-2</v>
      </c>
      <c r="AM96" s="28">
        <f t="shared" si="51"/>
        <v>2.2986087682144336E-2</v>
      </c>
      <c r="AN96" s="27">
        <f t="shared" si="52"/>
        <v>-2.2986087682144336E-2</v>
      </c>
      <c r="AO96" s="28">
        <f t="shared" si="41"/>
        <v>-2.2986087682144336E-2</v>
      </c>
      <c r="AP96" s="27">
        <f t="shared" si="42"/>
        <v>-4.2776383294140189E-3</v>
      </c>
      <c r="AQ96" s="29">
        <f t="shared" si="43"/>
        <v>-2.2986087682144336E-2</v>
      </c>
      <c r="AS96" s="30">
        <f t="shared" si="44"/>
        <v>0.96594343730348908</v>
      </c>
      <c r="AT96" s="21">
        <f t="shared" si="45"/>
        <v>5.3612245925772486</v>
      </c>
      <c r="AU96" s="31">
        <f t="shared" ca="1" si="53"/>
        <v>4.2387807409549616E-4</v>
      </c>
      <c r="AV96" s="109">
        <f t="shared" ca="1" si="54"/>
        <v>4.2664292736971365E-4</v>
      </c>
      <c r="AW96" s="27" t="e">
        <f t="shared" ca="1" si="55"/>
        <v>#VALUE!</v>
      </c>
      <c r="AX96" s="29" t="e">
        <f t="shared" ca="1" si="56"/>
        <v>#VALUE!</v>
      </c>
      <c r="AY96" s="72"/>
    </row>
    <row r="97" spans="13:51" s="11" customFormat="1" ht="15.6" customHeight="1" x14ac:dyDescent="0.3">
      <c r="M97" s="20">
        <f t="shared" si="57"/>
        <v>67</v>
      </c>
      <c r="N97" s="21">
        <f t="shared" si="58"/>
        <v>1.1724999999999999</v>
      </c>
      <c r="O97" s="22">
        <f t="shared" ca="1" si="30"/>
        <v>128.19358401494821</v>
      </c>
      <c r="P97" s="23">
        <f t="shared" ca="1" si="31"/>
        <v>-1</v>
      </c>
      <c r="Q97" s="22" t="e">
        <f t="shared" ca="1" si="32"/>
        <v>#VALUE!</v>
      </c>
      <c r="R97" s="23">
        <f t="shared" ca="1" si="33"/>
        <v>-1</v>
      </c>
      <c r="S97" s="24" t="e">
        <f t="shared" ca="1" si="34"/>
        <v>#VALUE!</v>
      </c>
      <c r="T97" s="23">
        <f t="shared" ca="1" si="35"/>
        <v>-1</v>
      </c>
      <c r="U97" s="112">
        <f t="shared" si="46"/>
        <v>2.3096115172798838E-2</v>
      </c>
      <c r="V97" s="109">
        <f t="shared" si="47"/>
        <v>-2.3096115172798838E-2</v>
      </c>
      <c r="W97" s="112">
        <f t="shared" si="48"/>
        <v>2.3096115172798838E-2</v>
      </c>
      <c r="X97" s="113">
        <f t="shared" si="49"/>
        <v>-2.3096115172798838E-2</v>
      </c>
      <c r="Y97" s="32"/>
      <c r="Z97" s="32"/>
      <c r="AA97" s="32"/>
      <c r="AB97" s="32"/>
      <c r="AC97" s="32"/>
      <c r="AD97" s="32"/>
      <c r="AE97" s="32"/>
      <c r="AG97" s="26">
        <f t="shared" si="36"/>
        <v>0</v>
      </c>
      <c r="AH97" s="27">
        <f t="shared" si="37"/>
        <v>5.7893375326271618E-2</v>
      </c>
      <c r="AI97" s="28">
        <f t="shared" si="50"/>
        <v>2.3096115172798838E-2</v>
      </c>
      <c r="AJ97" s="27">
        <f t="shared" si="38"/>
        <v>2.3096115172798838E-2</v>
      </c>
      <c r="AK97" s="28">
        <f t="shared" si="39"/>
        <v>4.2659180334144106E-3</v>
      </c>
      <c r="AL97" s="27">
        <f t="shared" si="40"/>
        <v>2.3096115172798838E-2</v>
      </c>
      <c r="AM97" s="28">
        <f t="shared" si="51"/>
        <v>2.3096115172798838E-2</v>
      </c>
      <c r="AN97" s="27">
        <f t="shared" si="52"/>
        <v>-2.3096115172798838E-2</v>
      </c>
      <c r="AO97" s="28">
        <f t="shared" si="41"/>
        <v>-2.3096115172798838E-2</v>
      </c>
      <c r="AP97" s="27">
        <f t="shared" si="42"/>
        <v>-4.2659180334144106E-3</v>
      </c>
      <c r="AQ97" s="29">
        <f t="shared" si="43"/>
        <v>-2.3096115172798838E-2</v>
      </c>
      <c r="AS97" s="30">
        <f t="shared" si="44"/>
        <v>0.96543645009469192</v>
      </c>
      <c r="AT97" s="21">
        <f t="shared" si="45"/>
        <v>5.3465353799074169</v>
      </c>
      <c r="AU97" s="31">
        <f t="shared" ca="1" si="53"/>
        <v>4.255224386454648E-4</v>
      </c>
      <c r="AV97" s="109">
        <f t="shared" ca="1" si="54"/>
        <v>4.2828449017018322E-4</v>
      </c>
      <c r="AW97" s="27" t="e">
        <f t="shared" ca="1" si="55"/>
        <v>#VALUE!</v>
      </c>
      <c r="AX97" s="29" t="e">
        <f t="shared" ca="1" si="56"/>
        <v>#VALUE!</v>
      </c>
      <c r="AY97" s="72"/>
    </row>
    <row r="98" spans="13:51" s="11" customFormat="1" ht="15.6" customHeight="1" x14ac:dyDescent="0.3">
      <c r="M98" s="20">
        <f t="shared" si="57"/>
        <v>68</v>
      </c>
      <c r="N98" s="21">
        <f t="shared" si="58"/>
        <v>1.19</v>
      </c>
      <c r="O98" s="22">
        <f t="shared" ca="1" si="30"/>
        <v>128.51726310486529</v>
      </c>
      <c r="P98" s="23">
        <f t="shared" ca="1" si="31"/>
        <v>-1</v>
      </c>
      <c r="Q98" s="22" t="e">
        <f t="shared" ca="1" si="32"/>
        <v>#VALUE!</v>
      </c>
      <c r="R98" s="23">
        <f t="shared" ca="1" si="33"/>
        <v>-1</v>
      </c>
      <c r="S98" s="24" t="e">
        <f t="shared" ca="1" si="34"/>
        <v>#VALUE!</v>
      </c>
      <c r="T98" s="23">
        <f t="shared" ca="1" si="35"/>
        <v>-1</v>
      </c>
      <c r="U98" s="112">
        <f t="shared" si="46"/>
        <v>2.3203875627784504E-2</v>
      </c>
      <c r="V98" s="109">
        <f t="shared" si="47"/>
        <v>-2.3203875627784504E-2</v>
      </c>
      <c r="W98" s="112">
        <f t="shared" si="48"/>
        <v>2.3203875627784504E-2</v>
      </c>
      <c r="X98" s="113">
        <f t="shared" si="49"/>
        <v>-2.3203875627784504E-2</v>
      </c>
      <c r="Y98" s="32"/>
      <c r="Z98" s="32"/>
      <c r="AA98" s="32"/>
      <c r="AB98" s="32"/>
      <c r="AC98" s="32"/>
      <c r="AD98" s="32"/>
      <c r="AE98" s="32"/>
      <c r="AG98" s="26">
        <f t="shared" si="36"/>
        <v>0</v>
      </c>
      <c r="AH98" s="27">
        <f t="shared" si="37"/>
        <v>5.8163490729625789E-2</v>
      </c>
      <c r="AI98" s="28">
        <f t="shared" si="50"/>
        <v>2.3203875627784504E-2</v>
      </c>
      <c r="AJ98" s="27">
        <f t="shared" si="38"/>
        <v>2.3203875627784504E-2</v>
      </c>
      <c r="AK98" s="28">
        <f t="shared" si="39"/>
        <v>4.2541915826439193E-3</v>
      </c>
      <c r="AL98" s="27">
        <f t="shared" si="40"/>
        <v>2.3203875627784504E-2</v>
      </c>
      <c r="AM98" s="28">
        <f t="shared" si="51"/>
        <v>2.3203875627784504E-2</v>
      </c>
      <c r="AN98" s="27">
        <f t="shared" si="52"/>
        <v>-2.3203875627784504E-2</v>
      </c>
      <c r="AO98" s="28">
        <f t="shared" si="41"/>
        <v>-2.3203875627784504E-2</v>
      </c>
      <c r="AP98" s="27">
        <f t="shared" si="42"/>
        <v>-4.2541915826439193E-3</v>
      </c>
      <c r="AQ98" s="29">
        <f t="shared" si="43"/>
        <v>-2.3203875627784504E-2</v>
      </c>
      <c r="AS98" s="30">
        <f t="shared" si="44"/>
        <v>0.96492972898432239</v>
      </c>
      <c r="AT98" s="21">
        <f t="shared" si="45"/>
        <v>5.3318384533762258</v>
      </c>
      <c r="AU98" s="31">
        <f t="shared" ca="1" si="53"/>
        <v>4.271622835383404E-4</v>
      </c>
      <c r="AV98" s="109">
        <f t="shared" ca="1" si="54"/>
        <v>4.2992151983534121E-4</v>
      </c>
      <c r="AW98" s="27" t="e">
        <f t="shared" ca="1" si="55"/>
        <v>#VALUE!</v>
      </c>
      <c r="AX98" s="29" t="e">
        <f t="shared" ca="1" si="56"/>
        <v>#VALUE!</v>
      </c>
      <c r="AY98" s="72"/>
    </row>
    <row r="99" spans="13:51" s="11" customFormat="1" ht="15.6" customHeight="1" x14ac:dyDescent="0.3">
      <c r="M99" s="20">
        <f t="shared" si="57"/>
        <v>69</v>
      </c>
      <c r="N99" s="21">
        <f t="shared" si="58"/>
        <v>1.2075</v>
      </c>
      <c r="O99" s="22">
        <f t="shared" ca="1" si="30"/>
        <v>128.84085306956348</v>
      </c>
      <c r="P99" s="23">
        <f t="shared" ca="1" si="31"/>
        <v>-1</v>
      </c>
      <c r="Q99" s="22" t="e">
        <f t="shared" ca="1" si="32"/>
        <v>#VALUE!</v>
      </c>
      <c r="R99" s="23">
        <f t="shared" ca="1" si="33"/>
        <v>-1</v>
      </c>
      <c r="S99" s="24" t="e">
        <f t="shared" ca="1" si="34"/>
        <v>#VALUE!</v>
      </c>
      <c r="T99" s="23">
        <f t="shared" ca="1" si="35"/>
        <v>-1</v>
      </c>
      <c r="U99" s="112">
        <f t="shared" si="46"/>
        <v>2.3309407012006907E-2</v>
      </c>
      <c r="V99" s="109">
        <f t="shared" si="47"/>
        <v>-2.3309407012006907E-2</v>
      </c>
      <c r="W99" s="112">
        <f t="shared" si="48"/>
        <v>2.3309407012006907E-2</v>
      </c>
      <c r="X99" s="113">
        <f t="shared" si="49"/>
        <v>-2.3309407012006907E-2</v>
      </c>
      <c r="Y99" s="32"/>
      <c r="Z99" s="32"/>
      <c r="AA99" s="32"/>
      <c r="AB99" s="32"/>
      <c r="AC99" s="32"/>
      <c r="AD99" s="32"/>
      <c r="AE99" s="32"/>
      <c r="AG99" s="26">
        <f t="shared" si="36"/>
        <v>0</v>
      </c>
      <c r="AH99" s="27">
        <f t="shared" si="37"/>
        <v>5.8428018681178612E-2</v>
      </c>
      <c r="AI99" s="28">
        <f t="shared" si="50"/>
        <v>2.3309407012006907E-2</v>
      </c>
      <c r="AJ99" s="27">
        <f t="shared" si="38"/>
        <v>2.3309407012006907E-2</v>
      </c>
      <c r="AK99" s="28">
        <f t="shared" si="39"/>
        <v>4.2424589738704367E-3</v>
      </c>
      <c r="AL99" s="27">
        <f t="shared" si="40"/>
        <v>2.3309407012006907E-2</v>
      </c>
      <c r="AM99" s="28">
        <f t="shared" si="51"/>
        <v>2.3309407012006907E-2</v>
      </c>
      <c r="AN99" s="27">
        <f t="shared" si="52"/>
        <v>-2.3309407012006907E-2</v>
      </c>
      <c r="AO99" s="28">
        <f t="shared" si="41"/>
        <v>-2.3309407012006907E-2</v>
      </c>
      <c r="AP99" s="27">
        <f t="shared" si="42"/>
        <v>-4.2424589738704367E-3</v>
      </c>
      <c r="AQ99" s="29">
        <f t="shared" si="43"/>
        <v>-2.3309407012006907E-2</v>
      </c>
      <c r="AS99" s="30">
        <f t="shared" si="44"/>
        <v>0.96442327383271553</v>
      </c>
      <c r="AT99" s="21">
        <f t="shared" si="45"/>
        <v>5.3171338089328284</v>
      </c>
      <c r="AU99" s="31">
        <f t="shared" ca="1" si="53"/>
        <v>4.2879751111535302E-4</v>
      </c>
      <c r="AV99" s="109">
        <f t="shared" ca="1" si="54"/>
        <v>4.3155391877891525E-4</v>
      </c>
      <c r="AW99" s="27" t="e">
        <f t="shared" ca="1" si="55"/>
        <v>#VALUE!</v>
      </c>
      <c r="AX99" s="29" t="e">
        <f t="shared" ca="1" si="56"/>
        <v>#VALUE!</v>
      </c>
      <c r="AY99" s="72"/>
    </row>
    <row r="100" spans="13:51" s="11" customFormat="1" ht="15.6" customHeight="1" x14ac:dyDescent="0.3">
      <c r="M100" s="20">
        <f t="shared" si="57"/>
        <v>70</v>
      </c>
      <c r="N100" s="21">
        <f t="shared" si="58"/>
        <v>1.2250000000000001</v>
      </c>
      <c r="O100" s="22">
        <f t="shared" ca="1" si="30"/>
        <v>129.16434570014104</v>
      </c>
      <c r="P100" s="23">
        <f t="shared" ca="1" si="31"/>
        <v>-1</v>
      </c>
      <c r="Q100" s="22" t="e">
        <f t="shared" ca="1" si="32"/>
        <v>#VALUE!</v>
      </c>
      <c r="R100" s="23">
        <f t="shared" ca="1" si="33"/>
        <v>-1</v>
      </c>
      <c r="S100" s="24" t="e">
        <f t="shared" ca="1" si="34"/>
        <v>#VALUE!</v>
      </c>
      <c r="T100" s="23">
        <f t="shared" ca="1" si="35"/>
        <v>-1</v>
      </c>
      <c r="U100" s="112">
        <f t="shared" si="46"/>
        <v>2.3412745977407518E-2</v>
      </c>
      <c r="V100" s="109">
        <f t="shared" si="47"/>
        <v>-2.3412745977407518E-2</v>
      </c>
      <c r="W100" s="112">
        <f t="shared" si="48"/>
        <v>2.3412745977407518E-2</v>
      </c>
      <c r="X100" s="113">
        <f t="shared" si="49"/>
        <v>-2.3412745977407518E-2</v>
      </c>
      <c r="Y100" s="32"/>
      <c r="Z100" s="32"/>
      <c r="AA100" s="32"/>
      <c r="AB100" s="32"/>
      <c r="AC100" s="32"/>
      <c r="AD100" s="32"/>
      <c r="AE100" s="32"/>
      <c r="AG100" s="26">
        <f t="shared" si="36"/>
        <v>0</v>
      </c>
      <c r="AH100" s="27">
        <f t="shared" si="37"/>
        <v>5.8687051053722905E-2</v>
      </c>
      <c r="AI100" s="28">
        <f t="shared" si="50"/>
        <v>2.3412745977407518E-2</v>
      </c>
      <c r="AJ100" s="27">
        <f t="shared" si="38"/>
        <v>2.3412745977407518E-2</v>
      </c>
      <c r="AK100" s="28">
        <f t="shared" si="39"/>
        <v>4.2307202038601652E-3</v>
      </c>
      <c r="AL100" s="27">
        <f t="shared" si="40"/>
        <v>2.3412745977407518E-2</v>
      </c>
      <c r="AM100" s="28">
        <f t="shared" si="51"/>
        <v>2.3412745977407518E-2</v>
      </c>
      <c r="AN100" s="27">
        <f t="shared" si="52"/>
        <v>-2.3412745977407518E-2</v>
      </c>
      <c r="AO100" s="28">
        <f t="shared" si="41"/>
        <v>-2.3412745977407518E-2</v>
      </c>
      <c r="AP100" s="27">
        <f t="shared" si="42"/>
        <v>-4.2307202038601652E-3</v>
      </c>
      <c r="AQ100" s="29">
        <f t="shared" si="43"/>
        <v>-2.3412745977407518E-2</v>
      </c>
      <c r="AS100" s="30">
        <f t="shared" si="44"/>
        <v>0.96391708450027969</v>
      </c>
      <c r="AT100" s="21">
        <f t="shared" si="45"/>
        <v>5.3024214425242597</v>
      </c>
      <c r="AU100" s="31">
        <f t="shared" ca="1" si="53"/>
        <v>4.3042802398252089E-4</v>
      </c>
      <c r="AV100" s="109">
        <f t="shared" ca="1" si="54"/>
        <v>4.3318158968064235E-4</v>
      </c>
      <c r="AW100" s="27" t="e">
        <f t="shared" ca="1" si="55"/>
        <v>#VALUE!</v>
      </c>
      <c r="AX100" s="29" t="e">
        <f t="shared" ca="1" si="56"/>
        <v>#VALUE!</v>
      </c>
      <c r="AY100" s="72"/>
    </row>
    <row r="101" spans="13:51" s="11" customFormat="1" ht="15.6" customHeight="1" x14ac:dyDescent="0.3">
      <c r="M101" s="20">
        <f t="shared" si="57"/>
        <v>71</v>
      </c>
      <c r="N101" s="21">
        <f t="shared" si="58"/>
        <v>1.2425000000000002</v>
      </c>
      <c r="O101" s="22">
        <f t="shared" ca="1" si="30"/>
        <v>129.48773278769622</v>
      </c>
      <c r="P101" s="23">
        <f t="shared" ca="1" si="31"/>
        <v>-1</v>
      </c>
      <c r="Q101" s="22" t="e">
        <f t="shared" ca="1" si="32"/>
        <v>#VALUE!</v>
      </c>
      <c r="R101" s="23">
        <f t="shared" ca="1" si="33"/>
        <v>-1</v>
      </c>
      <c r="S101" s="24" t="e">
        <f t="shared" ca="1" si="34"/>
        <v>#VALUE!</v>
      </c>
      <c r="T101" s="23">
        <f t="shared" ca="1" si="35"/>
        <v>-1</v>
      </c>
      <c r="U101" s="112">
        <f t="shared" si="46"/>
        <v>2.3513927926921127E-2</v>
      </c>
      <c r="V101" s="109">
        <f t="shared" si="47"/>
        <v>-2.3513927926921127E-2</v>
      </c>
      <c r="W101" s="112">
        <f t="shared" si="48"/>
        <v>2.3513927926921127E-2</v>
      </c>
      <c r="X101" s="113">
        <f t="shared" si="49"/>
        <v>-2.3513927926921127E-2</v>
      </c>
      <c r="Y101" s="32"/>
      <c r="Z101" s="32"/>
      <c r="AA101" s="32"/>
      <c r="AB101" s="32"/>
      <c r="AC101" s="32"/>
      <c r="AD101" s="32"/>
      <c r="AE101" s="32"/>
      <c r="AG101" s="26">
        <f t="shared" si="36"/>
        <v>0</v>
      </c>
      <c r="AH101" s="27">
        <f t="shared" si="37"/>
        <v>5.8940676589255996E-2</v>
      </c>
      <c r="AI101" s="28">
        <f t="shared" si="50"/>
        <v>2.3513927926921127E-2</v>
      </c>
      <c r="AJ101" s="27">
        <f t="shared" si="38"/>
        <v>2.3513927926921127E-2</v>
      </c>
      <c r="AK101" s="28">
        <f t="shared" si="39"/>
        <v>4.2189752693776051E-3</v>
      </c>
      <c r="AL101" s="27">
        <f t="shared" si="40"/>
        <v>2.3513927926921127E-2</v>
      </c>
      <c r="AM101" s="28">
        <f t="shared" si="51"/>
        <v>2.3513927926921127E-2</v>
      </c>
      <c r="AN101" s="27">
        <f t="shared" si="52"/>
        <v>-2.3513927926921127E-2</v>
      </c>
      <c r="AO101" s="28">
        <f t="shared" si="41"/>
        <v>-2.3513927926921127E-2</v>
      </c>
      <c r="AP101" s="27">
        <f t="shared" si="42"/>
        <v>-4.218975269377606E-3</v>
      </c>
      <c r="AQ101" s="29">
        <f t="shared" si="43"/>
        <v>-2.3513927926921127E-2</v>
      </c>
      <c r="AS101" s="30">
        <f t="shared" si="44"/>
        <v>0.96341116084749634</v>
      </c>
      <c r="AT101" s="21">
        <f t="shared" si="45"/>
        <v>5.2877013500954231</v>
      </c>
      <c r="AU101" s="31">
        <f t="shared" ca="1" si="53"/>
        <v>4.3205372501164963E-4</v>
      </c>
      <c r="AV101" s="109">
        <f t="shared" ca="1" si="54"/>
        <v>4.3480443548760128E-4</v>
      </c>
      <c r="AW101" s="27" t="e">
        <f t="shared" ca="1" si="55"/>
        <v>#VALUE!</v>
      </c>
      <c r="AX101" s="29" t="e">
        <f t="shared" ca="1" si="56"/>
        <v>#VALUE!</v>
      </c>
      <c r="AY101" s="72"/>
    </row>
    <row r="102" spans="13:51" s="11" customFormat="1" ht="15.6" customHeight="1" x14ac:dyDescent="0.3">
      <c r="M102" s="20">
        <f t="shared" si="57"/>
        <v>72</v>
      </c>
      <c r="N102" s="21">
        <f t="shared" si="58"/>
        <v>1.2600000000000002</v>
      </c>
      <c r="O102" s="22">
        <f t="shared" ca="1" si="30"/>
        <v>129.81100612332727</v>
      </c>
      <c r="P102" s="23">
        <f t="shared" ca="1" si="31"/>
        <v>-1</v>
      </c>
      <c r="Q102" s="22" t="e">
        <f t="shared" ca="1" si="32"/>
        <v>#VALUE!</v>
      </c>
      <c r="R102" s="23">
        <f t="shared" ca="1" si="33"/>
        <v>-1</v>
      </c>
      <c r="S102" s="24" t="e">
        <f t="shared" ca="1" si="34"/>
        <v>#VALUE!</v>
      </c>
      <c r="T102" s="23">
        <f t="shared" ca="1" si="35"/>
        <v>-1</v>
      </c>
      <c r="U102" s="112">
        <f t="shared" si="46"/>
        <v>2.3612987074445563E-2</v>
      </c>
      <c r="V102" s="109">
        <f t="shared" si="47"/>
        <v>-2.3612987074445563E-2</v>
      </c>
      <c r="W102" s="112">
        <f t="shared" si="48"/>
        <v>2.3612987074445563E-2</v>
      </c>
      <c r="X102" s="113">
        <f t="shared" si="49"/>
        <v>-2.3612987074445563E-2</v>
      </c>
      <c r="Y102" s="32"/>
      <c r="Z102" s="32"/>
      <c r="AA102" s="32"/>
      <c r="AB102" s="32"/>
      <c r="AC102" s="32"/>
      <c r="AD102" s="32"/>
      <c r="AE102" s="32"/>
      <c r="AG102" s="26">
        <f t="shared" si="36"/>
        <v>0</v>
      </c>
      <c r="AH102" s="27">
        <f t="shared" si="37"/>
        <v>5.9188981049301592E-2</v>
      </c>
      <c r="AI102" s="28">
        <f t="shared" si="50"/>
        <v>2.3612987074445563E-2</v>
      </c>
      <c r="AJ102" s="27">
        <f t="shared" si="38"/>
        <v>2.3612987074445563E-2</v>
      </c>
      <c r="AK102" s="28">
        <f t="shared" si="39"/>
        <v>4.2072241671855639E-3</v>
      </c>
      <c r="AL102" s="27">
        <f t="shared" si="40"/>
        <v>2.3612987074445563E-2</v>
      </c>
      <c r="AM102" s="28">
        <f t="shared" si="51"/>
        <v>2.3612987074445563E-2</v>
      </c>
      <c r="AN102" s="27">
        <f t="shared" si="52"/>
        <v>-2.3612987074445563E-2</v>
      </c>
      <c r="AO102" s="28">
        <f t="shared" si="41"/>
        <v>-2.3612987074445563E-2</v>
      </c>
      <c r="AP102" s="27">
        <f t="shared" si="42"/>
        <v>-4.2072241671855639E-3</v>
      </c>
      <c r="AQ102" s="29">
        <f t="shared" si="43"/>
        <v>-2.3612987074445563E-2</v>
      </c>
      <c r="AS102" s="30">
        <f t="shared" si="44"/>
        <v>0.96290550273492026</v>
      </c>
      <c r="AT102" s="21">
        <f t="shared" si="45"/>
        <v>5.2729735275890981</v>
      </c>
      <c r="AU102" s="31">
        <f t="shared" ca="1" si="53"/>
        <v>4.3367451734355189E-4</v>
      </c>
      <c r="AV102" s="109">
        <f t="shared" ca="1" si="54"/>
        <v>4.3642235941709906E-4</v>
      </c>
      <c r="AW102" s="27" t="e">
        <f t="shared" ca="1" si="55"/>
        <v>#VALUE!</v>
      </c>
      <c r="AX102" s="29" t="e">
        <f t="shared" ca="1" si="56"/>
        <v>#VALUE!</v>
      </c>
      <c r="AY102" s="72"/>
    </row>
    <row r="103" spans="13:51" s="11" customFormat="1" ht="15.6" customHeight="1" x14ac:dyDescent="0.3">
      <c r="M103" s="20">
        <f t="shared" si="57"/>
        <v>73</v>
      </c>
      <c r="N103" s="21">
        <f t="shared" si="58"/>
        <v>1.2775000000000003</v>
      </c>
      <c r="O103" s="22">
        <f t="shared" ca="1" si="30"/>
        <v>130.13415749813245</v>
      </c>
      <c r="P103" s="23">
        <f t="shared" ca="1" si="31"/>
        <v>-1</v>
      </c>
      <c r="Q103" s="22" t="e">
        <f t="shared" ca="1" si="32"/>
        <v>#VALUE!</v>
      </c>
      <c r="R103" s="23">
        <f t="shared" ca="1" si="33"/>
        <v>-1</v>
      </c>
      <c r="S103" s="24" t="e">
        <f t="shared" ca="1" si="34"/>
        <v>#VALUE!</v>
      </c>
      <c r="T103" s="23">
        <f t="shared" ca="1" si="35"/>
        <v>-1</v>
      </c>
      <c r="U103" s="112">
        <f t="shared" si="46"/>
        <v>2.3709956501124806E-2</v>
      </c>
      <c r="V103" s="109">
        <f t="shared" si="47"/>
        <v>-2.3709956501124806E-2</v>
      </c>
      <c r="W103" s="112">
        <f t="shared" si="48"/>
        <v>2.3709956501124806E-2</v>
      </c>
      <c r="X103" s="113">
        <f t="shared" si="49"/>
        <v>-2.3709956501124806E-2</v>
      </c>
      <c r="Y103" s="32"/>
      <c r="Z103" s="32"/>
      <c r="AA103" s="32"/>
      <c r="AB103" s="32"/>
      <c r="AC103" s="32"/>
      <c r="AD103" s="32"/>
      <c r="AE103" s="32"/>
      <c r="AG103" s="26">
        <f t="shared" si="36"/>
        <v>0</v>
      </c>
      <c r="AH103" s="27">
        <f t="shared" si="37"/>
        <v>5.9432047355990537E-2</v>
      </c>
      <c r="AI103" s="28">
        <f t="shared" si="50"/>
        <v>2.3709956501124806E-2</v>
      </c>
      <c r="AJ103" s="27">
        <f t="shared" si="38"/>
        <v>2.3709956501124806E-2</v>
      </c>
      <c r="AK103" s="28">
        <f t="shared" si="39"/>
        <v>4.1954668940451358E-3</v>
      </c>
      <c r="AL103" s="27">
        <f t="shared" si="40"/>
        <v>2.3709956501124806E-2</v>
      </c>
      <c r="AM103" s="28">
        <f t="shared" si="51"/>
        <v>2.3709956501124806E-2</v>
      </c>
      <c r="AN103" s="27">
        <f t="shared" si="52"/>
        <v>-2.3709956501124806E-2</v>
      </c>
      <c r="AO103" s="28">
        <f t="shared" si="41"/>
        <v>-2.3709956501124806E-2</v>
      </c>
      <c r="AP103" s="27">
        <f t="shared" si="42"/>
        <v>-4.1954668940451358E-3</v>
      </c>
      <c r="AQ103" s="29">
        <f t="shared" si="43"/>
        <v>-2.3709956501124806E-2</v>
      </c>
      <c r="AS103" s="30">
        <f t="shared" si="44"/>
        <v>0.96240011002317949</v>
      </c>
      <c r="AT103" s="21">
        <f t="shared" si="45"/>
        <v>5.2582379709459195</v>
      </c>
      <c r="AU103" s="31">
        <f t="shared" ca="1" si="53"/>
        <v>4.3529030438949068E-4</v>
      </c>
      <c r="AV103" s="109">
        <f t="shared" ca="1" si="54"/>
        <v>4.3803526495844736E-4</v>
      </c>
      <c r="AW103" s="27" t="e">
        <f t="shared" ca="1" si="55"/>
        <v>#VALUE!</v>
      </c>
      <c r="AX103" s="29" t="e">
        <f t="shared" ca="1" si="56"/>
        <v>#VALUE!</v>
      </c>
      <c r="AY103" s="72"/>
    </row>
    <row r="104" spans="13:51" s="11" customFormat="1" ht="15.6" customHeight="1" x14ac:dyDescent="0.3">
      <c r="M104" s="20">
        <f t="shared" si="57"/>
        <v>74</v>
      </c>
      <c r="N104" s="21">
        <f t="shared" si="58"/>
        <v>1.2950000000000004</v>
      </c>
      <c r="O104" s="22">
        <f t="shared" ca="1" si="30"/>
        <v>130.45717870321005</v>
      </c>
      <c r="P104" s="23">
        <f t="shared" ca="1" si="31"/>
        <v>-1</v>
      </c>
      <c r="Q104" s="22" t="e">
        <f t="shared" ca="1" si="32"/>
        <v>#VALUE!</v>
      </c>
      <c r="R104" s="23">
        <f t="shared" ca="1" si="33"/>
        <v>-1</v>
      </c>
      <c r="S104" s="24" t="e">
        <f t="shared" ca="1" si="34"/>
        <v>#VALUE!</v>
      </c>
      <c r="T104" s="23">
        <f t="shared" ca="1" si="35"/>
        <v>-1</v>
      </c>
      <c r="U104" s="112">
        <f t="shared" si="46"/>
        <v>2.3804868208220076E-2</v>
      </c>
      <c r="V104" s="109">
        <f t="shared" si="47"/>
        <v>-2.3804868208220076E-2</v>
      </c>
      <c r="W104" s="112">
        <f t="shared" si="48"/>
        <v>2.3804868208220076E-2</v>
      </c>
      <c r="X104" s="113">
        <f t="shared" si="49"/>
        <v>-2.3804868208220076E-2</v>
      </c>
      <c r="Y104" s="32"/>
      <c r="Z104" s="32"/>
      <c r="AA104" s="32"/>
      <c r="AB104" s="32"/>
      <c r="AC104" s="32"/>
      <c r="AD104" s="32"/>
      <c r="AE104" s="32"/>
      <c r="AG104" s="26">
        <f t="shared" si="36"/>
        <v>0</v>
      </c>
      <c r="AH104" s="27">
        <f t="shared" si="37"/>
        <v>5.9669955724589045E-2</v>
      </c>
      <c r="AI104" s="28">
        <f t="shared" si="50"/>
        <v>2.3804868208220076E-2</v>
      </c>
      <c r="AJ104" s="27">
        <f t="shared" si="38"/>
        <v>2.3804868208220076E-2</v>
      </c>
      <c r="AK104" s="28">
        <f t="shared" si="39"/>
        <v>4.1837034467157273E-3</v>
      </c>
      <c r="AL104" s="27">
        <f t="shared" si="40"/>
        <v>2.3804868208220076E-2</v>
      </c>
      <c r="AM104" s="28">
        <f t="shared" si="51"/>
        <v>2.3804868208220076E-2</v>
      </c>
      <c r="AN104" s="27">
        <f t="shared" si="52"/>
        <v>-2.3804868208220076E-2</v>
      </c>
      <c r="AO104" s="28">
        <f t="shared" si="41"/>
        <v>-2.3804868208220076E-2</v>
      </c>
      <c r="AP104" s="27">
        <f t="shared" si="42"/>
        <v>-4.1837034467157273E-3</v>
      </c>
      <c r="AQ104" s="29">
        <f t="shared" si="43"/>
        <v>-2.3804868208220076E-2</v>
      </c>
      <c r="AS104" s="30">
        <f t="shared" si="44"/>
        <v>0.96189498257297512</v>
      </c>
      <c r="AT104" s="21">
        <f t="shared" si="45"/>
        <v>5.2434946761044063</v>
      </c>
      <c r="AU104" s="31">
        <f t="shared" ca="1" si="53"/>
        <v>4.3690098983395487E-4</v>
      </c>
      <c r="AV104" s="109">
        <f t="shared" ca="1" si="54"/>
        <v>4.3964305587529395E-4</v>
      </c>
      <c r="AW104" s="27" t="e">
        <f t="shared" ca="1" si="55"/>
        <v>#VALUE!</v>
      </c>
      <c r="AX104" s="29" t="e">
        <f t="shared" ca="1" si="56"/>
        <v>#VALUE!</v>
      </c>
      <c r="AY104" s="72"/>
    </row>
    <row r="105" spans="13:51" s="11" customFormat="1" ht="15.6" customHeight="1" x14ac:dyDescent="0.3">
      <c r="M105" s="20">
        <f t="shared" si="57"/>
        <v>75</v>
      </c>
      <c r="N105" s="21">
        <f t="shared" si="58"/>
        <v>1.3125000000000004</v>
      </c>
      <c r="O105" s="22">
        <f t="shared" ca="1" si="30"/>
        <v>130.7800615296583</v>
      </c>
      <c r="P105" s="23">
        <f t="shared" ca="1" si="31"/>
        <v>-1</v>
      </c>
      <c r="Q105" s="22" t="e">
        <f t="shared" ca="1" si="32"/>
        <v>#VALUE!</v>
      </c>
      <c r="R105" s="23">
        <f t="shared" ca="1" si="33"/>
        <v>-1</v>
      </c>
      <c r="S105" s="24" t="e">
        <f t="shared" ca="1" si="34"/>
        <v>#VALUE!</v>
      </c>
      <c r="T105" s="23">
        <f t="shared" ca="1" si="35"/>
        <v>-1</v>
      </c>
      <c r="U105" s="112">
        <f t="shared" si="46"/>
        <v>2.3897753166819215E-2</v>
      </c>
      <c r="V105" s="109">
        <f t="shared" si="47"/>
        <v>-2.3897753166819215E-2</v>
      </c>
      <c r="W105" s="112">
        <f t="shared" si="48"/>
        <v>2.3897753166819215E-2</v>
      </c>
      <c r="X105" s="113">
        <f t="shared" si="49"/>
        <v>-2.3897753166819215E-2</v>
      </c>
      <c r="Y105" s="32"/>
      <c r="Z105" s="32"/>
      <c r="AA105" s="32"/>
      <c r="AB105" s="32"/>
      <c r="AC105" s="32"/>
      <c r="AD105" s="32"/>
      <c r="AE105" s="32"/>
      <c r="AG105" s="26">
        <f t="shared" si="36"/>
        <v>0</v>
      </c>
      <c r="AH105" s="27">
        <f t="shared" si="37"/>
        <v>5.9902783788101578E-2</v>
      </c>
      <c r="AI105" s="28">
        <f t="shared" si="50"/>
        <v>2.3897753166819215E-2</v>
      </c>
      <c r="AJ105" s="27">
        <f t="shared" si="38"/>
        <v>2.3897753166819215E-2</v>
      </c>
      <c r="AK105" s="28">
        <f t="shared" si="39"/>
        <v>4.1719338219550353E-3</v>
      </c>
      <c r="AL105" s="27">
        <f t="shared" si="40"/>
        <v>2.3897753166819215E-2</v>
      </c>
      <c r="AM105" s="28">
        <f t="shared" si="51"/>
        <v>2.3897753166819215E-2</v>
      </c>
      <c r="AN105" s="27">
        <f t="shared" si="52"/>
        <v>-2.3897753166819215E-2</v>
      </c>
      <c r="AO105" s="28">
        <f t="shared" si="41"/>
        <v>-2.3897753166819215E-2</v>
      </c>
      <c r="AP105" s="27">
        <f t="shared" si="42"/>
        <v>-4.1719338219550353E-3</v>
      </c>
      <c r="AQ105" s="29">
        <f t="shared" si="43"/>
        <v>-2.3897753166819215E-2</v>
      </c>
      <c r="AS105" s="30">
        <f t="shared" si="44"/>
        <v>0.96139012024508141</v>
      </c>
      <c r="AT105" s="21">
        <f t="shared" si="45"/>
        <v>5.2287436390009328</v>
      </c>
      <c r="AU105" s="31">
        <f t="shared" ca="1" si="53"/>
        <v>4.3850647763665762E-4</v>
      </c>
      <c r="AV105" s="109">
        <f t="shared" ca="1" si="54"/>
        <v>4.4124563620795421E-4</v>
      </c>
      <c r="AW105" s="27" t="e">
        <f t="shared" ca="1" si="55"/>
        <v>#VALUE!</v>
      </c>
      <c r="AX105" s="29" t="e">
        <f t="shared" ca="1" si="56"/>
        <v>#VALUE!</v>
      </c>
      <c r="AY105" s="72"/>
    </row>
    <row r="106" spans="13:51" s="11" customFormat="1" ht="15.6" customHeight="1" x14ac:dyDescent="0.3">
      <c r="M106" s="20">
        <f t="shared" si="57"/>
        <v>76</v>
      </c>
      <c r="N106" s="21">
        <f t="shared" si="58"/>
        <v>1.3300000000000005</v>
      </c>
      <c r="O106" s="22">
        <f t="shared" ca="1" si="30"/>
        <v>131.10279776857547</v>
      </c>
      <c r="P106" s="23">
        <f t="shared" ca="1" si="31"/>
        <v>-1</v>
      </c>
      <c r="Q106" s="22" t="e">
        <f t="shared" ca="1" si="32"/>
        <v>#VALUE!</v>
      </c>
      <c r="R106" s="23">
        <f t="shared" ca="1" si="33"/>
        <v>-1</v>
      </c>
      <c r="S106" s="24" t="e">
        <f t="shared" ca="1" si="34"/>
        <v>#VALUE!</v>
      </c>
      <c r="T106" s="23">
        <f t="shared" ca="1" si="35"/>
        <v>-1</v>
      </c>
      <c r="U106" s="112">
        <f t="shared" si="46"/>
        <v>2.3988641364613799E-2</v>
      </c>
      <c r="V106" s="109">
        <f t="shared" si="47"/>
        <v>-2.3988641364613799E-2</v>
      </c>
      <c r="W106" s="112">
        <f t="shared" si="48"/>
        <v>2.3988641364613799E-2</v>
      </c>
      <c r="X106" s="113">
        <f t="shared" si="49"/>
        <v>-2.3988641364613799E-2</v>
      </c>
      <c r="Y106" s="32"/>
      <c r="Z106" s="32"/>
      <c r="AA106" s="32"/>
      <c r="AB106" s="32"/>
      <c r="AC106" s="32"/>
      <c r="AD106" s="32"/>
      <c r="AE106" s="32"/>
      <c r="AG106" s="26">
        <f t="shared" si="36"/>
        <v>0</v>
      </c>
      <c r="AH106" s="27">
        <f t="shared" si="37"/>
        <v>6.0130606714523735E-2</v>
      </c>
      <c r="AI106" s="28">
        <f t="shared" si="50"/>
        <v>2.3988641364613799E-2</v>
      </c>
      <c r="AJ106" s="27">
        <f t="shared" si="38"/>
        <v>2.3988641364613799E-2</v>
      </c>
      <c r="AK106" s="28">
        <f t="shared" si="39"/>
        <v>4.1601580165190619E-3</v>
      </c>
      <c r="AL106" s="27">
        <f t="shared" si="40"/>
        <v>2.3988641364613799E-2</v>
      </c>
      <c r="AM106" s="28">
        <f t="shared" si="51"/>
        <v>2.3988641364613799E-2</v>
      </c>
      <c r="AN106" s="27">
        <f t="shared" si="52"/>
        <v>-2.3988641364613799E-2</v>
      </c>
      <c r="AO106" s="28">
        <f t="shared" si="41"/>
        <v>-2.3988641364613799E-2</v>
      </c>
      <c r="AP106" s="27">
        <f t="shared" si="42"/>
        <v>-4.1601580165190628E-3</v>
      </c>
      <c r="AQ106" s="29">
        <f t="shared" si="43"/>
        <v>-2.3988641364613799E-2</v>
      </c>
      <c r="AS106" s="30">
        <f t="shared" si="44"/>
        <v>0.96088552290034579</v>
      </c>
      <c r="AT106" s="21">
        <f t="shared" si="45"/>
        <v>5.2139848555697501</v>
      </c>
      <c r="AU106" s="31">
        <f t="shared" ca="1" si="53"/>
        <v>4.401066720345348E-4</v>
      </c>
      <c r="AV106" s="109">
        <f t="shared" ca="1" si="54"/>
        <v>4.4284291027518741E-4</v>
      </c>
      <c r="AW106" s="27" t="e">
        <f t="shared" ca="1" si="55"/>
        <v>#VALUE!</v>
      </c>
      <c r="AX106" s="29" t="e">
        <f t="shared" ca="1" si="56"/>
        <v>#VALUE!</v>
      </c>
      <c r="AY106" s="72"/>
    </row>
    <row r="107" spans="13:51" s="11" customFormat="1" ht="15.6" customHeight="1" x14ac:dyDescent="0.3">
      <c r="M107" s="20">
        <f t="shared" si="57"/>
        <v>77</v>
      </c>
      <c r="N107" s="21">
        <f t="shared" si="58"/>
        <v>1.3475000000000006</v>
      </c>
      <c r="O107" s="22">
        <f t="shared" ca="1" si="30"/>
        <v>131.42537921105981</v>
      </c>
      <c r="P107" s="23">
        <f t="shared" ca="1" si="31"/>
        <v>-1</v>
      </c>
      <c r="Q107" s="22" t="e">
        <f t="shared" ca="1" si="32"/>
        <v>#VALUE!</v>
      </c>
      <c r="R107" s="23">
        <f t="shared" ca="1" si="33"/>
        <v>-1</v>
      </c>
      <c r="S107" s="24" t="e">
        <f t="shared" ca="1" si="34"/>
        <v>#VALUE!</v>
      </c>
      <c r="T107" s="23">
        <f t="shared" ca="1" si="35"/>
        <v>-1</v>
      </c>
      <c r="U107" s="112">
        <f t="shared" si="46"/>
        <v>2.4077561849953247E-2</v>
      </c>
      <c r="V107" s="109">
        <f t="shared" si="47"/>
        <v>-2.4077561849953247E-2</v>
      </c>
      <c r="W107" s="112">
        <f t="shared" si="48"/>
        <v>2.4077561849953247E-2</v>
      </c>
      <c r="X107" s="113">
        <f t="shared" si="49"/>
        <v>-2.4077561849953247E-2</v>
      </c>
      <c r="Y107" s="32"/>
      <c r="Z107" s="32"/>
      <c r="AA107" s="32"/>
      <c r="AB107" s="32"/>
      <c r="AC107" s="32"/>
      <c r="AD107" s="32"/>
      <c r="AE107" s="32"/>
      <c r="AG107" s="26">
        <f t="shared" si="36"/>
        <v>0</v>
      </c>
      <c r="AH107" s="27">
        <f t="shared" si="37"/>
        <v>6.0353497317269501E-2</v>
      </c>
      <c r="AI107" s="28">
        <f t="shared" si="50"/>
        <v>2.4077561849953247E-2</v>
      </c>
      <c r="AJ107" s="27">
        <f t="shared" si="38"/>
        <v>2.4077561849953247E-2</v>
      </c>
      <c r="AK107" s="28">
        <f t="shared" si="39"/>
        <v>4.148376027162096E-3</v>
      </c>
      <c r="AL107" s="27">
        <f t="shared" si="40"/>
        <v>2.4077561849953247E-2</v>
      </c>
      <c r="AM107" s="28">
        <f t="shared" si="51"/>
        <v>2.4077561849953247E-2</v>
      </c>
      <c r="AN107" s="27">
        <f t="shared" si="52"/>
        <v>-2.4077561849953247E-2</v>
      </c>
      <c r="AO107" s="28">
        <f t="shared" si="41"/>
        <v>-2.4077561849953247E-2</v>
      </c>
      <c r="AP107" s="27">
        <f t="shared" si="42"/>
        <v>-4.148376027162096E-3</v>
      </c>
      <c r="AQ107" s="29">
        <f t="shared" si="43"/>
        <v>-2.4077561849953247E-2</v>
      </c>
      <c r="AS107" s="30">
        <f t="shared" si="44"/>
        <v>0.96038119039968839</v>
      </c>
      <c r="AT107" s="21">
        <f t="shared" si="45"/>
        <v>5.1992183217429639</v>
      </c>
      <c r="AU107" s="31">
        <f t="shared" ca="1" si="53"/>
        <v>4.417014775440764E-4</v>
      </c>
      <c r="AV107" s="109">
        <f t="shared" ca="1" si="54"/>
        <v>4.444347826767503E-4</v>
      </c>
      <c r="AW107" s="27" t="e">
        <f t="shared" ca="1" si="55"/>
        <v>#VALUE!</v>
      </c>
      <c r="AX107" s="29" t="e">
        <f t="shared" ca="1" si="56"/>
        <v>#VALUE!</v>
      </c>
      <c r="AY107" s="72"/>
    </row>
    <row r="108" spans="13:51" s="11" customFormat="1" ht="15.6" customHeight="1" x14ac:dyDescent="0.3">
      <c r="M108" s="20">
        <f t="shared" si="57"/>
        <v>78</v>
      </c>
      <c r="N108" s="21">
        <f t="shared" si="58"/>
        <v>1.3650000000000007</v>
      </c>
      <c r="O108" s="22">
        <f t="shared" ca="1" si="30"/>
        <v>131.7477976482096</v>
      </c>
      <c r="P108" s="23">
        <f t="shared" ca="1" si="31"/>
        <v>-1</v>
      </c>
      <c r="Q108" s="22" t="e">
        <f t="shared" ca="1" si="32"/>
        <v>#VALUE!</v>
      </c>
      <c r="R108" s="23">
        <f t="shared" ca="1" si="33"/>
        <v>-1</v>
      </c>
      <c r="S108" s="24" t="e">
        <f t="shared" ca="1" si="34"/>
        <v>#VALUE!</v>
      </c>
      <c r="T108" s="23">
        <f t="shared" ca="1" si="35"/>
        <v>-1</v>
      </c>
      <c r="U108" s="112">
        <f t="shared" si="46"/>
        <v>2.4164542773368537E-2</v>
      </c>
      <c r="V108" s="109">
        <f t="shared" si="47"/>
        <v>-2.4164542773368537E-2</v>
      </c>
      <c r="W108" s="112">
        <f t="shared" si="48"/>
        <v>2.4164542773368537E-2</v>
      </c>
      <c r="X108" s="113">
        <f t="shared" si="49"/>
        <v>-2.4164542773368537E-2</v>
      </c>
      <c r="Y108" s="32"/>
      <c r="Z108" s="32"/>
      <c r="AA108" s="32"/>
      <c r="AB108" s="32"/>
      <c r="AC108" s="32"/>
      <c r="AD108" s="32"/>
      <c r="AE108" s="32"/>
      <c r="AG108" s="26">
        <f t="shared" si="36"/>
        <v>0</v>
      </c>
      <c r="AH108" s="27">
        <f t="shared" si="37"/>
        <v>6.0571526159255783E-2</v>
      </c>
      <c r="AI108" s="28">
        <f t="shared" si="50"/>
        <v>2.4164542773368537E-2</v>
      </c>
      <c r="AJ108" s="27">
        <f t="shared" si="38"/>
        <v>2.4164542773368537E-2</v>
      </c>
      <c r="AK108" s="28">
        <f t="shared" si="39"/>
        <v>4.1365878506367275E-3</v>
      </c>
      <c r="AL108" s="27">
        <f t="shared" si="40"/>
        <v>2.4164542773368537E-2</v>
      </c>
      <c r="AM108" s="28">
        <f t="shared" si="51"/>
        <v>2.4164542773368537E-2</v>
      </c>
      <c r="AN108" s="27">
        <f t="shared" si="52"/>
        <v>-2.4164542773368537E-2</v>
      </c>
      <c r="AO108" s="28">
        <f t="shared" si="41"/>
        <v>-2.4164542773368537E-2</v>
      </c>
      <c r="AP108" s="27">
        <f t="shared" si="42"/>
        <v>-4.1365878506367275E-3</v>
      </c>
      <c r="AQ108" s="29">
        <f t="shared" si="43"/>
        <v>-2.4164542773368537E-2</v>
      </c>
      <c r="AS108" s="30">
        <f t="shared" si="44"/>
        <v>0.95987712260410274</v>
      </c>
      <c r="AT108" s="21">
        <f t="shared" si="45"/>
        <v>5.184444033450549</v>
      </c>
      <c r="AU108" s="31">
        <f t="shared" ca="1" si="53"/>
        <v>4.4329079896321399E-4</v>
      </c>
      <c r="AV108" s="109">
        <f t="shared" ca="1" si="54"/>
        <v>4.4602115829539546E-4</v>
      </c>
      <c r="AW108" s="27" t="e">
        <f t="shared" ca="1" si="55"/>
        <v>#VALUE!</v>
      </c>
      <c r="AX108" s="29" t="e">
        <f t="shared" ca="1" si="56"/>
        <v>#VALUE!</v>
      </c>
      <c r="AY108" s="72"/>
    </row>
    <row r="109" spans="13:51" s="11" customFormat="1" ht="15.6" customHeight="1" x14ac:dyDescent="0.3">
      <c r="M109" s="20">
        <f t="shared" si="57"/>
        <v>79</v>
      </c>
      <c r="N109" s="21">
        <f t="shared" si="58"/>
        <v>1.3825000000000007</v>
      </c>
      <c r="O109" s="22">
        <f t="shared" ca="1" si="30"/>
        <v>132.07004487112306</v>
      </c>
      <c r="P109" s="23">
        <f t="shared" ca="1" si="31"/>
        <v>-1</v>
      </c>
      <c r="Q109" s="22" t="e">
        <f t="shared" ca="1" si="32"/>
        <v>#VALUE!</v>
      </c>
      <c r="R109" s="23">
        <f t="shared" ca="1" si="33"/>
        <v>-1</v>
      </c>
      <c r="S109" s="24" t="e">
        <f t="shared" ca="1" si="34"/>
        <v>#VALUE!</v>
      </c>
      <c r="T109" s="23">
        <f t="shared" ca="1" si="35"/>
        <v>-1</v>
      </c>
      <c r="U109" s="112">
        <f t="shared" si="46"/>
        <v>2.4249611426741344E-2</v>
      </c>
      <c r="V109" s="109">
        <f t="shared" si="47"/>
        <v>-2.4249611426741344E-2</v>
      </c>
      <c r="W109" s="112">
        <f t="shared" si="48"/>
        <v>2.4249611426741344E-2</v>
      </c>
      <c r="X109" s="113">
        <f t="shared" si="49"/>
        <v>-2.4249611426741344E-2</v>
      </c>
      <c r="Y109" s="32"/>
      <c r="Z109" s="32"/>
      <c r="AA109" s="32"/>
      <c r="AB109" s="32"/>
      <c r="AC109" s="32"/>
      <c r="AD109" s="32"/>
      <c r="AE109" s="32"/>
      <c r="AG109" s="26">
        <f t="shared" si="36"/>
        <v>0</v>
      </c>
      <c r="AH109" s="27">
        <f t="shared" si="37"/>
        <v>6.0784761651084845E-2</v>
      </c>
      <c r="AI109" s="28">
        <f t="shared" si="50"/>
        <v>2.4249611426741344E-2</v>
      </c>
      <c r="AJ109" s="27">
        <f t="shared" si="38"/>
        <v>2.4249611426741344E-2</v>
      </c>
      <c r="AK109" s="28">
        <f t="shared" si="39"/>
        <v>4.1247934836938392E-3</v>
      </c>
      <c r="AL109" s="27">
        <f t="shared" si="40"/>
        <v>2.4249611426741344E-2</v>
      </c>
      <c r="AM109" s="28">
        <f t="shared" si="51"/>
        <v>2.4249611426741344E-2</v>
      </c>
      <c r="AN109" s="27">
        <f t="shared" si="52"/>
        <v>-2.4249611426741344E-2</v>
      </c>
      <c r="AO109" s="28">
        <f t="shared" si="41"/>
        <v>-2.4249611426741344E-2</v>
      </c>
      <c r="AP109" s="27">
        <f t="shared" si="42"/>
        <v>-4.1247934836938392E-3</v>
      </c>
      <c r="AQ109" s="29">
        <f t="shared" si="43"/>
        <v>-2.4249611426741344E-2</v>
      </c>
      <c r="AS109" s="30">
        <f t="shared" si="44"/>
        <v>0.95937331937465498</v>
      </c>
      <c r="AT109" s="21">
        <f t="shared" si="45"/>
        <v>5.1696619866203406</v>
      </c>
      <c r="AU109" s="31">
        <f t="shared" ca="1" si="53"/>
        <v>4.4487454137398519E-4</v>
      </c>
      <c r="AV109" s="109">
        <f t="shared" ca="1" si="54"/>
        <v>4.4760194229898076E-4</v>
      </c>
      <c r="AW109" s="27" t="e">
        <f t="shared" ca="1" si="55"/>
        <v>#VALUE!</v>
      </c>
      <c r="AX109" s="29" t="e">
        <f t="shared" ca="1" si="56"/>
        <v>#VALUE!</v>
      </c>
      <c r="AY109" s="72"/>
    </row>
    <row r="110" spans="13:51" s="11" customFormat="1" ht="15.6" customHeight="1" x14ac:dyDescent="0.3">
      <c r="M110" s="20">
        <f t="shared" si="57"/>
        <v>80</v>
      </c>
      <c r="N110" s="21">
        <f t="shared" si="58"/>
        <v>1.4000000000000008</v>
      </c>
      <c r="O110" s="22">
        <f t="shared" ca="1" si="30"/>
        <v>132.39211267089848</v>
      </c>
      <c r="P110" s="23">
        <f t="shared" ca="1" si="31"/>
        <v>-1</v>
      </c>
      <c r="Q110" s="22" t="e">
        <f t="shared" ca="1" si="32"/>
        <v>#VALUE!</v>
      </c>
      <c r="R110" s="23">
        <f t="shared" ca="1" si="33"/>
        <v>-1</v>
      </c>
      <c r="S110" s="24" t="e">
        <f t="shared" ca="1" si="34"/>
        <v>#VALUE!</v>
      </c>
      <c r="T110" s="23">
        <f t="shared" ca="1" si="35"/>
        <v>-1</v>
      </c>
      <c r="U110" s="112">
        <f t="shared" si="46"/>
        <v>2.4332794280280848E-2</v>
      </c>
      <c r="V110" s="109">
        <f t="shared" si="47"/>
        <v>-2.4332794280280848E-2</v>
      </c>
      <c r="W110" s="112">
        <f t="shared" si="48"/>
        <v>2.4332794280280848E-2</v>
      </c>
      <c r="X110" s="113">
        <f t="shared" si="49"/>
        <v>-2.4332794280280848E-2</v>
      </c>
      <c r="Y110" s="32"/>
      <c r="Z110" s="32"/>
      <c r="AA110" s="32"/>
      <c r="AB110" s="32"/>
      <c r="AC110" s="32"/>
      <c r="AD110" s="32"/>
      <c r="AE110" s="32"/>
      <c r="AG110" s="26">
        <f t="shared" si="36"/>
        <v>0</v>
      </c>
      <c r="AH110" s="27">
        <f t="shared" si="37"/>
        <v>6.0993270143731459E-2</v>
      </c>
      <c r="AI110" s="28">
        <f t="shared" si="50"/>
        <v>2.4332794280280848E-2</v>
      </c>
      <c r="AJ110" s="27">
        <f t="shared" si="38"/>
        <v>2.4332794280280848E-2</v>
      </c>
      <c r="AK110" s="28">
        <f t="shared" si="39"/>
        <v>4.1129929230826132E-3</v>
      </c>
      <c r="AL110" s="27">
        <f t="shared" si="40"/>
        <v>2.4332794280280848E-2</v>
      </c>
      <c r="AM110" s="28">
        <f t="shared" si="51"/>
        <v>2.4332794280280848E-2</v>
      </c>
      <c r="AN110" s="27">
        <f t="shared" si="52"/>
        <v>-2.4332794280280848E-2</v>
      </c>
      <c r="AO110" s="28">
        <f t="shared" si="41"/>
        <v>-2.4332794280280848E-2</v>
      </c>
      <c r="AP110" s="27">
        <f t="shared" si="42"/>
        <v>-4.1129929230826132E-3</v>
      </c>
      <c r="AQ110" s="29">
        <f t="shared" si="43"/>
        <v>-2.4332794280280848E-2</v>
      </c>
      <c r="AS110" s="30">
        <f t="shared" si="44"/>
        <v>0.95886978057248451</v>
      </c>
      <c r="AT110" s="21">
        <f t="shared" si="45"/>
        <v>5.1548721771780421</v>
      </c>
      <c r="AU110" s="31">
        <f t="shared" ca="1" si="53"/>
        <v>4.4645261014386595E-4</v>
      </c>
      <c r="AV110" s="109">
        <f t="shared" ca="1" si="54"/>
        <v>4.4917704014202364E-4</v>
      </c>
      <c r="AW110" s="27" t="e">
        <f t="shared" ca="1" si="55"/>
        <v>#VALUE!</v>
      </c>
      <c r="AX110" s="29" t="e">
        <f t="shared" ca="1" si="56"/>
        <v>#VALUE!</v>
      </c>
      <c r="AY110" s="72"/>
    </row>
    <row r="111" spans="13:51" s="11" customFormat="1" ht="15.6" customHeight="1" x14ac:dyDescent="0.3">
      <c r="M111" s="20">
        <f t="shared" si="57"/>
        <v>81</v>
      </c>
      <c r="N111" s="21">
        <f t="shared" si="58"/>
        <v>1.4175000000000009</v>
      </c>
      <c r="O111" s="22">
        <f t="shared" ca="1" si="30"/>
        <v>132.71399283863414</v>
      </c>
      <c r="P111" s="23">
        <f t="shared" ca="1" si="31"/>
        <v>-1</v>
      </c>
      <c r="Q111" s="22" t="e">
        <f t="shared" ca="1" si="32"/>
        <v>#VALUE!</v>
      </c>
      <c r="R111" s="23">
        <f t="shared" ca="1" si="33"/>
        <v>-1</v>
      </c>
      <c r="S111" s="24" t="e">
        <f t="shared" ca="1" si="34"/>
        <v>#VALUE!</v>
      </c>
      <c r="T111" s="23">
        <f t="shared" ca="1" si="35"/>
        <v>-1</v>
      </c>
      <c r="U111" s="112">
        <f t="shared" si="46"/>
        <v>2.4414117017456785E-2</v>
      </c>
      <c r="V111" s="109">
        <f t="shared" si="47"/>
        <v>-2.4414117017456785E-2</v>
      </c>
      <c r="W111" s="112">
        <f t="shared" si="48"/>
        <v>2.4414117017456785E-2</v>
      </c>
      <c r="X111" s="113">
        <f t="shared" si="49"/>
        <v>-2.4414117017456785E-2</v>
      </c>
      <c r="Y111" s="32"/>
      <c r="Z111" s="32"/>
      <c r="AA111" s="32"/>
      <c r="AB111" s="32"/>
      <c r="AC111" s="32"/>
      <c r="AD111" s="32"/>
      <c r="AE111" s="32"/>
      <c r="AG111" s="26">
        <f t="shared" si="36"/>
        <v>0</v>
      </c>
      <c r="AH111" s="27">
        <f t="shared" si="37"/>
        <v>6.1197116016107049E-2</v>
      </c>
      <c r="AI111" s="28">
        <f t="shared" si="50"/>
        <v>2.4414117017456785E-2</v>
      </c>
      <c r="AJ111" s="27">
        <f t="shared" si="38"/>
        <v>2.4414117017456785E-2</v>
      </c>
      <c r="AK111" s="28">
        <f t="shared" si="39"/>
        <v>4.1011861655505149E-3</v>
      </c>
      <c r="AL111" s="27">
        <f t="shared" si="40"/>
        <v>2.4414117017456785E-2</v>
      </c>
      <c r="AM111" s="28">
        <f t="shared" si="51"/>
        <v>2.4414117017456785E-2</v>
      </c>
      <c r="AN111" s="27">
        <f t="shared" si="52"/>
        <v>-2.4414117017456785E-2</v>
      </c>
      <c r="AO111" s="28">
        <f t="shared" si="41"/>
        <v>-2.4414117017456785E-2</v>
      </c>
      <c r="AP111" s="27">
        <f t="shared" si="42"/>
        <v>-4.1011861655505149E-3</v>
      </c>
      <c r="AQ111" s="29">
        <f t="shared" si="43"/>
        <v>-2.4414117017456785E-2</v>
      </c>
      <c r="AS111" s="30">
        <f t="shared" si="44"/>
        <v>0.95836650605880336</v>
      </c>
      <c r="AT111" s="21">
        <f t="shared" si="45"/>
        <v>5.1400746010472069</v>
      </c>
      <c r="AU111" s="31">
        <f t="shared" ca="1" si="53"/>
        <v>4.4802491092821306E-4</v>
      </c>
      <c r="AV111" s="109">
        <f t="shared" ca="1" si="54"/>
        <v>4.5074635756858772E-4</v>
      </c>
      <c r="AW111" s="27" t="e">
        <f t="shared" ca="1" si="55"/>
        <v>#VALUE!</v>
      </c>
      <c r="AX111" s="29" t="e">
        <f t="shared" ca="1" si="56"/>
        <v>#VALUE!</v>
      </c>
      <c r="AY111" s="72"/>
    </row>
    <row r="112" spans="13:51" s="11" customFormat="1" ht="15.6" customHeight="1" x14ac:dyDescent="0.3">
      <c r="M112" s="20">
        <f t="shared" si="57"/>
        <v>82</v>
      </c>
      <c r="N112" s="21">
        <f t="shared" si="58"/>
        <v>1.4350000000000009</v>
      </c>
      <c r="O112" s="22">
        <f t="shared" ca="1" si="30"/>
        <v>133.03567716542827</v>
      </c>
      <c r="P112" s="23">
        <f t="shared" ca="1" si="31"/>
        <v>-1</v>
      </c>
      <c r="Q112" s="22" t="e">
        <f t="shared" ca="1" si="32"/>
        <v>#VALUE!</v>
      </c>
      <c r="R112" s="23">
        <f t="shared" ca="1" si="33"/>
        <v>-1</v>
      </c>
      <c r="S112" s="24" t="e">
        <f t="shared" ca="1" si="34"/>
        <v>#VALUE!</v>
      </c>
      <c r="T112" s="23">
        <f t="shared" ca="1" si="35"/>
        <v>-1</v>
      </c>
      <c r="U112" s="112">
        <f t="shared" si="46"/>
        <v>2.4493604568026166E-2</v>
      </c>
      <c r="V112" s="109">
        <f t="shared" si="47"/>
        <v>-2.4493604568026166E-2</v>
      </c>
      <c r="W112" s="112">
        <f t="shared" si="48"/>
        <v>2.4493604568026166E-2</v>
      </c>
      <c r="X112" s="113">
        <f t="shared" si="49"/>
        <v>-2.4493604568026166E-2</v>
      </c>
      <c r="Y112" s="32"/>
      <c r="Z112" s="32"/>
      <c r="AA112" s="32"/>
      <c r="AB112" s="32"/>
      <c r="AC112" s="32"/>
      <c r="AD112" s="32"/>
      <c r="AE112" s="32"/>
      <c r="AG112" s="26">
        <f t="shared" si="36"/>
        <v>0</v>
      </c>
      <c r="AH112" s="27">
        <f t="shared" si="37"/>
        <v>6.1396361757845422E-2</v>
      </c>
      <c r="AI112" s="28">
        <f t="shared" si="50"/>
        <v>2.4493604568026166E-2</v>
      </c>
      <c r="AJ112" s="27">
        <f t="shared" si="38"/>
        <v>2.4493604568026166E-2</v>
      </c>
      <c r="AK112" s="28">
        <f t="shared" si="39"/>
        <v>4.0893732078433088E-3</v>
      </c>
      <c r="AL112" s="27">
        <f t="shared" si="40"/>
        <v>2.4493604568026166E-2</v>
      </c>
      <c r="AM112" s="28">
        <f t="shared" si="51"/>
        <v>2.4493604568026166E-2</v>
      </c>
      <c r="AN112" s="27">
        <f t="shared" si="52"/>
        <v>-2.4493604568026166E-2</v>
      </c>
      <c r="AO112" s="28">
        <f t="shared" si="41"/>
        <v>-2.4493604568026166E-2</v>
      </c>
      <c r="AP112" s="27">
        <f t="shared" si="42"/>
        <v>-4.0893732078433097E-3</v>
      </c>
      <c r="AQ112" s="29">
        <f t="shared" si="43"/>
        <v>-2.4493604568026166E-2</v>
      </c>
      <c r="AS112" s="30">
        <f t="shared" si="44"/>
        <v>0.95786349569489659</v>
      </c>
      <c r="AT112" s="21">
        <f t="shared" si="45"/>
        <v>5.1252692541492566</v>
      </c>
      <c r="AU112" s="31">
        <f t="shared" ca="1" si="53"/>
        <v>4.4959134967259562E-4</v>
      </c>
      <c r="AV112" s="109">
        <f t="shared" ca="1" si="54"/>
        <v>4.5230980061428117E-4</v>
      </c>
      <c r="AW112" s="27" t="e">
        <f t="shared" ca="1" si="55"/>
        <v>#VALUE!</v>
      </c>
      <c r="AX112" s="29" t="e">
        <f t="shared" ca="1" si="56"/>
        <v>#VALUE!</v>
      </c>
      <c r="AY112" s="72"/>
    </row>
    <row r="113" spans="13:51" s="11" customFormat="1" ht="15.6" customHeight="1" x14ac:dyDescent="0.3">
      <c r="M113" s="20">
        <f t="shared" si="57"/>
        <v>83</v>
      </c>
      <c r="N113" s="21">
        <f t="shared" si="58"/>
        <v>1.452500000000001</v>
      </c>
      <c r="O113" s="22">
        <f t="shared" ca="1" si="30"/>
        <v>133.3571574423791</v>
      </c>
      <c r="P113" s="23">
        <f t="shared" ca="1" si="31"/>
        <v>-1</v>
      </c>
      <c r="Q113" s="22" t="e">
        <f t="shared" ca="1" si="32"/>
        <v>#VALUE!</v>
      </c>
      <c r="R113" s="23">
        <f t="shared" ca="1" si="33"/>
        <v>-1</v>
      </c>
      <c r="S113" s="24" t="e">
        <f t="shared" ca="1" si="34"/>
        <v>#VALUE!</v>
      </c>
      <c r="T113" s="23">
        <f t="shared" ca="1" si="35"/>
        <v>-1</v>
      </c>
      <c r="U113" s="112">
        <f t="shared" si="46"/>
        <v>2.4571281139279536E-2</v>
      </c>
      <c r="V113" s="109">
        <f t="shared" si="47"/>
        <v>-2.4571281139279536E-2</v>
      </c>
      <c r="W113" s="112">
        <f t="shared" si="48"/>
        <v>2.4571281139279536E-2</v>
      </c>
      <c r="X113" s="113">
        <f t="shared" si="49"/>
        <v>-2.4571281139279536E-2</v>
      </c>
      <c r="Y113" s="32"/>
      <c r="Z113" s="32"/>
      <c r="AA113" s="32"/>
      <c r="AB113" s="32"/>
      <c r="AC113" s="32"/>
      <c r="AD113" s="32"/>
      <c r="AE113" s="32"/>
      <c r="AG113" s="26">
        <f t="shared" si="36"/>
        <v>0</v>
      </c>
      <c r="AH113" s="27">
        <f t="shared" si="37"/>
        <v>6.1591068047625507E-2</v>
      </c>
      <c r="AI113" s="28">
        <f t="shared" si="50"/>
        <v>2.4571281139279536E-2</v>
      </c>
      <c r="AJ113" s="27">
        <f t="shared" si="38"/>
        <v>2.4571281139279536E-2</v>
      </c>
      <c r="AK113" s="28">
        <f t="shared" si="39"/>
        <v>4.0775540467050493E-3</v>
      </c>
      <c r="AL113" s="27">
        <f t="shared" si="40"/>
        <v>2.4571281139279536E-2</v>
      </c>
      <c r="AM113" s="28">
        <f t="shared" si="51"/>
        <v>2.4571281139279536E-2</v>
      </c>
      <c r="AN113" s="27">
        <f t="shared" si="52"/>
        <v>-2.4571281139279536E-2</v>
      </c>
      <c r="AO113" s="28">
        <f t="shared" si="41"/>
        <v>-2.4571281139279536E-2</v>
      </c>
      <c r="AP113" s="27">
        <f t="shared" si="42"/>
        <v>-4.0775540467050493E-3</v>
      </c>
      <c r="AQ113" s="29">
        <f t="shared" si="43"/>
        <v>-2.4571281139279536E-2</v>
      </c>
      <c r="AS113" s="30">
        <f t="shared" si="44"/>
        <v>0.95736074934212179</v>
      </c>
      <c r="AT113" s="21">
        <f t="shared" si="45"/>
        <v>5.1104561324034661</v>
      </c>
      <c r="AU113" s="31">
        <f t="shared" ca="1" si="53"/>
        <v>4.511518326142383E-4</v>
      </c>
      <c r="AV113" s="109">
        <f t="shared" ca="1" si="54"/>
        <v>4.5386727560703388E-4</v>
      </c>
      <c r="AW113" s="27" t="e">
        <f t="shared" ca="1" si="55"/>
        <v>#VALUE!</v>
      </c>
      <c r="AX113" s="29" t="e">
        <f t="shared" ca="1" si="56"/>
        <v>#VALUE!</v>
      </c>
      <c r="AY113" s="72"/>
    </row>
    <row r="114" spans="13:51" s="11" customFormat="1" ht="15.6" customHeight="1" x14ac:dyDescent="0.3">
      <c r="M114" s="20">
        <f t="shared" si="57"/>
        <v>84</v>
      </c>
      <c r="N114" s="21">
        <f t="shared" si="58"/>
        <v>1.4700000000000011</v>
      </c>
      <c r="O114" s="22">
        <f t="shared" ca="1" si="30"/>
        <v>133.67842546058495</v>
      </c>
      <c r="P114" s="23">
        <f t="shared" ca="1" si="31"/>
        <v>-1</v>
      </c>
      <c r="Q114" s="22" t="e">
        <f t="shared" ca="1" si="32"/>
        <v>#VALUE!</v>
      </c>
      <c r="R114" s="23">
        <f t="shared" ca="1" si="33"/>
        <v>-1</v>
      </c>
      <c r="S114" s="24" t="e">
        <f t="shared" ca="1" si="34"/>
        <v>#VALUE!</v>
      </c>
      <c r="T114" s="23">
        <f t="shared" ca="1" si="35"/>
        <v>-1</v>
      </c>
      <c r="U114" s="112">
        <f t="shared" si="46"/>
        <v>2.4647170245623524E-2</v>
      </c>
      <c r="V114" s="109">
        <f t="shared" si="47"/>
        <v>-2.4647170245623524E-2</v>
      </c>
      <c r="W114" s="112">
        <f t="shared" si="48"/>
        <v>2.4647170245623524E-2</v>
      </c>
      <c r="X114" s="113">
        <f t="shared" si="49"/>
        <v>-2.4647170245623524E-2</v>
      </c>
      <c r="Y114" s="32"/>
      <c r="Z114" s="32"/>
      <c r="AA114" s="32"/>
      <c r="AB114" s="32"/>
      <c r="AC114" s="32"/>
      <c r="AD114" s="32"/>
      <c r="AE114" s="32"/>
      <c r="AG114" s="26">
        <f t="shared" si="36"/>
        <v>0</v>
      </c>
      <c r="AH114" s="27">
        <f t="shared" si="37"/>
        <v>6.1781293827323829E-2</v>
      </c>
      <c r="AI114" s="28">
        <f t="shared" si="50"/>
        <v>2.4647170245623524E-2</v>
      </c>
      <c r="AJ114" s="27">
        <f t="shared" si="38"/>
        <v>2.4647170245623524E-2</v>
      </c>
      <c r="AK114" s="28">
        <f t="shared" si="39"/>
        <v>4.0657286788780772E-3</v>
      </c>
      <c r="AL114" s="27">
        <f t="shared" si="40"/>
        <v>2.4647170245623524E-2</v>
      </c>
      <c r="AM114" s="28">
        <f t="shared" si="51"/>
        <v>2.4647170245623524E-2</v>
      </c>
      <c r="AN114" s="27">
        <f t="shared" si="52"/>
        <v>-2.4647170245623524E-2</v>
      </c>
      <c r="AO114" s="28">
        <f t="shared" si="41"/>
        <v>-2.4647170245623524E-2</v>
      </c>
      <c r="AP114" s="27">
        <f t="shared" si="42"/>
        <v>-4.0657286788780781E-3</v>
      </c>
      <c r="AQ114" s="29">
        <f t="shared" si="43"/>
        <v>-2.4647170245623524E-2</v>
      </c>
      <c r="AS114" s="30">
        <f t="shared" si="44"/>
        <v>0.95685826686190967</v>
      </c>
      <c r="AT114" s="21">
        <f t="shared" si="45"/>
        <v>5.0956352317269662</v>
      </c>
      <c r="AU114" s="31">
        <f t="shared" ca="1" si="53"/>
        <v>4.5270626628457489E-4</v>
      </c>
      <c r="AV114" s="109">
        <f t="shared" ca="1" si="54"/>
        <v>4.5541868917109429E-4</v>
      </c>
      <c r="AW114" s="27" t="e">
        <f t="shared" ca="1" si="55"/>
        <v>#VALUE!</v>
      </c>
      <c r="AX114" s="29" t="e">
        <f t="shared" ca="1" si="56"/>
        <v>#VALUE!</v>
      </c>
      <c r="AY114" s="72"/>
    </row>
    <row r="115" spans="13:51" s="11" customFormat="1" ht="15.6" customHeight="1" x14ac:dyDescent="0.3">
      <c r="M115" s="20">
        <f t="shared" si="57"/>
        <v>85</v>
      </c>
      <c r="N115" s="21">
        <f t="shared" si="58"/>
        <v>1.4875000000000012</v>
      </c>
      <c r="O115" s="22">
        <f t="shared" ca="1" si="30"/>
        <v>133.99947301114406</v>
      </c>
      <c r="P115" s="23">
        <f t="shared" ca="1" si="31"/>
        <v>-1</v>
      </c>
      <c r="Q115" s="22" t="e">
        <f t="shared" ca="1" si="32"/>
        <v>#VALUE!</v>
      </c>
      <c r="R115" s="23">
        <f t="shared" ca="1" si="33"/>
        <v>-1</v>
      </c>
      <c r="S115" s="24" t="e">
        <f t="shared" ca="1" si="34"/>
        <v>#VALUE!</v>
      </c>
      <c r="T115" s="23">
        <f t="shared" ca="1" si="35"/>
        <v>-1</v>
      </c>
      <c r="U115" s="112">
        <f t="shared" si="46"/>
        <v>2.4721294736607249E-2</v>
      </c>
      <c r="V115" s="109">
        <f t="shared" si="47"/>
        <v>-2.4721294736607249E-2</v>
      </c>
      <c r="W115" s="112">
        <f t="shared" si="48"/>
        <v>2.4721294736607249E-2</v>
      </c>
      <c r="X115" s="113">
        <f t="shared" si="49"/>
        <v>-2.4721294736607249E-2</v>
      </c>
      <c r="Y115" s="32"/>
      <c r="Z115" s="32"/>
      <c r="AA115" s="32"/>
      <c r="AB115" s="32"/>
      <c r="AC115" s="32"/>
      <c r="AD115" s="32"/>
      <c r="AE115" s="32"/>
      <c r="AG115" s="26">
        <f t="shared" si="36"/>
        <v>0</v>
      </c>
      <c r="AH115" s="27">
        <f t="shared" si="37"/>
        <v>6.1967096372266259E-2</v>
      </c>
      <c r="AI115" s="28">
        <f t="shared" si="50"/>
        <v>2.4721294736607249E-2</v>
      </c>
      <c r="AJ115" s="27">
        <f t="shared" si="38"/>
        <v>2.4721294736607249E-2</v>
      </c>
      <c r="AK115" s="28">
        <f t="shared" si="39"/>
        <v>4.0538971011030303E-3</v>
      </c>
      <c r="AL115" s="27">
        <f t="shared" si="40"/>
        <v>2.4721294736607249E-2</v>
      </c>
      <c r="AM115" s="28">
        <f t="shared" si="51"/>
        <v>2.4721294736607249E-2</v>
      </c>
      <c r="AN115" s="27">
        <f t="shared" si="52"/>
        <v>-2.4721294736607249E-2</v>
      </c>
      <c r="AO115" s="28">
        <f t="shared" si="41"/>
        <v>-2.4721294736607249E-2</v>
      </c>
      <c r="AP115" s="27">
        <f t="shared" si="42"/>
        <v>-4.0538971011030312E-3</v>
      </c>
      <c r="AQ115" s="29">
        <f t="shared" si="43"/>
        <v>-2.4721294736607249E-2</v>
      </c>
      <c r="AS115" s="30">
        <f t="shared" si="44"/>
        <v>0.95635604811576336</v>
      </c>
      <c r="AT115" s="21">
        <f t="shared" si="45"/>
        <v>5.0808065480347517</v>
      </c>
      <c r="AU115" s="31">
        <f t="shared" ca="1" si="53"/>
        <v>4.5425455751069155E-4</v>
      </c>
      <c r="AV115" s="109">
        <f t="shared" ca="1" si="54"/>
        <v>4.5696394822714037E-4</v>
      </c>
      <c r="AW115" s="27" t="e">
        <f t="shared" ca="1" si="55"/>
        <v>#VALUE!</v>
      </c>
      <c r="AX115" s="29" t="e">
        <f t="shared" ca="1" si="56"/>
        <v>#VALUE!</v>
      </c>
      <c r="AY115" s="72"/>
    </row>
    <row r="116" spans="13:51" s="11" customFormat="1" ht="15.6" customHeight="1" x14ac:dyDescent="0.3">
      <c r="M116" s="20">
        <f t="shared" si="57"/>
        <v>86</v>
      </c>
      <c r="N116" s="21">
        <f t="shared" si="58"/>
        <v>1.5050000000000012</v>
      </c>
      <c r="O116" s="22">
        <f t="shared" ca="1" si="30"/>
        <v>134.32029188515466</v>
      </c>
      <c r="P116" s="23">
        <f t="shared" ca="1" si="31"/>
        <v>-1</v>
      </c>
      <c r="Q116" s="22" t="e">
        <f t="shared" ca="1" si="32"/>
        <v>#VALUE!</v>
      </c>
      <c r="R116" s="23">
        <f t="shared" ca="1" si="33"/>
        <v>-1</v>
      </c>
      <c r="S116" s="24" t="e">
        <f t="shared" ca="1" si="34"/>
        <v>#VALUE!</v>
      </c>
      <c r="T116" s="23">
        <f t="shared" ca="1" si="35"/>
        <v>-1</v>
      </c>
      <c r="U116" s="112">
        <f t="shared" si="46"/>
        <v>2.4793676823491716E-2</v>
      </c>
      <c r="V116" s="109">
        <f t="shared" si="47"/>
        <v>-2.4793676823491716E-2</v>
      </c>
      <c r="W116" s="112">
        <f t="shared" si="48"/>
        <v>2.4793676823491716E-2</v>
      </c>
      <c r="X116" s="113">
        <f t="shared" si="49"/>
        <v>-2.4793676823491716E-2</v>
      </c>
      <c r="Y116" s="32"/>
      <c r="Z116" s="32"/>
      <c r="AA116" s="32"/>
      <c r="AB116" s="32"/>
      <c r="AC116" s="32"/>
      <c r="AD116" s="32"/>
      <c r="AE116" s="32"/>
      <c r="AG116" s="26">
        <f t="shared" si="36"/>
        <v>0</v>
      </c>
      <c r="AH116" s="27">
        <f t="shared" si="37"/>
        <v>6.2148531357827663E-2</v>
      </c>
      <c r="AI116" s="28">
        <f t="shared" si="50"/>
        <v>2.4793676823491716E-2</v>
      </c>
      <c r="AJ116" s="27">
        <f t="shared" si="38"/>
        <v>2.4793676823491716E-2</v>
      </c>
      <c r="AK116" s="28">
        <f t="shared" si="39"/>
        <v>4.0420593101188245E-3</v>
      </c>
      <c r="AL116" s="27">
        <f t="shared" si="40"/>
        <v>2.4793676823491716E-2</v>
      </c>
      <c r="AM116" s="28">
        <f t="shared" si="51"/>
        <v>2.4793676823491716E-2</v>
      </c>
      <c r="AN116" s="27">
        <f t="shared" si="52"/>
        <v>-2.4793676823491716E-2</v>
      </c>
      <c r="AO116" s="28">
        <f t="shared" si="41"/>
        <v>-2.4793676823491716E-2</v>
      </c>
      <c r="AP116" s="27">
        <f t="shared" si="42"/>
        <v>-4.0420593101188245E-3</v>
      </c>
      <c r="AQ116" s="29">
        <f t="shared" si="43"/>
        <v>-2.4793676823491716E-2</v>
      </c>
      <c r="AS116" s="30">
        <f t="shared" si="44"/>
        <v>0.95585409296525881</v>
      </c>
      <c r="AT116" s="21">
        <f t="shared" si="45"/>
        <v>5.0659700772396601</v>
      </c>
      <c r="AU116" s="31">
        <f t="shared" ca="1" si="53"/>
        <v>4.5579661341788036E-4</v>
      </c>
      <c r="AV116" s="109">
        <f t="shared" ca="1" si="54"/>
        <v>4.5850295999549928E-4</v>
      </c>
      <c r="AW116" s="27" t="e">
        <f t="shared" ca="1" si="55"/>
        <v>#VALUE!</v>
      </c>
      <c r="AX116" s="29" t="e">
        <f t="shared" ca="1" si="56"/>
        <v>#VALUE!</v>
      </c>
      <c r="AY116" s="72"/>
    </row>
    <row r="117" spans="13:51" s="11" customFormat="1" ht="15.6" customHeight="1" x14ac:dyDescent="0.3">
      <c r="M117" s="20">
        <f t="shared" si="57"/>
        <v>87</v>
      </c>
      <c r="N117" s="21">
        <f t="shared" si="58"/>
        <v>1.5225000000000013</v>
      </c>
      <c r="O117" s="22">
        <f t="shared" ca="1" si="30"/>
        <v>134.64087387371504</v>
      </c>
      <c r="P117" s="23">
        <f t="shared" ca="1" si="31"/>
        <v>-1</v>
      </c>
      <c r="Q117" s="22" t="e">
        <f t="shared" ca="1" si="32"/>
        <v>#VALUE!</v>
      </c>
      <c r="R117" s="23">
        <f t="shared" ca="1" si="33"/>
        <v>-1</v>
      </c>
      <c r="S117" s="24" t="e">
        <f t="shared" ca="1" si="34"/>
        <v>#VALUE!</v>
      </c>
      <c r="T117" s="23">
        <f t="shared" ca="1" si="35"/>
        <v>-1</v>
      </c>
      <c r="U117" s="112">
        <f t="shared" si="46"/>
        <v>2.4864338104454674E-2</v>
      </c>
      <c r="V117" s="109">
        <f t="shared" si="47"/>
        <v>-2.4864338104454674E-2</v>
      </c>
      <c r="W117" s="112">
        <f t="shared" si="48"/>
        <v>2.4864338104454674E-2</v>
      </c>
      <c r="X117" s="113">
        <f t="shared" si="49"/>
        <v>-2.4864338104454674E-2</v>
      </c>
      <c r="Y117" s="32"/>
      <c r="Z117" s="32"/>
      <c r="AA117" s="32"/>
      <c r="AB117" s="32"/>
      <c r="AC117" s="32"/>
      <c r="AD117" s="32"/>
      <c r="AE117" s="32"/>
      <c r="AG117" s="26">
        <f t="shared" si="36"/>
        <v>0</v>
      </c>
      <c r="AH117" s="27">
        <f t="shared" si="37"/>
        <v>6.2325652922611059E-2</v>
      </c>
      <c r="AI117" s="28">
        <f t="shared" si="50"/>
        <v>2.4864338104454674E-2</v>
      </c>
      <c r="AJ117" s="27">
        <f t="shared" si="38"/>
        <v>2.4864338104454674E-2</v>
      </c>
      <c r="AK117" s="28">
        <f t="shared" si="39"/>
        <v>4.0302153026626738E-3</v>
      </c>
      <c r="AL117" s="27">
        <f t="shared" si="40"/>
        <v>2.4864338104454674E-2</v>
      </c>
      <c r="AM117" s="28">
        <f t="shared" si="51"/>
        <v>2.4864338104454674E-2</v>
      </c>
      <c r="AN117" s="27">
        <f t="shared" si="52"/>
        <v>-2.4864338104454674E-2</v>
      </c>
      <c r="AO117" s="28">
        <f t="shared" si="41"/>
        <v>-2.4864338104454674E-2</v>
      </c>
      <c r="AP117" s="27">
        <f t="shared" si="42"/>
        <v>-4.0302153026626738E-3</v>
      </c>
      <c r="AQ117" s="29">
        <f t="shared" si="43"/>
        <v>-2.4864338104454674E-2</v>
      </c>
      <c r="AS117" s="30">
        <f t="shared" si="44"/>
        <v>0.95535240127204479</v>
      </c>
      <c r="AT117" s="21">
        <f t="shared" si="45"/>
        <v>5.0511258152523961</v>
      </c>
      <c r="AU117" s="31">
        <f t="shared" ca="1" si="53"/>
        <v>4.5733234143108259E-4</v>
      </c>
      <c r="AV117" s="109">
        <f t="shared" ca="1" si="54"/>
        <v>4.6003563199736863E-4</v>
      </c>
      <c r="AW117" s="27" t="e">
        <f t="shared" ca="1" si="55"/>
        <v>#VALUE!</v>
      </c>
      <c r="AX117" s="29" t="e">
        <f t="shared" ca="1" si="56"/>
        <v>#VALUE!</v>
      </c>
      <c r="AY117" s="72"/>
    </row>
    <row r="118" spans="13:51" s="11" customFormat="1" ht="15.6" customHeight="1" x14ac:dyDescent="0.3">
      <c r="M118" s="20">
        <f t="shared" si="57"/>
        <v>88</v>
      </c>
      <c r="N118" s="21">
        <f t="shared" si="58"/>
        <v>1.5400000000000014</v>
      </c>
      <c r="O118" s="22">
        <f t="shared" ca="1" si="30"/>
        <v>134.96121076792346</v>
      </c>
      <c r="P118" s="23">
        <f t="shared" ca="1" si="31"/>
        <v>-1</v>
      </c>
      <c r="Q118" s="22" t="e">
        <f t="shared" ca="1" si="32"/>
        <v>#VALUE!</v>
      </c>
      <c r="R118" s="23">
        <f t="shared" ca="1" si="33"/>
        <v>-1</v>
      </c>
      <c r="S118" s="24" t="e">
        <f t="shared" ca="1" si="34"/>
        <v>#VALUE!</v>
      </c>
      <c r="T118" s="23">
        <f t="shared" ca="1" si="35"/>
        <v>-1</v>
      </c>
      <c r="U118" s="112">
        <f t="shared" si="46"/>
        <v>2.4933299588515489E-2</v>
      </c>
      <c r="V118" s="109">
        <f t="shared" si="47"/>
        <v>-2.4933299588515489E-2</v>
      </c>
      <c r="W118" s="112">
        <f t="shared" si="48"/>
        <v>2.4933299588515489E-2</v>
      </c>
      <c r="X118" s="113">
        <f t="shared" si="49"/>
        <v>-2.4933299588515489E-2</v>
      </c>
      <c r="Y118" s="32"/>
      <c r="Z118" s="32"/>
      <c r="AA118" s="32"/>
      <c r="AB118" s="32"/>
      <c r="AC118" s="32"/>
      <c r="AD118" s="32"/>
      <c r="AE118" s="32"/>
      <c r="AG118" s="26">
        <f t="shared" si="36"/>
        <v>0</v>
      </c>
      <c r="AH118" s="27">
        <f t="shared" si="37"/>
        <v>6.2498513728418408E-2</v>
      </c>
      <c r="AI118" s="28">
        <f t="shared" si="50"/>
        <v>2.4933299588515489E-2</v>
      </c>
      <c r="AJ118" s="27">
        <f t="shared" si="38"/>
        <v>2.4933299588515489E-2</v>
      </c>
      <c r="AK118" s="28">
        <f t="shared" si="39"/>
        <v>4.0183650754700671E-3</v>
      </c>
      <c r="AL118" s="27">
        <f t="shared" si="40"/>
        <v>2.4933299588515489E-2</v>
      </c>
      <c r="AM118" s="28">
        <f t="shared" si="51"/>
        <v>2.4933299588515489E-2</v>
      </c>
      <c r="AN118" s="27">
        <f t="shared" si="52"/>
        <v>-2.4933299588515489E-2</v>
      </c>
      <c r="AO118" s="28">
        <f t="shared" si="41"/>
        <v>-2.4933299588515489E-2</v>
      </c>
      <c r="AP118" s="27">
        <f t="shared" si="42"/>
        <v>-4.0183650754700671E-3</v>
      </c>
      <c r="AQ118" s="29">
        <f t="shared" si="43"/>
        <v>-2.4933299588515489E-2</v>
      </c>
      <c r="AS118" s="30">
        <f t="shared" si="44"/>
        <v>0.95485097289784238</v>
      </c>
      <c r="AT118" s="21">
        <f t="shared" si="45"/>
        <v>5.036273757981502</v>
      </c>
      <c r="AU118" s="31">
        <f t="shared" ca="1" si="53"/>
        <v>4.5886164927699813E-4</v>
      </c>
      <c r="AV118" s="109">
        <f t="shared" ca="1" si="54"/>
        <v>4.6156187205692589E-4</v>
      </c>
      <c r="AW118" s="27" t="e">
        <f t="shared" ca="1" si="55"/>
        <v>#VALUE!</v>
      </c>
      <c r="AX118" s="29" t="e">
        <f t="shared" ca="1" si="56"/>
        <v>#VALUE!</v>
      </c>
      <c r="AY118" s="72"/>
    </row>
    <row r="119" spans="13:51" s="11" customFormat="1" ht="15.6" customHeight="1" x14ac:dyDescent="0.3">
      <c r="M119" s="20">
        <f t="shared" si="57"/>
        <v>89</v>
      </c>
      <c r="N119" s="21">
        <f t="shared" si="58"/>
        <v>1.5575000000000014</v>
      </c>
      <c r="O119" s="22">
        <f t="shared" ca="1" si="30"/>
        <v>135.28129435887817</v>
      </c>
      <c r="P119" s="23">
        <f t="shared" ca="1" si="31"/>
        <v>-1</v>
      </c>
      <c r="Q119" s="22" t="e">
        <f t="shared" ca="1" si="32"/>
        <v>#VALUE!</v>
      </c>
      <c r="R119" s="23">
        <f t="shared" ca="1" si="33"/>
        <v>-1</v>
      </c>
      <c r="S119" s="24" t="e">
        <f t="shared" ca="1" si="34"/>
        <v>#VALUE!</v>
      </c>
      <c r="T119" s="23">
        <f t="shared" ca="1" si="35"/>
        <v>-1</v>
      </c>
      <c r="U119" s="112">
        <f t="shared" si="46"/>
        <v>2.5000581718259585E-2</v>
      </c>
      <c r="V119" s="109">
        <f t="shared" si="47"/>
        <v>-2.5000581718259585E-2</v>
      </c>
      <c r="W119" s="112">
        <f t="shared" si="48"/>
        <v>2.5000581718259585E-2</v>
      </c>
      <c r="X119" s="113">
        <f t="shared" si="49"/>
        <v>-2.5000581718259585E-2</v>
      </c>
      <c r="Y119" s="32"/>
      <c r="Z119" s="32"/>
      <c r="AA119" s="32"/>
      <c r="AB119" s="32"/>
      <c r="AC119" s="32"/>
      <c r="AD119" s="32"/>
      <c r="AE119" s="32"/>
      <c r="AG119" s="26">
        <f t="shared" si="36"/>
        <v>0</v>
      </c>
      <c r="AH119" s="27">
        <f t="shared" si="37"/>
        <v>6.2667165017212353E-2</v>
      </c>
      <c r="AI119" s="28">
        <f t="shared" si="50"/>
        <v>2.5000581718259585E-2</v>
      </c>
      <c r="AJ119" s="27">
        <f t="shared" si="38"/>
        <v>2.5000581718259585E-2</v>
      </c>
      <c r="AK119" s="28">
        <f t="shared" si="39"/>
        <v>4.0065086252747892E-3</v>
      </c>
      <c r="AL119" s="27">
        <f t="shared" si="40"/>
        <v>2.5000581718259585E-2</v>
      </c>
      <c r="AM119" s="28">
        <f t="shared" si="51"/>
        <v>2.5000581718259585E-2</v>
      </c>
      <c r="AN119" s="27">
        <f t="shared" si="52"/>
        <v>-2.5000581718259585E-2</v>
      </c>
      <c r="AO119" s="28">
        <f t="shared" si="41"/>
        <v>-2.5000581718259585E-2</v>
      </c>
      <c r="AP119" s="27">
        <f t="shared" si="42"/>
        <v>-4.00650862527479E-3</v>
      </c>
      <c r="AQ119" s="29">
        <f t="shared" si="43"/>
        <v>-2.5000581718259585E-2</v>
      </c>
      <c r="AS119" s="30">
        <f t="shared" si="44"/>
        <v>0.95434980770444544</v>
      </c>
      <c r="AT119" s="21">
        <f t="shared" si="45"/>
        <v>5.0214139013333829</v>
      </c>
      <c r="AU119" s="31">
        <f t="shared" ca="1" si="53"/>
        <v>4.6038444498608388E-4</v>
      </c>
      <c r="AV119" s="109">
        <f t="shared" ca="1" si="54"/>
        <v>4.6308158830388191E-4</v>
      </c>
      <c r="AW119" s="27" t="e">
        <f t="shared" ca="1" si="55"/>
        <v>#VALUE!</v>
      </c>
      <c r="AX119" s="29" t="e">
        <f t="shared" ca="1" si="56"/>
        <v>#VALUE!</v>
      </c>
      <c r="AY119" s="72"/>
    </row>
    <row r="120" spans="13:51" s="11" customFormat="1" ht="15.6" customHeight="1" x14ac:dyDescent="0.3">
      <c r="M120" s="20">
        <f t="shared" si="57"/>
        <v>90</v>
      </c>
      <c r="N120" s="21">
        <f t="shared" si="58"/>
        <v>1.5750000000000015</v>
      </c>
      <c r="O120" s="22">
        <f t="shared" ca="1" si="30"/>
        <v>135.6011164376774</v>
      </c>
      <c r="P120" s="23">
        <f t="shared" ca="1" si="31"/>
        <v>-1</v>
      </c>
      <c r="Q120" s="22" t="e">
        <f t="shared" ca="1" si="32"/>
        <v>#VALUE!</v>
      </c>
      <c r="R120" s="23">
        <f t="shared" ca="1" si="33"/>
        <v>-1</v>
      </c>
      <c r="S120" s="24" t="e">
        <f t="shared" ca="1" si="34"/>
        <v>#VALUE!</v>
      </c>
      <c r="T120" s="23">
        <f t="shared" ca="1" si="35"/>
        <v>-1</v>
      </c>
      <c r="U120" s="112">
        <f t="shared" si="46"/>
        <v>2.5066204391435244E-2</v>
      </c>
      <c r="V120" s="109">
        <f t="shared" si="47"/>
        <v>-2.5066204391435244E-2</v>
      </c>
      <c r="W120" s="112">
        <f t="shared" si="48"/>
        <v>2.5066204391435244E-2</v>
      </c>
      <c r="X120" s="113">
        <f t="shared" si="49"/>
        <v>-2.5066204391435244E-2</v>
      </c>
      <c r="Y120" s="32"/>
      <c r="Z120" s="32"/>
      <c r="AA120" s="32"/>
      <c r="AB120" s="32"/>
      <c r="AC120" s="32"/>
      <c r="AD120" s="32"/>
      <c r="AE120" s="32"/>
      <c r="AG120" s="26">
        <f t="shared" si="36"/>
        <v>0</v>
      </c>
      <c r="AH120" s="27">
        <f t="shared" si="37"/>
        <v>6.2831656665251326E-2</v>
      </c>
      <c r="AI120" s="28">
        <f t="shared" si="50"/>
        <v>2.5066204391435244E-2</v>
      </c>
      <c r="AJ120" s="27">
        <f t="shared" si="38"/>
        <v>2.5066204391435244E-2</v>
      </c>
      <c r="AK120" s="28">
        <f t="shared" si="39"/>
        <v>3.9946459488089062E-3</v>
      </c>
      <c r="AL120" s="27">
        <f t="shared" si="40"/>
        <v>2.5066204391435244E-2</v>
      </c>
      <c r="AM120" s="28">
        <f t="shared" si="51"/>
        <v>2.5066204391435244E-2</v>
      </c>
      <c r="AN120" s="27">
        <f t="shared" si="52"/>
        <v>-2.5066204391435244E-2</v>
      </c>
      <c r="AO120" s="28">
        <f t="shared" si="41"/>
        <v>-2.5066204391435244E-2</v>
      </c>
      <c r="AP120" s="27">
        <f t="shared" si="42"/>
        <v>-3.9946459488089071E-3</v>
      </c>
      <c r="AQ120" s="29">
        <f t="shared" si="43"/>
        <v>-2.5066204391435244E-2</v>
      </c>
      <c r="AS120" s="30">
        <f t="shared" si="44"/>
        <v>0.95384890555372026</v>
      </c>
      <c r="AT120" s="21">
        <f t="shared" si="45"/>
        <v>5.0065462412122921</v>
      </c>
      <c r="AU120" s="31">
        <f t="shared" ca="1" si="53"/>
        <v>4.6190063689455219E-4</v>
      </c>
      <c r="AV120" s="109">
        <f t="shared" ca="1" si="54"/>
        <v>4.6459468917381397E-4</v>
      </c>
      <c r="AW120" s="27" t="e">
        <f t="shared" ca="1" si="55"/>
        <v>#VALUE!</v>
      </c>
      <c r="AX120" s="29" t="e">
        <f t="shared" ca="1" si="56"/>
        <v>#VALUE!</v>
      </c>
      <c r="AY120" s="72"/>
    </row>
    <row r="121" spans="13:51" s="11" customFormat="1" ht="15.6" customHeight="1" x14ac:dyDescent="0.3">
      <c r="M121" s="20">
        <f t="shared" si="57"/>
        <v>91</v>
      </c>
      <c r="N121" s="21">
        <f t="shared" si="58"/>
        <v>1.5925000000000016</v>
      </c>
      <c r="O121" s="22">
        <f t="shared" ca="1" si="30"/>
        <v>135.92066879541946</v>
      </c>
      <c r="P121" s="23">
        <f t="shared" ca="1" si="31"/>
        <v>-1</v>
      </c>
      <c r="Q121" s="22" t="e">
        <f t="shared" ca="1" si="32"/>
        <v>#VALUE!</v>
      </c>
      <c r="R121" s="23">
        <f t="shared" ca="1" si="33"/>
        <v>-1</v>
      </c>
      <c r="S121" s="24" t="e">
        <f t="shared" ca="1" si="34"/>
        <v>#VALUE!</v>
      </c>
      <c r="T121" s="23">
        <f t="shared" ca="1" si="35"/>
        <v>-1</v>
      </c>
      <c r="U121" s="112">
        <f t="shared" si="46"/>
        <v>2.5130186981490905E-2</v>
      </c>
      <c r="V121" s="109">
        <f t="shared" si="47"/>
        <v>-2.5130186981490905E-2</v>
      </c>
      <c r="W121" s="112">
        <f t="shared" si="48"/>
        <v>2.5130186981490905E-2</v>
      </c>
      <c r="X121" s="113">
        <f t="shared" si="49"/>
        <v>-2.5130186981490905E-2</v>
      </c>
      <c r="Y121" s="32"/>
      <c r="Z121" s="32"/>
      <c r="AA121" s="32"/>
      <c r="AB121" s="32"/>
      <c r="AC121" s="32"/>
      <c r="AD121" s="32"/>
      <c r="AE121" s="32"/>
      <c r="AG121" s="26">
        <f t="shared" si="36"/>
        <v>0</v>
      </c>
      <c r="AH121" s="27">
        <f t="shared" si="37"/>
        <v>6.2992037234568976E-2</v>
      </c>
      <c r="AI121" s="28">
        <f t="shared" si="50"/>
        <v>2.5130186981490905E-2</v>
      </c>
      <c r="AJ121" s="27">
        <f t="shared" si="38"/>
        <v>2.5130186981490905E-2</v>
      </c>
      <c r="AK121" s="28">
        <f t="shared" si="39"/>
        <v>3.9827770428027707E-3</v>
      </c>
      <c r="AL121" s="27">
        <f t="shared" si="40"/>
        <v>2.5130186981490905E-2</v>
      </c>
      <c r="AM121" s="28">
        <f t="shared" si="51"/>
        <v>2.5130186981490905E-2</v>
      </c>
      <c r="AN121" s="27">
        <f t="shared" si="52"/>
        <v>-2.5130186981490905E-2</v>
      </c>
      <c r="AO121" s="28">
        <f t="shared" si="41"/>
        <v>-2.5130186981490905E-2</v>
      </c>
      <c r="AP121" s="27">
        <f t="shared" si="42"/>
        <v>-3.9827770428027707E-3</v>
      </c>
      <c r="AQ121" s="29">
        <f t="shared" si="43"/>
        <v>-2.5130186981490905E-2</v>
      </c>
      <c r="AS121" s="30">
        <f t="shared" si="44"/>
        <v>0.95334826630760572</v>
      </c>
      <c r="AT121" s="21">
        <f t="shared" si="45"/>
        <v>4.9916707735203332</v>
      </c>
      <c r="AU121" s="31">
        <f t="shared" ca="1" si="53"/>
        <v>4.6341013364536998E-4</v>
      </c>
      <c r="AV121" s="109">
        <f t="shared" ca="1" si="54"/>
        <v>4.6610108341194056E-4</v>
      </c>
      <c r="AW121" s="27" t="e">
        <f t="shared" ca="1" si="55"/>
        <v>#VALUE!</v>
      </c>
      <c r="AX121" s="29" t="e">
        <f t="shared" ca="1" si="56"/>
        <v>#VALUE!</v>
      </c>
      <c r="AY121" s="72"/>
    </row>
    <row r="122" spans="13:51" s="11" customFormat="1" ht="15.6" customHeight="1" x14ac:dyDescent="0.3">
      <c r="M122" s="20">
        <f t="shared" si="57"/>
        <v>92</v>
      </c>
      <c r="N122" s="21">
        <f t="shared" si="58"/>
        <v>1.6100000000000017</v>
      </c>
      <c r="O122" s="22">
        <f t="shared" ca="1" si="30"/>
        <v>136.2399432232026</v>
      </c>
      <c r="P122" s="23">
        <f t="shared" ca="1" si="31"/>
        <v>-1</v>
      </c>
      <c r="Q122" s="22" t="e">
        <f t="shared" ca="1" si="32"/>
        <v>#VALUE!</v>
      </c>
      <c r="R122" s="23">
        <f t="shared" ca="1" si="33"/>
        <v>-1</v>
      </c>
      <c r="S122" s="24" t="e">
        <f t="shared" ca="1" si="34"/>
        <v>#VALUE!</v>
      </c>
      <c r="T122" s="23">
        <f t="shared" ca="1" si="35"/>
        <v>-1</v>
      </c>
      <c r="U122" s="112">
        <f t="shared" si="46"/>
        <v>2.519254835711621E-2</v>
      </c>
      <c r="V122" s="109">
        <f t="shared" si="47"/>
        <v>-2.519254835711621E-2</v>
      </c>
      <c r="W122" s="112">
        <f t="shared" si="48"/>
        <v>2.519254835711621E-2</v>
      </c>
      <c r="X122" s="113">
        <f t="shared" si="49"/>
        <v>-2.519254835711621E-2</v>
      </c>
      <c r="Y122" s="32"/>
      <c r="Z122" s="32"/>
      <c r="AA122" s="32"/>
      <c r="AB122" s="32"/>
      <c r="AC122" s="32"/>
      <c r="AD122" s="32"/>
      <c r="AE122" s="32"/>
      <c r="AG122" s="26">
        <f t="shared" si="36"/>
        <v>0</v>
      </c>
      <c r="AH122" s="27">
        <f t="shared" si="37"/>
        <v>6.3148354021956246E-2</v>
      </c>
      <c r="AI122" s="28">
        <f t="shared" si="50"/>
        <v>2.519254835711621E-2</v>
      </c>
      <c r="AJ122" s="27">
        <f t="shared" si="38"/>
        <v>2.519254835711621E-2</v>
      </c>
      <c r="AK122" s="28">
        <f t="shared" si="39"/>
        <v>3.9709019039850064E-3</v>
      </c>
      <c r="AL122" s="27">
        <f t="shared" si="40"/>
        <v>2.519254835711621E-2</v>
      </c>
      <c r="AM122" s="28">
        <f t="shared" si="51"/>
        <v>2.519254835711621E-2</v>
      </c>
      <c r="AN122" s="27">
        <f t="shared" si="52"/>
        <v>-2.519254835711621E-2</v>
      </c>
      <c r="AO122" s="28">
        <f t="shared" si="41"/>
        <v>-2.519254835711621E-2</v>
      </c>
      <c r="AP122" s="27">
        <f t="shared" si="42"/>
        <v>-3.9709019039850064E-3</v>
      </c>
      <c r="AQ122" s="29">
        <f t="shared" si="43"/>
        <v>-2.519254835711621E-2</v>
      </c>
      <c r="AS122" s="30">
        <f t="shared" si="44"/>
        <v>0.95284788982811308</v>
      </c>
      <c r="AT122" s="21">
        <f t="shared" si="45"/>
        <v>4.9767874941574455</v>
      </c>
      <c r="AU122" s="31">
        <f t="shared" ca="1" si="53"/>
        <v>4.6491284419158951E-4</v>
      </c>
      <c r="AV122" s="109">
        <f t="shared" ca="1" si="54"/>
        <v>4.6760068007312139E-4</v>
      </c>
      <c r="AW122" s="27" t="e">
        <f t="shared" ca="1" si="55"/>
        <v>#VALUE!</v>
      </c>
      <c r="AX122" s="29" t="e">
        <f t="shared" ca="1" si="56"/>
        <v>#VALUE!</v>
      </c>
      <c r="AY122" s="72"/>
    </row>
    <row r="123" spans="13:51" s="11" customFormat="1" ht="15.6" customHeight="1" x14ac:dyDescent="0.3">
      <c r="M123" s="20">
        <f t="shared" si="57"/>
        <v>93</v>
      </c>
      <c r="N123" s="21">
        <f t="shared" si="58"/>
        <v>1.6275000000000017</v>
      </c>
      <c r="O123" s="22">
        <f t="shared" ca="1" si="30"/>
        <v>136.55893151212504</v>
      </c>
      <c r="P123" s="23">
        <f t="shared" ca="1" si="31"/>
        <v>-1</v>
      </c>
      <c r="Q123" s="22" t="e">
        <f t="shared" ca="1" si="32"/>
        <v>#VALUE!</v>
      </c>
      <c r="R123" s="23">
        <f t="shared" ca="1" si="33"/>
        <v>-1</v>
      </c>
      <c r="S123" s="24" t="e">
        <f t="shared" ca="1" si="34"/>
        <v>#VALUE!</v>
      </c>
      <c r="T123" s="23">
        <f t="shared" ca="1" si="35"/>
        <v>-1</v>
      </c>
      <c r="U123" s="112">
        <f t="shared" si="46"/>
        <v>2.5253306900845617E-2</v>
      </c>
      <c r="V123" s="109">
        <f t="shared" si="47"/>
        <v>-2.5253306900845617E-2</v>
      </c>
      <c r="W123" s="112">
        <f t="shared" si="48"/>
        <v>2.5253306900845617E-2</v>
      </c>
      <c r="X123" s="113">
        <f t="shared" si="49"/>
        <v>-2.5253306900845617E-2</v>
      </c>
      <c r="Y123" s="32"/>
      <c r="Z123" s="32"/>
      <c r="AA123" s="32"/>
      <c r="AB123" s="32"/>
      <c r="AC123" s="32"/>
      <c r="AD123" s="32"/>
      <c r="AE123" s="32"/>
      <c r="AG123" s="26">
        <f t="shared" si="36"/>
        <v>0</v>
      </c>
      <c r="AH123" s="27">
        <f t="shared" si="37"/>
        <v>6.3300653105593782E-2</v>
      </c>
      <c r="AI123" s="28">
        <f t="shared" si="50"/>
        <v>2.5253306900845617E-2</v>
      </c>
      <c r="AJ123" s="27">
        <f t="shared" si="38"/>
        <v>2.5253306900845617E-2</v>
      </c>
      <c r="AK123" s="28">
        <f t="shared" si="39"/>
        <v>3.9590205290825397E-3</v>
      </c>
      <c r="AL123" s="27">
        <f t="shared" si="40"/>
        <v>2.5253306900845617E-2</v>
      </c>
      <c r="AM123" s="28">
        <f t="shared" si="51"/>
        <v>2.5253306900845617E-2</v>
      </c>
      <c r="AN123" s="27">
        <f t="shared" si="52"/>
        <v>-2.5253306900845617E-2</v>
      </c>
      <c r="AO123" s="28">
        <f t="shared" si="41"/>
        <v>-2.5253306900845617E-2</v>
      </c>
      <c r="AP123" s="27">
        <f t="shared" si="42"/>
        <v>-3.9590205290825397E-3</v>
      </c>
      <c r="AQ123" s="29">
        <f t="shared" si="43"/>
        <v>-2.5253306900845617E-2</v>
      </c>
      <c r="AS123" s="30">
        <f t="shared" si="44"/>
        <v>0.95234777597732612</v>
      </c>
      <c r="AT123" s="21">
        <f t="shared" si="45"/>
        <v>4.9618963990214375</v>
      </c>
      <c r="AU123" s="31">
        <f t="shared" ca="1" si="53"/>
        <v>4.6640867779668138E-4</v>
      </c>
      <c r="AV123" s="109">
        <f t="shared" ca="1" si="54"/>
        <v>4.6909338852496596E-4</v>
      </c>
      <c r="AW123" s="27" t="e">
        <f t="shared" ca="1" si="55"/>
        <v>#VALUE!</v>
      </c>
      <c r="AX123" s="29" t="e">
        <f t="shared" ca="1" si="56"/>
        <v>#VALUE!</v>
      </c>
      <c r="AY123" s="72"/>
    </row>
    <row r="124" spans="13:51" s="11" customFormat="1" ht="15.6" customHeight="1" x14ac:dyDescent="0.3">
      <c r="M124" s="20">
        <f t="shared" si="57"/>
        <v>94</v>
      </c>
      <c r="N124" s="21">
        <f t="shared" si="58"/>
        <v>1.6450000000000018</v>
      </c>
      <c r="O124" s="22">
        <f t="shared" ca="1" si="30"/>
        <v>136.87762545328508</v>
      </c>
      <c r="P124" s="23">
        <f t="shared" ca="1" si="31"/>
        <v>-1</v>
      </c>
      <c r="Q124" s="22" t="e">
        <f t="shared" ca="1" si="32"/>
        <v>#VALUE!</v>
      </c>
      <c r="R124" s="23">
        <f t="shared" ca="1" si="33"/>
        <v>-1</v>
      </c>
      <c r="S124" s="24" t="e">
        <f t="shared" ca="1" si="34"/>
        <v>#VALUE!</v>
      </c>
      <c r="T124" s="23">
        <f t="shared" ca="1" si="35"/>
        <v>-1</v>
      </c>
      <c r="U124" s="112">
        <f t="shared" si="46"/>
        <v>2.5312480526778904E-2</v>
      </c>
      <c r="V124" s="109">
        <f t="shared" si="47"/>
        <v>-2.5312480526778904E-2</v>
      </c>
      <c r="W124" s="112">
        <f t="shared" si="48"/>
        <v>2.5312480526778904E-2</v>
      </c>
      <c r="X124" s="113">
        <f t="shared" si="49"/>
        <v>-2.5312480526778904E-2</v>
      </c>
      <c r="Y124" s="32"/>
      <c r="Z124" s="32"/>
      <c r="AA124" s="32"/>
      <c r="AB124" s="32"/>
      <c r="AC124" s="32"/>
      <c r="AD124" s="32"/>
      <c r="AE124" s="32"/>
      <c r="AG124" s="26">
        <f t="shared" si="36"/>
        <v>0</v>
      </c>
      <c r="AH124" s="27">
        <f t="shared" si="37"/>
        <v>6.3448979389470597E-2</v>
      </c>
      <c r="AI124" s="28">
        <f t="shared" si="50"/>
        <v>2.5312480526778904E-2</v>
      </c>
      <c r="AJ124" s="27">
        <f t="shared" si="38"/>
        <v>2.5312480526778904E-2</v>
      </c>
      <c r="AK124" s="28">
        <f t="shared" si="39"/>
        <v>3.9471329148205577E-3</v>
      </c>
      <c r="AL124" s="27">
        <f t="shared" si="40"/>
        <v>2.5312480526778904E-2</v>
      </c>
      <c r="AM124" s="28">
        <f t="shared" si="51"/>
        <v>2.5312480526778904E-2</v>
      </c>
      <c r="AN124" s="27">
        <f t="shared" si="52"/>
        <v>-2.5312480526778904E-2</v>
      </c>
      <c r="AO124" s="28">
        <f t="shared" si="41"/>
        <v>-2.5312480526778904E-2</v>
      </c>
      <c r="AP124" s="27">
        <f t="shared" si="42"/>
        <v>-3.9471329148205577E-3</v>
      </c>
      <c r="AQ124" s="29">
        <f t="shared" si="43"/>
        <v>-2.5312480526778904E-2</v>
      </c>
      <c r="AS124" s="30">
        <f t="shared" si="44"/>
        <v>0.95184792461740098</v>
      </c>
      <c r="AT124" s="21">
        <f t="shared" si="45"/>
        <v>4.9469974840079427</v>
      </c>
      <c r="AU124" s="31">
        <f t="shared" ca="1" si="53"/>
        <v>4.6789754403708805E-4</v>
      </c>
      <c r="AV124" s="109">
        <f t="shared" ca="1" si="54"/>
        <v>4.7057911844916589E-4</v>
      </c>
      <c r="AW124" s="27" t="e">
        <f t="shared" ca="1" si="55"/>
        <v>#VALUE!</v>
      </c>
      <c r="AX124" s="29" t="e">
        <f t="shared" ca="1" si="56"/>
        <v>#VALUE!</v>
      </c>
      <c r="AY124" s="72"/>
    </row>
    <row r="125" spans="13:51" s="11" customFormat="1" ht="15.6" customHeight="1" x14ac:dyDescent="0.3">
      <c r="M125" s="20">
        <f t="shared" si="57"/>
        <v>95</v>
      </c>
      <c r="N125" s="21">
        <f t="shared" si="58"/>
        <v>1.6625000000000019</v>
      </c>
      <c r="O125" s="22">
        <f t="shared" ca="1" si="30"/>
        <v>137.19601683778097</v>
      </c>
      <c r="P125" s="23">
        <f t="shared" ca="1" si="31"/>
        <v>-1</v>
      </c>
      <c r="Q125" s="22" t="e">
        <f t="shared" ca="1" si="32"/>
        <v>#VALUE!</v>
      </c>
      <c r="R125" s="23">
        <f t="shared" ca="1" si="33"/>
        <v>-1</v>
      </c>
      <c r="S125" s="24" t="e">
        <f t="shared" ca="1" si="34"/>
        <v>#VALUE!</v>
      </c>
      <c r="T125" s="23">
        <f t="shared" ca="1" si="35"/>
        <v>-1</v>
      </c>
      <c r="U125" s="112">
        <f t="shared" si="46"/>
        <v>2.537008669747012E-2</v>
      </c>
      <c r="V125" s="109">
        <f t="shared" si="47"/>
        <v>-2.537008669747012E-2</v>
      </c>
      <c r="W125" s="112">
        <f t="shared" si="48"/>
        <v>2.537008669747012E-2</v>
      </c>
      <c r="X125" s="113">
        <f t="shared" si="49"/>
        <v>-2.537008669747012E-2</v>
      </c>
      <c r="Y125" s="32"/>
      <c r="Z125" s="32"/>
      <c r="AA125" s="32"/>
      <c r="AB125" s="32"/>
      <c r="AC125" s="32"/>
      <c r="AD125" s="32"/>
      <c r="AE125" s="32"/>
      <c r="AG125" s="26">
        <f t="shared" si="36"/>
        <v>0</v>
      </c>
      <c r="AH125" s="27">
        <f t="shared" si="37"/>
        <v>6.3593376645718416E-2</v>
      </c>
      <c r="AI125" s="28">
        <f t="shared" si="50"/>
        <v>2.537008669747012E-2</v>
      </c>
      <c r="AJ125" s="27">
        <f t="shared" si="38"/>
        <v>2.537008669747012E-2</v>
      </c>
      <c r="AK125" s="28">
        <f t="shared" si="39"/>
        <v>3.9352390579225401E-3</v>
      </c>
      <c r="AL125" s="27">
        <f t="shared" si="40"/>
        <v>2.537008669747012E-2</v>
      </c>
      <c r="AM125" s="28">
        <f t="shared" si="51"/>
        <v>2.537008669747012E-2</v>
      </c>
      <c r="AN125" s="27">
        <f t="shared" si="52"/>
        <v>-2.537008669747012E-2</v>
      </c>
      <c r="AO125" s="28">
        <f t="shared" si="41"/>
        <v>-2.537008669747012E-2</v>
      </c>
      <c r="AP125" s="27">
        <f t="shared" si="42"/>
        <v>-3.935239057922541E-3</v>
      </c>
      <c r="AQ125" s="29">
        <f t="shared" si="43"/>
        <v>-2.537008669747012E-2</v>
      </c>
      <c r="AS125" s="30">
        <f t="shared" si="44"/>
        <v>0.95134833561056609</v>
      </c>
      <c r="AT125" s="21">
        <f t="shared" si="45"/>
        <v>4.9320907450104503</v>
      </c>
      <c r="AU125" s="31">
        <f t="shared" ca="1" si="53"/>
        <v>4.6937935280422227E-4</v>
      </c>
      <c r="AV125" s="109">
        <f t="shared" ca="1" si="54"/>
        <v>4.720577798430492E-4</v>
      </c>
      <c r="AW125" s="27" t="e">
        <f t="shared" ca="1" si="55"/>
        <v>#VALUE!</v>
      </c>
      <c r="AX125" s="29" t="e">
        <f t="shared" ca="1" si="56"/>
        <v>#VALUE!</v>
      </c>
      <c r="AY125" s="72"/>
    </row>
    <row r="126" spans="13:51" s="11" customFormat="1" ht="15.6" customHeight="1" x14ac:dyDescent="0.3">
      <c r="M126" s="20">
        <f t="shared" si="57"/>
        <v>96</v>
      </c>
      <c r="N126" s="21">
        <f t="shared" si="58"/>
        <v>1.6800000000000019</v>
      </c>
      <c r="O126" s="22">
        <f t="shared" ca="1" si="30"/>
        <v>137.51409745671097</v>
      </c>
      <c r="P126" s="23">
        <f t="shared" ca="1" si="31"/>
        <v>-1</v>
      </c>
      <c r="Q126" s="22" t="e">
        <f t="shared" ca="1" si="32"/>
        <v>#VALUE!</v>
      </c>
      <c r="R126" s="23">
        <f t="shared" ca="1" si="33"/>
        <v>-1</v>
      </c>
      <c r="S126" s="24" t="e">
        <f t="shared" ca="1" si="34"/>
        <v>#VALUE!</v>
      </c>
      <c r="T126" s="23">
        <f t="shared" ca="1" si="35"/>
        <v>-1</v>
      </c>
      <c r="U126" s="112">
        <f t="shared" si="46"/>
        <v>2.5426142440031923E-2</v>
      </c>
      <c r="V126" s="109">
        <f t="shared" si="47"/>
        <v>-2.5426142440031923E-2</v>
      </c>
      <c r="W126" s="112">
        <f t="shared" si="48"/>
        <v>2.5426142440031923E-2</v>
      </c>
      <c r="X126" s="113">
        <f t="shared" si="49"/>
        <v>-2.5426142440031923E-2</v>
      </c>
      <c r="Y126" s="32"/>
      <c r="Z126" s="32"/>
      <c r="AA126" s="32"/>
      <c r="AB126" s="32"/>
      <c r="AC126" s="32"/>
      <c r="AD126" s="32"/>
      <c r="AE126" s="32"/>
      <c r="AG126" s="26">
        <f t="shared" si="36"/>
        <v>0</v>
      </c>
      <c r="AH126" s="27">
        <f t="shared" si="37"/>
        <v>6.3733887554979274E-2</v>
      </c>
      <c r="AI126" s="28">
        <f t="shared" si="50"/>
        <v>2.5426142440031923E-2</v>
      </c>
      <c r="AJ126" s="27">
        <f t="shared" si="38"/>
        <v>2.5426142440031923E-2</v>
      </c>
      <c r="AK126" s="28">
        <f t="shared" si="39"/>
        <v>3.9233389551102402E-3</v>
      </c>
      <c r="AL126" s="27">
        <f t="shared" si="40"/>
        <v>2.5426142440031923E-2</v>
      </c>
      <c r="AM126" s="28">
        <f t="shared" si="51"/>
        <v>2.5426142440031923E-2</v>
      </c>
      <c r="AN126" s="27">
        <f t="shared" si="52"/>
        <v>-2.5426142440031923E-2</v>
      </c>
      <c r="AO126" s="28">
        <f t="shared" si="41"/>
        <v>-2.5426142440031923E-2</v>
      </c>
      <c r="AP126" s="27">
        <f t="shared" si="42"/>
        <v>-3.9233389551102411E-3</v>
      </c>
      <c r="AQ126" s="29">
        <f t="shared" si="43"/>
        <v>-2.5426142440031923E-2</v>
      </c>
      <c r="AS126" s="30">
        <f t="shared" si="44"/>
        <v>0.95084900881912215</v>
      </c>
      <c r="AT126" s="21">
        <f t="shared" si="45"/>
        <v>4.9171761779202869</v>
      </c>
      <c r="AU126" s="31">
        <f t="shared" ca="1" si="53"/>
        <v>4.7085401430524421E-4</v>
      </c>
      <c r="AV126" s="109">
        <f t="shared" ca="1" si="54"/>
        <v>4.7352928302168973E-4</v>
      </c>
      <c r="AW126" s="27" t="e">
        <f t="shared" ca="1" si="55"/>
        <v>#VALUE!</v>
      </c>
      <c r="AX126" s="29" t="e">
        <f t="shared" ca="1" si="56"/>
        <v>#VALUE!</v>
      </c>
      <c r="AY126" s="72"/>
    </row>
    <row r="127" spans="13:51" s="11" customFormat="1" ht="15.6" customHeight="1" x14ac:dyDescent="0.3">
      <c r="M127" s="20">
        <f t="shared" si="57"/>
        <v>97</v>
      </c>
      <c r="N127" s="21">
        <f t="shared" si="58"/>
        <v>1.697500000000002</v>
      </c>
      <c r="O127" s="22">
        <f t="shared" ca="1" si="30"/>
        <v>137.83185910117331</v>
      </c>
      <c r="P127" s="23">
        <f t="shared" ca="1" si="31"/>
        <v>-1</v>
      </c>
      <c r="Q127" s="22" t="e">
        <f t="shared" ca="1" si="32"/>
        <v>#VALUE!</v>
      </c>
      <c r="R127" s="23">
        <f t="shared" ca="1" si="33"/>
        <v>-1</v>
      </c>
      <c r="S127" s="24" t="e">
        <f t="shared" ca="1" si="34"/>
        <v>#VALUE!</v>
      </c>
      <c r="T127" s="23">
        <f t="shared" ca="1" si="35"/>
        <v>-1</v>
      </c>
      <c r="U127" s="112">
        <f t="shared" si="46"/>
        <v>2.548066436150007E-2</v>
      </c>
      <c r="V127" s="109">
        <f t="shared" si="47"/>
        <v>-2.548066436150007E-2</v>
      </c>
      <c r="W127" s="112">
        <f t="shared" si="48"/>
        <v>2.548066436150007E-2</v>
      </c>
      <c r="X127" s="113">
        <f t="shared" si="49"/>
        <v>-2.548066436150007E-2</v>
      </c>
      <c r="Y127" s="32"/>
      <c r="Z127" s="32"/>
      <c r="AA127" s="32"/>
      <c r="AB127" s="32"/>
      <c r="AC127" s="32"/>
      <c r="AD127" s="32"/>
      <c r="AE127" s="32"/>
      <c r="AG127" s="26">
        <f t="shared" si="36"/>
        <v>0</v>
      </c>
      <c r="AH127" s="27">
        <f t="shared" si="37"/>
        <v>6.387055374491854E-2</v>
      </c>
      <c r="AI127" s="28">
        <f t="shared" si="50"/>
        <v>2.548066436150007E-2</v>
      </c>
      <c r="AJ127" s="27">
        <f t="shared" si="38"/>
        <v>2.548066436150007E-2</v>
      </c>
      <c r="AK127" s="28">
        <f t="shared" si="39"/>
        <v>3.911432603103694E-3</v>
      </c>
      <c r="AL127" s="27">
        <f t="shared" si="40"/>
        <v>2.548066436150007E-2</v>
      </c>
      <c r="AM127" s="28">
        <f t="shared" si="51"/>
        <v>2.548066436150007E-2</v>
      </c>
      <c r="AN127" s="27">
        <f t="shared" si="52"/>
        <v>-2.548066436150007E-2</v>
      </c>
      <c r="AO127" s="28">
        <f t="shared" si="41"/>
        <v>-2.548066436150007E-2</v>
      </c>
      <c r="AP127" s="27">
        <f t="shared" si="42"/>
        <v>-3.911432603103694E-3</v>
      </c>
      <c r="AQ127" s="29">
        <f t="shared" si="43"/>
        <v>-2.548066436150007E-2</v>
      </c>
      <c r="AS127" s="30">
        <f t="shared" si="44"/>
        <v>0.95034994410544238</v>
      </c>
      <c r="AT127" s="21">
        <f t="shared" si="45"/>
        <v>4.9022537786266271</v>
      </c>
      <c r="AU127" s="31">
        <f t="shared" ca="1" si="53"/>
        <v>4.7232143906572599E-4</v>
      </c>
      <c r="AV127" s="109">
        <f t="shared" ca="1" si="54"/>
        <v>4.7499353861923943E-4</v>
      </c>
      <c r="AW127" s="27" t="e">
        <f t="shared" ca="1" si="55"/>
        <v>#VALUE!</v>
      </c>
      <c r="AX127" s="29" t="e">
        <f t="shared" ca="1" si="56"/>
        <v>#VALUE!</v>
      </c>
      <c r="AY127" s="72"/>
    </row>
    <row r="128" spans="13:51" s="11" customFormat="1" ht="15.6" customHeight="1" x14ac:dyDescent="0.3">
      <c r="M128" s="20">
        <f t="shared" si="57"/>
        <v>98</v>
      </c>
      <c r="N128" s="21">
        <f t="shared" si="58"/>
        <v>1.7150000000000021</v>
      </c>
      <c r="O128" s="22">
        <f t="shared" ca="1" si="30"/>
        <v>138.14929356226631</v>
      </c>
      <c r="P128" s="23">
        <f t="shared" ca="1" si="31"/>
        <v>-1</v>
      </c>
      <c r="Q128" s="22" t="e">
        <f t="shared" ca="1" si="32"/>
        <v>#VALUE!</v>
      </c>
      <c r="R128" s="23">
        <f t="shared" ca="1" si="33"/>
        <v>-1</v>
      </c>
      <c r="S128" s="24" t="e">
        <f t="shared" ca="1" si="34"/>
        <v>#VALUE!</v>
      </c>
      <c r="T128" s="23">
        <f t="shared" ca="1" si="35"/>
        <v>-1</v>
      </c>
      <c r="U128" s="112">
        <f t="shared" si="46"/>
        <v>2.5533668663499116E-2</v>
      </c>
      <c r="V128" s="109">
        <f t="shared" si="47"/>
        <v>-2.5533668663499116E-2</v>
      </c>
      <c r="W128" s="112">
        <f t="shared" si="48"/>
        <v>2.5533668663499116E-2</v>
      </c>
      <c r="X128" s="113">
        <f t="shared" si="49"/>
        <v>-2.5533668663499116E-2</v>
      </c>
      <c r="Y128" s="32"/>
      <c r="Z128" s="32"/>
      <c r="AA128" s="32"/>
      <c r="AB128" s="32"/>
      <c r="AC128" s="32"/>
      <c r="AD128" s="32"/>
      <c r="AE128" s="32"/>
      <c r="AG128" s="26">
        <f t="shared" si="36"/>
        <v>0</v>
      </c>
      <c r="AH128" s="27">
        <f t="shared" si="37"/>
        <v>6.4003415826986432E-2</v>
      </c>
      <c r="AI128" s="28">
        <f t="shared" si="50"/>
        <v>2.5533668663499116E-2</v>
      </c>
      <c r="AJ128" s="27">
        <f t="shared" si="38"/>
        <v>2.5533668663499116E-2</v>
      </c>
      <c r="AK128" s="28">
        <f t="shared" si="39"/>
        <v>3.8995199986212137E-3</v>
      </c>
      <c r="AL128" s="27">
        <f t="shared" si="40"/>
        <v>2.5533668663499116E-2</v>
      </c>
      <c r="AM128" s="28">
        <f t="shared" si="51"/>
        <v>2.5533668663499116E-2</v>
      </c>
      <c r="AN128" s="27">
        <f t="shared" si="52"/>
        <v>-2.5533668663499116E-2</v>
      </c>
      <c r="AO128" s="28">
        <f t="shared" si="41"/>
        <v>-2.5533668663499116E-2</v>
      </c>
      <c r="AP128" s="27">
        <f t="shared" si="42"/>
        <v>-3.8995199986212137E-3</v>
      </c>
      <c r="AQ128" s="29">
        <f t="shared" si="43"/>
        <v>-2.5533668663499116E-2</v>
      </c>
      <c r="AS128" s="30">
        <f t="shared" si="44"/>
        <v>0.9498511413319719</v>
      </c>
      <c r="AT128" s="21">
        <f t="shared" si="45"/>
        <v>4.8873235430164863</v>
      </c>
      <c r="AU128" s="31">
        <f t="shared" ca="1" si="53"/>
        <v>4.7378153793087296E-4</v>
      </c>
      <c r="AV128" s="109">
        <f t="shared" ca="1" si="54"/>
        <v>4.764504575907047E-4</v>
      </c>
      <c r="AW128" s="27" t="e">
        <f t="shared" ca="1" si="55"/>
        <v>#VALUE!</v>
      </c>
      <c r="AX128" s="29" t="e">
        <f t="shared" ca="1" si="56"/>
        <v>#VALUE!</v>
      </c>
      <c r="AY128" s="72"/>
    </row>
    <row r="129" spans="13:51" s="11" customFormat="1" ht="15.6" customHeight="1" x14ac:dyDescent="0.3">
      <c r="M129" s="20">
        <f t="shared" si="57"/>
        <v>99</v>
      </c>
      <c r="N129" s="21">
        <f t="shared" si="58"/>
        <v>1.7325000000000021</v>
      </c>
      <c r="O129" s="22">
        <f t="shared" ca="1" si="30"/>
        <v>138.46639263108815</v>
      </c>
      <c r="P129" s="23">
        <f t="shared" ca="1" si="31"/>
        <v>-1</v>
      </c>
      <c r="Q129" s="22" t="e">
        <f t="shared" ca="1" si="32"/>
        <v>#VALUE!</v>
      </c>
      <c r="R129" s="23">
        <f t="shared" ca="1" si="33"/>
        <v>-1</v>
      </c>
      <c r="S129" s="24" t="e">
        <f t="shared" ca="1" si="34"/>
        <v>#VALUE!</v>
      </c>
      <c r="T129" s="23">
        <f t="shared" ca="1" si="35"/>
        <v>-1</v>
      </c>
      <c r="U129" s="112">
        <f t="shared" si="46"/>
        <v>2.5585171156248171E-2</v>
      </c>
      <c r="V129" s="109">
        <f t="shared" si="47"/>
        <v>-2.5585171156248171E-2</v>
      </c>
      <c r="W129" s="112">
        <f t="shared" si="48"/>
        <v>2.5585171156248171E-2</v>
      </c>
      <c r="X129" s="113">
        <f t="shared" si="49"/>
        <v>-2.5585171156248171E-2</v>
      </c>
      <c r="Y129" s="32"/>
      <c r="Z129" s="32"/>
      <c r="AA129" s="32"/>
      <c r="AB129" s="32"/>
      <c r="AC129" s="32"/>
      <c r="AD129" s="32"/>
      <c r="AE129" s="32"/>
      <c r="AG129" s="26">
        <f t="shared" si="36"/>
        <v>0</v>
      </c>
      <c r="AH129" s="27">
        <f t="shared" si="37"/>
        <v>6.4132513431525193E-2</v>
      </c>
      <c r="AI129" s="28">
        <f t="shared" si="50"/>
        <v>2.5585171156248171E-2</v>
      </c>
      <c r="AJ129" s="27">
        <f t="shared" si="38"/>
        <v>2.5585171156248171E-2</v>
      </c>
      <c r="AK129" s="28">
        <f t="shared" si="39"/>
        <v>3.8876011383793888E-3</v>
      </c>
      <c r="AL129" s="27">
        <f t="shared" si="40"/>
        <v>2.5585171156248171E-2</v>
      </c>
      <c r="AM129" s="28">
        <f t="shared" si="51"/>
        <v>2.5585171156248171E-2</v>
      </c>
      <c r="AN129" s="27">
        <f t="shared" si="52"/>
        <v>-2.5585171156248171E-2</v>
      </c>
      <c r="AO129" s="28">
        <f t="shared" si="41"/>
        <v>-2.5585171156248171E-2</v>
      </c>
      <c r="AP129" s="27">
        <f t="shared" si="42"/>
        <v>-3.8876011383793888E-3</v>
      </c>
      <c r="AQ129" s="29">
        <f t="shared" si="43"/>
        <v>-2.5585171156248171E-2</v>
      </c>
      <c r="AS129" s="30">
        <f t="shared" si="44"/>
        <v>0.94935260036122837</v>
      </c>
      <c r="AT129" s="21">
        <f t="shared" si="45"/>
        <v>4.8723854669747197</v>
      </c>
      <c r="AU129" s="31">
        <f t="shared" ca="1" si="53"/>
        <v>4.7523422206741106E-4</v>
      </c>
      <c r="AV129" s="109">
        <f t="shared" ca="1" si="54"/>
        <v>4.7789995121427786E-4</v>
      </c>
      <c r="AW129" s="27" t="e">
        <f t="shared" ca="1" si="55"/>
        <v>#VALUE!</v>
      </c>
      <c r="AX129" s="29" t="e">
        <f t="shared" ca="1" si="56"/>
        <v>#VALUE!</v>
      </c>
      <c r="AY129" s="72"/>
    </row>
    <row r="130" spans="13:51" s="11" customFormat="1" ht="15.6" customHeight="1" x14ac:dyDescent="0.3">
      <c r="M130" s="20">
        <f t="shared" si="57"/>
        <v>100</v>
      </c>
      <c r="N130" s="21">
        <f t="shared" si="58"/>
        <v>1.7500000000000022</v>
      </c>
      <c r="O130" s="22">
        <f t="shared" ca="1" si="30"/>
        <v>138.78314809873717</v>
      </c>
      <c r="P130" s="23">
        <f t="shared" ca="1" si="31"/>
        <v>-1</v>
      </c>
      <c r="Q130" s="22" t="e">
        <f t="shared" ca="1" si="32"/>
        <v>#VALUE!</v>
      </c>
      <c r="R130" s="23">
        <f t="shared" ca="1" si="33"/>
        <v>-1</v>
      </c>
      <c r="S130" s="24" t="e">
        <f t="shared" ca="1" si="34"/>
        <v>#VALUE!</v>
      </c>
      <c r="T130" s="23">
        <f t="shared" ca="1" si="35"/>
        <v>-1</v>
      </c>
      <c r="U130" s="112">
        <f t="shared" si="46"/>
        <v>2.5635187271942798E-2</v>
      </c>
      <c r="V130" s="109">
        <f t="shared" si="47"/>
        <v>-2.5635187271942798E-2</v>
      </c>
      <c r="W130" s="112">
        <f t="shared" si="48"/>
        <v>2.5635187271942798E-2</v>
      </c>
      <c r="X130" s="113">
        <f t="shared" si="49"/>
        <v>-2.5635187271942798E-2</v>
      </c>
      <c r="Y130" s="32"/>
      <c r="Z130" s="32"/>
      <c r="AA130" s="32"/>
      <c r="AB130" s="32"/>
      <c r="AC130" s="32"/>
      <c r="AD130" s="32"/>
      <c r="AE130" s="32"/>
      <c r="AG130" s="26">
        <f t="shared" si="36"/>
        <v>0</v>
      </c>
      <c r="AH130" s="27">
        <f t="shared" si="37"/>
        <v>6.4257885241312554E-2</v>
      </c>
      <c r="AI130" s="28">
        <f t="shared" si="50"/>
        <v>2.5635187271942798E-2</v>
      </c>
      <c r="AJ130" s="27">
        <f t="shared" si="38"/>
        <v>2.5635187271942798E-2</v>
      </c>
      <c r="AK130" s="28">
        <f t="shared" si="39"/>
        <v>3.8756760190930811E-3</v>
      </c>
      <c r="AL130" s="27">
        <f t="shared" si="40"/>
        <v>2.5635187271942798E-2</v>
      </c>
      <c r="AM130" s="28">
        <f t="shared" si="51"/>
        <v>2.5635187271942798E-2</v>
      </c>
      <c r="AN130" s="27">
        <f t="shared" si="52"/>
        <v>-2.5635187271942798E-2</v>
      </c>
      <c r="AO130" s="28">
        <f t="shared" si="41"/>
        <v>-2.5635187271942798E-2</v>
      </c>
      <c r="AP130" s="27">
        <f t="shared" si="42"/>
        <v>-3.8756760190930811E-3</v>
      </c>
      <c r="AQ130" s="29">
        <f t="shared" si="43"/>
        <v>-2.5635187271942798E-2</v>
      </c>
      <c r="AS130" s="30">
        <f t="shared" si="44"/>
        <v>0.94885432105580125</v>
      </c>
      <c r="AT130" s="21">
        <f t="shared" si="45"/>
        <v>4.8574395463840165</v>
      </c>
      <c r="AU130" s="31">
        <f t="shared" ca="1" si="53"/>
        <v>4.7667940296491906E-4</v>
      </c>
      <c r="AV130" s="109">
        <f t="shared" ca="1" si="54"/>
        <v>4.7934193109178125E-4</v>
      </c>
      <c r="AW130" s="27" t="e">
        <f t="shared" ca="1" si="55"/>
        <v>#VALUE!</v>
      </c>
      <c r="AX130" s="29" t="e">
        <f t="shared" ca="1" si="56"/>
        <v>#VALUE!</v>
      </c>
      <c r="AY130" s="72"/>
    </row>
    <row r="131" spans="13:51" s="11" customFormat="1" ht="15.6" customHeight="1" x14ac:dyDescent="0.3">
      <c r="M131" s="20">
        <f t="shared" si="57"/>
        <v>101</v>
      </c>
      <c r="N131" s="21">
        <f t="shared" si="58"/>
        <v>1.7675000000000023</v>
      </c>
      <c r="O131" s="22">
        <f t="shared" ca="1" si="30"/>
        <v>139.09955175631157</v>
      </c>
      <c r="P131" s="23">
        <f t="shared" ca="1" si="31"/>
        <v>-1</v>
      </c>
      <c r="Q131" s="22" t="e">
        <f t="shared" ca="1" si="32"/>
        <v>#VALUE!</v>
      </c>
      <c r="R131" s="23">
        <f t="shared" ca="1" si="33"/>
        <v>-1</v>
      </c>
      <c r="S131" s="24" t="e">
        <f t="shared" ca="1" si="34"/>
        <v>#VALUE!</v>
      </c>
      <c r="T131" s="23">
        <f t="shared" ca="1" si="35"/>
        <v>-1</v>
      </c>
      <c r="U131" s="112">
        <f t="shared" si="46"/>
        <v>2.5683732077546966E-2</v>
      </c>
      <c r="V131" s="109">
        <f t="shared" si="47"/>
        <v>-2.5683732077546966E-2</v>
      </c>
      <c r="W131" s="112">
        <f t="shared" si="48"/>
        <v>2.5683732077546966E-2</v>
      </c>
      <c r="X131" s="113">
        <f t="shared" si="49"/>
        <v>-2.5683732077546966E-2</v>
      </c>
      <c r="Y131" s="32"/>
      <c r="Z131" s="32"/>
      <c r="AA131" s="32"/>
      <c r="AB131" s="32"/>
      <c r="AC131" s="32"/>
      <c r="AD131" s="32"/>
      <c r="AE131" s="32"/>
      <c r="AG131" s="26">
        <f t="shared" si="36"/>
        <v>0</v>
      </c>
      <c r="AH131" s="27">
        <f t="shared" si="37"/>
        <v>6.4379569023626432E-2</v>
      </c>
      <c r="AI131" s="28">
        <f t="shared" si="50"/>
        <v>2.5683732077546966E-2</v>
      </c>
      <c r="AJ131" s="27">
        <f t="shared" si="38"/>
        <v>2.5683732077546966E-2</v>
      </c>
      <c r="AK131" s="28">
        <f t="shared" si="39"/>
        <v>3.8637446374754276E-3</v>
      </c>
      <c r="AL131" s="27">
        <f t="shared" si="40"/>
        <v>2.5683732077546966E-2</v>
      </c>
      <c r="AM131" s="28">
        <f t="shared" si="51"/>
        <v>2.5683732077546966E-2</v>
      </c>
      <c r="AN131" s="27">
        <f t="shared" si="52"/>
        <v>-2.5683732077546966E-2</v>
      </c>
      <c r="AO131" s="28">
        <f t="shared" si="41"/>
        <v>-2.5683732077546966E-2</v>
      </c>
      <c r="AP131" s="27">
        <f t="shared" si="42"/>
        <v>-3.8637446374754285E-3</v>
      </c>
      <c r="AQ131" s="29">
        <f t="shared" si="43"/>
        <v>-2.5683732077546966E-2</v>
      </c>
      <c r="AS131" s="30">
        <f t="shared" si="44"/>
        <v>0.9483563032783523</v>
      </c>
      <c r="AT131" s="21">
        <f t="shared" si="45"/>
        <v>4.8424857771249057</v>
      </c>
      <c r="AU131" s="31">
        <f t="shared" ca="1" si="53"/>
        <v>4.7811699243771599E-4</v>
      </c>
      <c r="AV131" s="109">
        <f t="shared" ca="1" si="54"/>
        <v>4.8077630915088765E-4</v>
      </c>
      <c r="AW131" s="27" t="e">
        <f t="shared" ca="1" si="55"/>
        <v>#VALUE!</v>
      </c>
      <c r="AX131" s="29" t="e">
        <f t="shared" ca="1" si="56"/>
        <v>#VALUE!</v>
      </c>
      <c r="AY131" s="72"/>
    </row>
    <row r="132" spans="13:51" s="11" customFormat="1" ht="15.6" customHeight="1" x14ac:dyDescent="0.3">
      <c r="M132" s="20">
        <f t="shared" si="57"/>
        <v>102</v>
      </c>
      <c r="N132" s="21">
        <f t="shared" si="58"/>
        <v>1.7850000000000024</v>
      </c>
      <c r="O132" s="22">
        <f t="shared" ca="1" si="30"/>
        <v>139.41559539490964</v>
      </c>
      <c r="P132" s="23">
        <f t="shared" ca="1" si="31"/>
        <v>-1</v>
      </c>
      <c r="Q132" s="22" t="e">
        <f t="shared" ca="1" si="32"/>
        <v>#VALUE!</v>
      </c>
      <c r="R132" s="23">
        <f t="shared" ca="1" si="33"/>
        <v>-1</v>
      </c>
      <c r="S132" s="24" t="e">
        <f t="shared" ca="1" si="34"/>
        <v>#VALUE!</v>
      </c>
      <c r="T132" s="23">
        <f t="shared" ca="1" si="35"/>
        <v>-1</v>
      </c>
      <c r="U132" s="112">
        <f t="shared" si="46"/>
        <v>2.5730820287026699E-2</v>
      </c>
      <c r="V132" s="109">
        <f t="shared" si="47"/>
        <v>-2.5730820287026699E-2</v>
      </c>
      <c r="W132" s="112">
        <f t="shared" si="48"/>
        <v>2.5730820287026699E-2</v>
      </c>
      <c r="X132" s="113">
        <f t="shared" si="49"/>
        <v>-2.5730820287026699E-2</v>
      </c>
      <c r="Y132" s="32"/>
      <c r="Z132" s="32"/>
      <c r="AA132" s="32"/>
      <c r="AB132" s="32"/>
      <c r="AC132" s="32"/>
      <c r="AD132" s="32"/>
      <c r="AE132" s="32"/>
      <c r="AG132" s="26">
        <f t="shared" si="36"/>
        <v>0</v>
      </c>
      <c r="AH132" s="27">
        <f t="shared" si="37"/>
        <v>6.4497601660910078E-2</v>
      </c>
      <c r="AI132" s="28">
        <f t="shared" si="50"/>
        <v>2.5730820287026699E-2</v>
      </c>
      <c r="AJ132" s="27">
        <f t="shared" si="38"/>
        <v>2.5730820287026699E-2</v>
      </c>
      <c r="AK132" s="28">
        <f t="shared" si="39"/>
        <v>3.8518069902378454E-3</v>
      </c>
      <c r="AL132" s="27">
        <f t="shared" si="40"/>
        <v>2.5730820287026699E-2</v>
      </c>
      <c r="AM132" s="28">
        <f t="shared" si="51"/>
        <v>2.5730820287026699E-2</v>
      </c>
      <c r="AN132" s="27">
        <f t="shared" si="52"/>
        <v>-2.5730820287026699E-2</v>
      </c>
      <c r="AO132" s="28">
        <f t="shared" si="41"/>
        <v>-2.5730820287026699E-2</v>
      </c>
      <c r="AP132" s="27">
        <f t="shared" si="42"/>
        <v>-3.8518069902378454E-3</v>
      </c>
      <c r="AQ132" s="29">
        <f t="shared" si="43"/>
        <v>-2.5730820287026699E-2</v>
      </c>
      <c r="AS132" s="30">
        <f t="shared" si="44"/>
        <v>0.94785854689161553</v>
      </c>
      <c r="AT132" s="21">
        <f t="shared" si="45"/>
        <v>4.8275241550757579</v>
      </c>
      <c r="AU132" s="31">
        <f t="shared" ca="1" si="53"/>
        <v>4.7954690262641542E-4</v>
      </c>
      <c r="AV132" s="109">
        <f t="shared" ca="1" si="54"/>
        <v>4.8220299764722974E-4</v>
      </c>
      <c r="AW132" s="27" t="e">
        <f t="shared" ca="1" si="55"/>
        <v>#VALUE!</v>
      </c>
      <c r="AX132" s="29" t="e">
        <f t="shared" ca="1" si="56"/>
        <v>#VALUE!</v>
      </c>
      <c r="AY132" s="72"/>
    </row>
    <row r="133" spans="13:51" s="11" customFormat="1" ht="15.6" customHeight="1" x14ac:dyDescent="0.3">
      <c r="M133" s="20">
        <f t="shared" si="57"/>
        <v>103</v>
      </c>
      <c r="N133" s="21">
        <f t="shared" si="58"/>
        <v>1.8025000000000024</v>
      </c>
      <c r="O133" s="22">
        <f t="shared" ca="1" si="30"/>
        <v>139.73127080562963</v>
      </c>
      <c r="P133" s="23">
        <f t="shared" ca="1" si="31"/>
        <v>-1</v>
      </c>
      <c r="Q133" s="22" t="e">
        <f t="shared" ca="1" si="32"/>
        <v>#VALUE!</v>
      </c>
      <c r="R133" s="23">
        <f t="shared" ca="1" si="33"/>
        <v>-1</v>
      </c>
      <c r="S133" s="24" t="e">
        <f t="shared" ca="1" si="34"/>
        <v>#VALUE!</v>
      </c>
      <c r="T133" s="23">
        <f t="shared" ca="1" si="35"/>
        <v>-1</v>
      </c>
      <c r="U133" s="112">
        <f t="shared" si="46"/>
        <v>2.5776466273054924E-2</v>
      </c>
      <c r="V133" s="109">
        <f t="shared" si="47"/>
        <v>-2.5776466273054924E-2</v>
      </c>
      <c r="W133" s="112">
        <f t="shared" si="48"/>
        <v>2.5776466273054924E-2</v>
      </c>
      <c r="X133" s="113">
        <f t="shared" si="49"/>
        <v>-2.5776466273054924E-2</v>
      </c>
      <c r="Y133" s="32"/>
      <c r="Z133" s="32"/>
      <c r="AA133" s="32"/>
      <c r="AB133" s="32"/>
      <c r="AC133" s="32"/>
      <c r="AD133" s="32"/>
      <c r="AE133" s="32"/>
      <c r="AG133" s="26">
        <f t="shared" si="36"/>
        <v>0</v>
      </c>
      <c r="AH133" s="27">
        <f t="shared" si="37"/>
        <v>6.4612019180111835E-2</v>
      </c>
      <c r="AI133" s="28">
        <f t="shared" si="50"/>
        <v>2.5776466273054924E-2</v>
      </c>
      <c r="AJ133" s="27">
        <f t="shared" si="38"/>
        <v>2.5776466273054924E-2</v>
      </c>
      <c r="AK133" s="28">
        <f t="shared" si="39"/>
        <v>3.8398630740900186E-3</v>
      </c>
      <c r="AL133" s="27">
        <f t="shared" si="40"/>
        <v>2.5776466273054924E-2</v>
      </c>
      <c r="AM133" s="28">
        <f t="shared" si="51"/>
        <v>2.5776466273054924E-2</v>
      </c>
      <c r="AN133" s="27">
        <f t="shared" si="52"/>
        <v>-2.5776466273054924E-2</v>
      </c>
      <c r="AO133" s="28">
        <f t="shared" si="41"/>
        <v>-2.5776466273054924E-2</v>
      </c>
      <c r="AP133" s="27">
        <f t="shared" si="42"/>
        <v>-3.8398630740900191E-3</v>
      </c>
      <c r="AQ133" s="29">
        <f t="shared" si="43"/>
        <v>-2.5776466273054924E-2</v>
      </c>
      <c r="AS133" s="30">
        <f t="shared" si="44"/>
        <v>0.9473610517583968</v>
      </c>
      <c r="AT133" s="21">
        <f t="shared" si="45"/>
        <v>4.812554676112776</v>
      </c>
      <c r="AU133" s="31">
        <f t="shared" ca="1" si="53"/>
        <v>4.8096904599925772E-4</v>
      </c>
      <c r="AV133" s="109">
        <f t="shared" ca="1" si="54"/>
        <v>4.836219091650662E-4</v>
      </c>
      <c r="AW133" s="27" t="e">
        <f t="shared" ca="1" si="55"/>
        <v>#VALUE!</v>
      </c>
      <c r="AX133" s="29" t="e">
        <f t="shared" ca="1" si="56"/>
        <v>#VALUE!</v>
      </c>
      <c r="AY133" s="72"/>
    </row>
    <row r="134" spans="13:51" s="11" customFormat="1" ht="15.6" customHeight="1" x14ac:dyDescent="0.3">
      <c r="M134" s="20">
        <f t="shared" si="57"/>
        <v>104</v>
      </c>
      <c r="N134" s="21">
        <f t="shared" si="58"/>
        <v>1.8200000000000025</v>
      </c>
      <c r="O134" s="22">
        <f t="shared" ca="1" si="30"/>
        <v>140.04656977956981</v>
      </c>
      <c r="P134" s="23">
        <f t="shared" ca="1" si="31"/>
        <v>-1</v>
      </c>
      <c r="Q134" s="22" t="e">
        <f t="shared" ca="1" si="32"/>
        <v>#VALUE!</v>
      </c>
      <c r="R134" s="23">
        <f t="shared" ca="1" si="33"/>
        <v>-1</v>
      </c>
      <c r="S134" s="24" t="e">
        <f t="shared" ca="1" si="34"/>
        <v>#VALUE!</v>
      </c>
      <c r="T134" s="23">
        <f t="shared" ca="1" si="35"/>
        <v>-1</v>
      </c>
      <c r="U134" s="112">
        <f t="shared" si="46"/>
        <v>2.5820684078215653E-2</v>
      </c>
      <c r="V134" s="109">
        <f t="shared" si="47"/>
        <v>-2.5820684078215653E-2</v>
      </c>
      <c r="W134" s="112">
        <f t="shared" si="48"/>
        <v>2.5820684078215653E-2</v>
      </c>
      <c r="X134" s="113">
        <f t="shared" si="49"/>
        <v>-2.5820684078215653E-2</v>
      </c>
      <c r="Y134" s="32"/>
      <c r="Z134" s="32"/>
      <c r="AA134" s="32"/>
      <c r="AB134" s="32"/>
      <c r="AC134" s="32"/>
      <c r="AD134" s="32"/>
      <c r="AE134" s="32"/>
      <c r="AG134" s="26">
        <f t="shared" si="36"/>
        <v>0</v>
      </c>
      <c r="AH134" s="27">
        <f t="shared" si="37"/>
        <v>6.4722856780769847E-2</v>
      </c>
      <c r="AI134" s="28">
        <f t="shared" si="50"/>
        <v>2.5820684078215653E-2</v>
      </c>
      <c r="AJ134" s="27">
        <f t="shared" si="38"/>
        <v>2.5820684078215653E-2</v>
      </c>
      <c r="AK134" s="28">
        <f t="shared" si="39"/>
        <v>3.8279128857399026E-3</v>
      </c>
      <c r="AL134" s="27">
        <f t="shared" si="40"/>
        <v>2.5820684078215653E-2</v>
      </c>
      <c r="AM134" s="28">
        <f t="shared" si="51"/>
        <v>2.5820684078215653E-2</v>
      </c>
      <c r="AN134" s="27">
        <f t="shared" si="52"/>
        <v>-2.5820684078215653E-2</v>
      </c>
      <c r="AO134" s="28">
        <f t="shared" si="41"/>
        <v>-2.5820684078215653E-2</v>
      </c>
      <c r="AP134" s="27">
        <f t="shared" si="42"/>
        <v>-3.8279128857399026E-3</v>
      </c>
      <c r="AQ134" s="29">
        <f t="shared" si="43"/>
        <v>-2.5820684078215653E-2</v>
      </c>
      <c r="AS134" s="30">
        <f t="shared" si="44"/>
        <v>0.94686381774157391</v>
      </c>
      <c r="AT134" s="21">
        <f t="shared" si="45"/>
        <v>4.7975773361099927</v>
      </c>
      <c r="AU134" s="31">
        <f t="shared" ca="1" si="53"/>
        <v>4.8238333535410849E-4</v>
      </c>
      <c r="AV134" s="109">
        <f t="shared" ca="1" si="54"/>
        <v>4.850329566190581E-4</v>
      </c>
      <c r="AW134" s="27" t="e">
        <f t="shared" ca="1" si="55"/>
        <v>#VALUE!</v>
      </c>
      <c r="AX134" s="29" t="e">
        <f t="shared" ca="1" si="56"/>
        <v>#VALUE!</v>
      </c>
      <c r="AY134" s="72"/>
    </row>
    <row r="135" spans="13:51" s="11" customFormat="1" ht="15.6" customHeight="1" x14ac:dyDescent="0.3">
      <c r="M135" s="20">
        <f t="shared" si="57"/>
        <v>105</v>
      </c>
      <c r="N135" s="21">
        <f t="shared" si="58"/>
        <v>1.8375000000000026</v>
      </c>
      <c r="O135" s="22">
        <f t="shared" ca="1" si="30"/>
        <v>140.36148410782843</v>
      </c>
      <c r="P135" s="23">
        <f t="shared" ca="1" si="31"/>
        <v>-1</v>
      </c>
      <c r="Q135" s="22" t="e">
        <f t="shared" ca="1" si="32"/>
        <v>#VALUE!</v>
      </c>
      <c r="R135" s="23">
        <f t="shared" ca="1" si="33"/>
        <v>-1</v>
      </c>
      <c r="S135" s="24" t="e">
        <f t="shared" ca="1" si="34"/>
        <v>#VALUE!</v>
      </c>
      <c r="T135" s="23">
        <f t="shared" ca="1" si="35"/>
        <v>-1</v>
      </c>
      <c r="U135" s="112">
        <f t="shared" si="46"/>
        <v>2.5863487425733439E-2</v>
      </c>
      <c r="V135" s="109">
        <f t="shared" si="47"/>
        <v>-2.5863487425733439E-2</v>
      </c>
      <c r="W135" s="112">
        <f t="shared" si="48"/>
        <v>2.5863487425733439E-2</v>
      </c>
      <c r="X135" s="113">
        <f t="shared" si="49"/>
        <v>-2.5863487425733439E-2</v>
      </c>
      <c r="Y135" s="32"/>
      <c r="Z135" s="32"/>
      <c r="AA135" s="32"/>
      <c r="AB135" s="32"/>
      <c r="AC135" s="32"/>
      <c r="AD135" s="32"/>
      <c r="AE135" s="32"/>
      <c r="AG135" s="26">
        <f t="shared" si="36"/>
        <v>0</v>
      </c>
      <c r="AH135" s="27">
        <f t="shared" si="37"/>
        <v>6.4830148861906786E-2</v>
      </c>
      <c r="AI135" s="28">
        <f t="shared" si="50"/>
        <v>2.5863487425733439E-2</v>
      </c>
      <c r="AJ135" s="27">
        <f t="shared" si="38"/>
        <v>2.5863487425733439E-2</v>
      </c>
      <c r="AK135" s="28">
        <f t="shared" si="39"/>
        <v>3.8159564218937332E-3</v>
      </c>
      <c r="AL135" s="27">
        <f t="shared" si="40"/>
        <v>2.5863487425733439E-2</v>
      </c>
      <c r="AM135" s="28">
        <f t="shared" si="51"/>
        <v>2.5863487425733439E-2</v>
      </c>
      <c r="AN135" s="27">
        <f t="shared" si="52"/>
        <v>-2.5863487425733439E-2</v>
      </c>
      <c r="AO135" s="28">
        <f t="shared" si="41"/>
        <v>-2.5863487425733439E-2</v>
      </c>
      <c r="AP135" s="27">
        <f t="shared" si="42"/>
        <v>-3.8159564218937332E-3</v>
      </c>
      <c r="AQ135" s="29">
        <f t="shared" si="43"/>
        <v>-2.5863487425733439E-2</v>
      </c>
      <c r="AS135" s="30">
        <f t="shared" si="44"/>
        <v>0.94636684470409671</v>
      </c>
      <c r="AT135" s="21">
        <f t="shared" si="45"/>
        <v>4.7825921309392863</v>
      </c>
      <c r="AU135" s="31">
        <f t="shared" ca="1" si="53"/>
        <v>4.8378968381945775E-4</v>
      </c>
      <c r="AV135" s="109">
        <f t="shared" ca="1" si="54"/>
        <v>4.8643605325604522E-4</v>
      </c>
      <c r="AW135" s="27" t="e">
        <f t="shared" ca="1" si="55"/>
        <v>#VALUE!</v>
      </c>
      <c r="AX135" s="29" t="e">
        <f t="shared" ca="1" si="56"/>
        <v>#VALUE!</v>
      </c>
      <c r="AY135" s="72"/>
    </row>
    <row r="136" spans="13:51" s="11" customFormat="1" ht="15.6" customHeight="1" x14ac:dyDescent="0.3">
      <c r="M136" s="20">
        <f t="shared" si="57"/>
        <v>106</v>
      </c>
      <c r="N136" s="21">
        <f t="shared" si="58"/>
        <v>1.8550000000000026</v>
      </c>
      <c r="O136" s="22">
        <f t="shared" ca="1" si="30"/>
        <v>140.67600558150374</v>
      </c>
      <c r="P136" s="23">
        <f t="shared" ca="1" si="31"/>
        <v>-1</v>
      </c>
      <c r="Q136" s="22" t="e">
        <f t="shared" ca="1" si="32"/>
        <v>#VALUE!</v>
      </c>
      <c r="R136" s="23">
        <f t="shared" ca="1" si="33"/>
        <v>-1</v>
      </c>
      <c r="S136" s="24" t="e">
        <f t="shared" ca="1" si="34"/>
        <v>#VALUE!</v>
      </c>
      <c r="T136" s="23">
        <f t="shared" ca="1" si="35"/>
        <v>-1</v>
      </c>
      <c r="U136" s="112">
        <f t="shared" si="46"/>
        <v>2.5904889729752498E-2</v>
      </c>
      <c r="V136" s="109">
        <f t="shared" si="47"/>
        <v>-2.5904889729752498E-2</v>
      </c>
      <c r="W136" s="112">
        <f t="shared" si="48"/>
        <v>2.5904889729752498E-2</v>
      </c>
      <c r="X136" s="113">
        <f t="shared" si="49"/>
        <v>-2.5904889729752498E-2</v>
      </c>
      <c r="Y136" s="32"/>
      <c r="Z136" s="32"/>
      <c r="AA136" s="32"/>
      <c r="AB136" s="32"/>
      <c r="AC136" s="32"/>
      <c r="AD136" s="32"/>
      <c r="AE136" s="32"/>
      <c r="AG136" s="26">
        <f t="shared" si="36"/>
        <v>0</v>
      </c>
      <c r="AH136" s="27">
        <f t="shared" si="37"/>
        <v>6.4933929047795824E-2</v>
      </c>
      <c r="AI136" s="28">
        <f t="shared" si="50"/>
        <v>2.5904889729752498E-2</v>
      </c>
      <c r="AJ136" s="27">
        <f t="shared" si="38"/>
        <v>2.5904889729752498E-2</v>
      </c>
      <c r="AK136" s="28">
        <f t="shared" si="39"/>
        <v>3.8039936792560042E-3</v>
      </c>
      <c r="AL136" s="27">
        <f t="shared" si="40"/>
        <v>2.5904889729752498E-2</v>
      </c>
      <c r="AM136" s="28">
        <f t="shared" si="51"/>
        <v>2.5904889729752498E-2</v>
      </c>
      <c r="AN136" s="27">
        <f t="shared" si="52"/>
        <v>-2.5904889729752498E-2</v>
      </c>
      <c r="AO136" s="28">
        <f t="shared" si="41"/>
        <v>-2.5904889729752498E-2</v>
      </c>
      <c r="AP136" s="27">
        <f t="shared" si="42"/>
        <v>-3.8039936792560042E-3</v>
      </c>
      <c r="AQ136" s="29">
        <f t="shared" si="43"/>
        <v>-2.5904889729752498E-2</v>
      </c>
      <c r="AS136" s="30">
        <f t="shared" si="44"/>
        <v>0.94587013250898722</v>
      </c>
      <c r="AT136" s="21">
        <f t="shared" si="45"/>
        <v>4.7675990564703543</v>
      </c>
      <c r="AU136" s="31">
        <f t="shared" ca="1" si="53"/>
        <v>4.8518800485630731E-4</v>
      </c>
      <c r="AV136" s="109">
        <f t="shared" ca="1" si="54"/>
        <v>4.878311126566004E-4</v>
      </c>
      <c r="AW136" s="27" t="e">
        <f t="shared" ca="1" si="55"/>
        <v>#VALUE!</v>
      </c>
      <c r="AX136" s="29" t="e">
        <f t="shared" ca="1" si="56"/>
        <v>#VALUE!</v>
      </c>
      <c r="AY136" s="72"/>
    </row>
    <row r="137" spans="13:51" s="11" customFormat="1" ht="15.6" customHeight="1" x14ac:dyDescent="0.3">
      <c r="M137" s="20">
        <f t="shared" si="57"/>
        <v>107</v>
      </c>
      <c r="N137" s="21">
        <f t="shared" si="58"/>
        <v>1.8725000000000027</v>
      </c>
      <c r="O137" s="22">
        <f t="shared" ca="1" si="30"/>
        <v>140.99012599169401</v>
      </c>
      <c r="P137" s="23">
        <f t="shared" ca="1" si="31"/>
        <v>-1</v>
      </c>
      <c r="Q137" s="22" t="e">
        <f t="shared" ca="1" si="32"/>
        <v>#VALUE!</v>
      </c>
      <c r="R137" s="23">
        <f t="shared" ca="1" si="33"/>
        <v>-1</v>
      </c>
      <c r="S137" s="24" t="e">
        <f t="shared" ca="1" si="34"/>
        <v>#VALUE!</v>
      </c>
      <c r="T137" s="23">
        <f t="shared" ca="1" si="35"/>
        <v>-1</v>
      </c>
      <c r="U137" s="112">
        <f t="shared" si="46"/>
        <v>2.5944904105188776E-2</v>
      </c>
      <c r="V137" s="109">
        <f t="shared" si="47"/>
        <v>-2.5944904105188776E-2</v>
      </c>
      <c r="W137" s="112">
        <f t="shared" si="48"/>
        <v>2.5944904105188776E-2</v>
      </c>
      <c r="X137" s="113">
        <f t="shared" si="49"/>
        <v>-2.5944904105188776E-2</v>
      </c>
      <c r="Y137" s="32"/>
      <c r="Z137" s="32"/>
      <c r="AA137" s="32"/>
      <c r="AB137" s="32"/>
      <c r="AC137" s="32"/>
      <c r="AD137" s="32"/>
      <c r="AE137" s="32"/>
      <c r="AG137" s="26">
        <f t="shared" si="36"/>
        <v>0</v>
      </c>
      <c r="AH137" s="27">
        <f t="shared" si="37"/>
        <v>6.5034230212656099E-2</v>
      </c>
      <c r="AI137" s="28">
        <f t="shared" si="50"/>
        <v>2.5944904105188776E-2</v>
      </c>
      <c r="AJ137" s="27">
        <f t="shared" si="38"/>
        <v>2.5944904105188776E-2</v>
      </c>
      <c r="AK137" s="28">
        <f t="shared" si="39"/>
        <v>3.7920246545294863E-3</v>
      </c>
      <c r="AL137" s="27">
        <f t="shared" si="40"/>
        <v>2.5944904105188776E-2</v>
      </c>
      <c r="AM137" s="28">
        <f t="shared" si="51"/>
        <v>2.5944904105188776E-2</v>
      </c>
      <c r="AN137" s="27">
        <f t="shared" si="52"/>
        <v>-2.5944904105188776E-2</v>
      </c>
      <c r="AO137" s="28">
        <f t="shared" si="41"/>
        <v>-2.5944904105188776E-2</v>
      </c>
      <c r="AP137" s="27">
        <f t="shared" si="42"/>
        <v>-3.7920246545294872E-3</v>
      </c>
      <c r="AQ137" s="29">
        <f t="shared" si="43"/>
        <v>-2.5944904105188776E-2</v>
      </c>
      <c r="AS137" s="30">
        <f t="shared" si="44"/>
        <v>0.94537368101933883</v>
      </c>
      <c r="AT137" s="21">
        <f t="shared" si="45"/>
        <v>4.752598108570731</v>
      </c>
      <c r="AU137" s="31">
        <f t="shared" ca="1" si="53"/>
        <v>4.8657821225916997E-4</v>
      </c>
      <c r="AV137" s="109">
        <f t="shared" ca="1" si="54"/>
        <v>4.8921804873569563E-4</v>
      </c>
      <c r="AW137" s="27" t="e">
        <f t="shared" ca="1" si="55"/>
        <v>#VALUE!</v>
      </c>
      <c r="AX137" s="29" t="e">
        <f t="shared" ca="1" si="56"/>
        <v>#VALUE!</v>
      </c>
      <c r="AY137" s="72"/>
    </row>
    <row r="138" spans="13:51" s="11" customFormat="1" ht="15.6" customHeight="1" x14ac:dyDescent="0.3">
      <c r="M138" s="20">
        <f t="shared" si="57"/>
        <v>108</v>
      </c>
      <c r="N138" s="21">
        <f t="shared" si="58"/>
        <v>1.8900000000000028</v>
      </c>
      <c r="O138" s="22">
        <f t="shared" ca="1" si="30"/>
        <v>141.30383712949751</v>
      </c>
      <c r="P138" s="23">
        <f t="shared" ca="1" si="31"/>
        <v>-1</v>
      </c>
      <c r="Q138" s="22" t="e">
        <f t="shared" ca="1" si="32"/>
        <v>#VALUE!</v>
      </c>
      <c r="R138" s="23">
        <f t="shared" ca="1" si="33"/>
        <v>-1</v>
      </c>
      <c r="S138" s="24" t="e">
        <f t="shared" ca="1" si="34"/>
        <v>#VALUE!</v>
      </c>
      <c r="T138" s="23">
        <f t="shared" ca="1" si="35"/>
        <v>-1</v>
      </c>
      <c r="U138" s="112">
        <f t="shared" si="46"/>
        <v>2.5983543377176427E-2</v>
      </c>
      <c r="V138" s="109">
        <f t="shared" si="47"/>
        <v>-2.5983543377176427E-2</v>
      </c>
      <c r="W138" s="112">
        <f t="shared" si="48"/>
        <v>2.5983543377176427E-2</v>
      </c>
      <c r="X138" s="113">
        <f t="shared" si="49"/>
        <v>-2.5983543377176427E-2</v>
      </c>
      <c r="Y138" s="32"/>
      <c r="Z138" s="32"/>
      <c r="AA138" s="32"/>
      <c r="AB138" s="32"/>
      <c r="AC138" s="32"/>
      <c r="AD138" s="32"/>
      <c r="AE138" s="32"/>
      <c r="AG138" s="26">
        <f t="shared" si="36"/>
        <v>0</v>
      </c>
      <c r="AH138" s="27">
        <f t="shared" si="37"/>
        <v>6.5131084504331499E-2</v>
      </c>
      <c r="AI138" s="28">
        <f t="shared" si="50"/>
        <v>2.5983543377176427E-2</v>
      </c>
      <c r="AJ138" s="27">
        <f t="shared" si="38"/>
        <v>2.5983543377176427E-2</v>
      </c>
      <c r="AK138" s="28">
        <f t="shared" si="39"/>
        <v>3.7800493444152183E-3</v>
      </c>
      <c r="AL138" s="27">
        <f t="shared" si="40"/>
        <v>2.5983543377176427E-2</v>
      </c>
      <c r="AM138" s="28">
        <f t="shared" si="51"/>
        <v>2.5983543377176427E-2</v>
      </c>
      <c r="AN138" s="27">
        <f t="shared" si="52"/>
        <v>-2.5983543377176427E-2</v>
      </c>
      <c r="AO138" s="28">
        <f t="shared" si="41"/>
        <v>-2.5983543377176427E-2</v>
      </c>
      <c r="AP138" s="27">
        <f t="shared" si="42"/>
        <v>-3.7800493444152192E-3</v>
      </c>
      <c r="AQ138" s="29">
        <f t="shared" si="43"/>
        <v>-2.5983543377176427E-2</v>
      </c>
      <c r="AS138" s="30">
        <f t="shared" si="44"/>
        <v>0.94487749009831734</v>
      </c>
      <c r="AT138" s="21">
        <f t="shared" si="45"/>
        <v>4.7375892831057813</v>
      </c>
      <c r="AU138" s="31">
        <f t="shared" ca="1" si="53"/>
        <v>4.8796022015806795E-4</v>
      </c>
      <c r="AV138" s="109">
        <f t="shared" ca="1" si="54"/>
        <v>4.9059677574525562E-4</v>
      </c>
      <c r="AW138" s="27" t="e">
        <f t="shared" ca="1" si="55"/>
        <v>#VALUE!</v>
      </c>
      <c r="AX138" s="29" t="e">
        <f t="shared" ca="1" si="56"/>
        <v>#VALUE!</v>
      </c>
      <c r="AY138" s="72"/>
    </row>
    <row r="139" spans="13:51" s="11" customFormat="1" ht="15.6" customHeight="1" x14ac:dyDescent="0.3">
      <c r="M139" s="20">
        <f t="shared" si="57"/>
        <v>109</v>
      </c>
      <c r="N139" s="21">
        <f t="shared" si="58"/>
        <v>1.9075000000000029</v>
      </c>
      <c r="O139" s="22">
        <f t="shared" ca="1" si="30"/>
        <v>141.61713078601247</v>
      </c>
      <c r="P139" s="23">
        <f t="shared" ca="1" si="31"/>
        <v>-1</v>
      </c>
      <c r="Q139" s="22" t="e">
        <f t="shared" ca="1" si="32"/>
        <v>#VALUE!</v>
      </c>
      <c r="R139" s="23">
        <f t="shared" ca="1" si="33"/>
        <v>-1</v>
      </c>
      <c r="S139" s="24" t="e">
        <f t="shared" ca="1" si="34"/>
        <v>#VALUE!</v>
      </c>
      <c r="T139" s="23">
        <f t="shared" ca="1" si="35"/>
        <v>-1</v>
      </c>
      <c r="U139" s="112">
        <f t="shared" si="46"/>
        <v>2.6020820090129022E-2</v>
      </c>
      <c r="V139" s="109">
        <f t="shared" si="47"/>
        <v>-2.6020820090129022E-2</v>
      </c>
      <c r="W139" s="112">
        <f t="shared" si="48"/>
        <v>2.6020820090129022E-2</v>
      </c>
      <c r="X139" s="113">
        <f t="shared" si="49"/>
        <v>-2.6020820090129022E-2</v>
      </c>
      <c r="Y139" s="32"/>
      <c r="Z139" s="32"/>
      <c r="AA139" s="32"/>
      <c r="AB139" s="32"/>
      <c r="AC139" s="32"/>
      <c r="AD139" s="32"/>
      <c r="AE139" s="32"/>
      <c r="AG139" s="26">
        <f t="shared" si="36"/>
        <v>0</v>
      </c>
      <c r="AH139" s="27">
        <f t="shared" si="37"/>
        <v>6.5224523367003781E-2</v>
      </c>
      <c r="AI139" s="28">
        <f t="shared" si="50"/>
        <v>2.6020820090129022E-2</v>
      </c>
      <c r="AJ139" s="27">
        <f t="shared" si="38"/>
        <v>2.6020820090129022E-2</v>
      </c>
      <c r="AK139" s="28">
        <f t="shared" si="39"/>
        <v>3.7680677456125001E-3</v>
      </c>
      <c r="AL139" s="27">
        <f t="shared" si="40"/>
        <v>2.6020820090129022E-2</v>
      </c>
      <c r="AM139" s="28">
        <f t="shared" si="51"/>
        <v>2.6020820090129022E-2</v>
      </c>
      <c r="AN139" s="27">
        <f t="shared" si="52"/>
        <v>-2.6020820090129022E-2</v>
      </c>
      <c r="AO139" s="28">
        <f t="shared" si="41"/>
        <v>-2.6020820090129022E-2</v>
      </c>
      <c r="AP139" s="27">
        <f t="shared" si="42"/>
        <v>-3.7680677456125001E-3</v>
      </c>
      <c r="AQ139" s="29">
        <f t="shared" si="43"/>
        <v>-2.6020820090129022E-2</v>
      </c>
      <c r="AS139" s="30">
        <f t="shared" si="44"/>
        <v>0.94438155960916004</v>
      </c>
      <c r="AT139" s="21">
        <f t="shared" si="45"/>
        <v>4.7225725759386918</v>
      </c>
      <c r="AU139" s="31">
        <f t="shared" ca="1" si="53"/>
        <v>4.8933394301942101E-4</v>
      </c>
      <c r="AV139" s="109">
        <f t="shared" ca="1" si="54"/>
        <v>4.9196720827449081E-4</v>
      </c>
      <c r="AW139" s="27" t="e">
        <f t="shared" ca="1" si="55"/>
        <v>#VALUE!</v>
      </c>
      <c r="AX139" s="29" t="e">
        <f t="shared" ca="1" si="56"/>
        <v>#VALUE!</v>
      </c>
      <c r="AY139" s="72"/>
    </row>
    <row r="140" spans="13:51" s="11" customFormat="1" ht="15.6" customHeight="1" x14ac:dyDescent="0.3">
      <c r="M140" s="20">
        <f t="shared" si="57"/>
        <v>110</v>
      </c>
      <c r="N140" s="21">
        <f t="shared" si="58"/>
        <v>1.9250000000000029</v>
      </c>
      <c r="O140" s="22">
        <f t="shared" ca="1" si="30"/>
        <v>141.92999875233718</v>
      </c>
      <c r="P140" s="23">
        <f t="shared" ca="1" si="31"/>
        <v>-1</v>
      </c>
      <c r="Q140" s="22" t="e">
        <f t="shared" ca="1" si="32"/>
        <v>#VALUE!</v>
      </c>
      <c r="R140" s="23">
        <f t="shared" ca="1" si="33"/>
        <v>-1</v>
      </c>
      <c r="S140" s="24" t="e">
        <f t="shared" ca="1" si="34"/>
        <v>#VALUE!</v>
      </c>
      <c r="T140" s="23">
        <f t="shared" ca="1" si="35"/>
        <v>-1</v>
      </c>
      <c r="U140" s="112">
        <f t="shared" si="46"/>
        <v>2.6056746516434918E-2</v>
      </c>
      <c r="V140" s="109">
        <f t="shared" si="47"/>
        <v>-2.6056746516434918E-2</v>
      </c>
      <c r="W140" s="112">
        <f t="shared" si="48"/>
        <v>2.6056746516434918E-2</v>
      </c>
      <c r="X140" s="113">
        <f t="shared" si="49"/>
        <v>-2.6056746516434918E-2</v>
      </c>
      <c r="Y140" s="32"/>
      <c r="Z140" s="32"/>
      <c r="AA140" s="32"/>
      <c r="AB140" s="32"/>
      <c r="AC140" s="32"/>
      <c r="AD140" s="32"/>
      <c r="AE140" s="32"/>
      <c r="AG140" s="26">
        <f t="shared" si="36"/>
        <v>0</v>
      </c>
      <c r="AH140" s="27">
        <f t="shared" si="37"/>
        <v>6.5314577562988585E-2</v>
      </c>
      <c r="AI140" s="28">
        <f t="shared" si="50"/>
        <v>2.6056746516434918E-2</v>
      </c>
      <c r="AJ140" s="27">
        <f t="shared" si="38"/>
        <v>2.6056746516434918E-2</v>
      </c>
      <c r="AK140" s="28">
        <f t="shared" si="39"/>
        <v>3.7560798548189117E-3</v>
      </c>
      <c r="AL140" s="27">
        <f t="shared" si="40"/>
        <v>2.6056746516434918E-2</v>
      </c>
      <c r="AM140" s="28">
        <f t="shared" si="51"/>
        <v>2.6056746516434918E-2</v>
      </c>
      <c r="AN140" s="27">
        <f t="shared" si="52"/>
        <v>-2.6056746516434918E-2</v>
      </c>
      <c r="AO140" s="28">
        <f t="shared" si="41"/>
        <v>-2.6056746516434918E-2</v>
      </c>
      <c r="AP140" s="27">
        <f t="shared" si="42"/>
        <v>-3.7560798548189117E-3</v>
      </c>
      <c r="AQ140" s="29">
        <f t="shared" si="43"/>
        <v>-2.6056746516434918E-2</v>
      </c>
      <c r="AS140" s="30">
        <f t="shared" si="44"/>
        <v>0.94388588941517604</v>
      </c>
      <c r="AT140" s="21">
        <f t="shared" si="45"/>
        <v>4.7075479829304934</v>
      </c>
      <c r="AU140" s="31">
        <f t="shared" ca="1" si="53"/>
        <v>4.9069929564793391E-4</v>
      </c>
      <c r="AV140" s="109">
        <f t="shared" ca="1" si="54"/>
        <v>4.9332926125211785E-4</v>
      </c>
      <c r="AW140" s="27" t="e">
        <f t="shared" ca="1" si="55"/>
        <v>#VALUE!</v>
      </c>
      <c r="AX140" s="29" t="e">
        <f t="shared" ca="1" si="56"/>
        <v>#VALUE!</v>
      </c>
      <c r="AY140" s="72"/>
    </row>
    <row r="141" spans="13:51" s="11" customFormat="1" ht="15.6" customHeight="1" x14ac:dyDescent="0.3">
      <c r="M141" s="20">
        <f t="shared" si="57"/>
        <v>111</v>
      </c>
      <c r="N141" s="21">
        <f t="shared" si="58"/>
        <v>1.942500000000003</v>
      </c>
      <c r="O141" s="22">
        <f t="shared" ca="1" si="30"/>
        <v>142.24243281956987</v>
      </c>
      <c r="P141" s="23">
        <f t="shared" ca="1" si="31"/>
        <v>-1</v>
      </c>
      <c r="Q141" s="22" t="e">
        <f t="shared" ca="1" si="32"/>
        <v>#VALUE!</v>
      </c>
      <c r="R141" s="23">
        <f t="shared" ca="1" si="33"/>
        <v>-1</v>
      </c>
      <c r="S141" s="24" t="e">
        <f t="shared" ca="1" si="34"/>
        <v>#VALUE!</v>
      </c>
      <c r="T141" s="23">
        <f t="shared" ca="1" si="35"/>
        <v>-1</v>
      </c>
      <c r="U141" s="112">
        <f t="shared" si="46"/>
        <v>2.6091334664804202E-2</v>
      </c>
      <c r="V141" s="109">
        <f t="shared" si="47"/>
        <v>-2.6091334664804202E-2</v>
      </c>
      <c r="W141" s="112">
        <f t="shared" si="48"/>
        <v>2.6091334664804202E-2</v>
      </c>
      <c r="X141" s="113">
        <f t="shared" si="49"/>
        <v>-2.6091334664804202E-2</v>
      </c>
      <c r="Y141" s="32"/>
      <c r="Z141" s="32"/>
      <c r="AA141" s="32"/>
      <c r="AB141" s="32"/>
      <c r="AC141" s="32"/>
      <c r="AD141" s="32"/>
      <c r="AE141" s="32"/>
      <c r="AG141" s="26">
        <f t="shared" si="36"/>
        <v>0</v>
      </c>
      <c r="AH141" s="27">
        <f t="shared" si="37"/>
        <v>6.5401277193658167E-2</v>
      </c>
      <c r="AI141" s="28">
        <f t="shared" si="50"/>
        <v>2.6091334664804202E-2</v>
      </c>
      <c r="AJ141" s="27">
        <f t="shared" si="38"/>
        <v>2.6091334664804202E-2</v>
      </c>
      <c r="AK141" s="28">
        <f t="shared" si="39"/>
        <v>3.7440856687302841E-3</v>
      </c>
      <c r="AL141" s="27">
        <f t="shared" si="40"/>
        <v>2.6091334664804202E-2</v>
      </c>
      <c r="AM141" s="28">
        <f t="shared" si="51"/>
        <v>2.6091334664804202E-2</v>
      </c>
      <c r="AN141" s="27">
        <f t="shared" si="52"/>
        <v>-2.6091334664804202E-2</v>
      </c>
      <c r="AO141" s="28">
        <f t="shared" si="41"/>
        <v>-2.6091334664804202E-2</v>
      </c>
      <c r="AP141" s="27">
        <f t="shared" si="42"/>
        <v>-3.744085668730285E-3</v>
      </c>
      <c r="AQ141" s="29">
        <f t="shared" si="43"/>
        <v>-2.6091334664804202E-2</v>
      </c>
      <c r="AS141" s="30">
        <f t="shared" si="44"/>
        <v>0.94339047937974629</v>
      </c>
      <c r="AT141" s="21">
        <f t="shared" si="45"/>
        <v>4.6925154999400238</v>
      </c>
      <c r="AU141" s="31">
        <f t="shared" ca="1" si="53"/>
        <v>4.9205619318726246E-4</v>
      </c>
      <c r="AV141" s="109">
        <f t="shared" ca="1" si="54"/>
        <v>4.9468284994691469E-4</v>
      </c>
      <c r="AW141" s="27" t="e">
        <f t="shared" ca="1" si="55"/>
        <v>#VALUE!</v>
      </c>
      <c r="AX141" s="29" t="e">
        <f t="shared" ca="1" si="56"/>
        <v>#VALUE!</v>
      </c>
      <c r="AY141" s="72"/>
    </row>
    <row r="142" spans="13:51" s="11" customFormat="1" ht="15.6" customHeight="1" x14ac:dyDescent="0.3">
      <c r="M142" s="20">
        <f t="shared" si="57"/>
        <v>112</v>
      </c>
      <c r="N142" s="21">
        <f t="shared" si="58"/>
        <v>1.9600000000000031</v>
      </c>
      <c r="O142" s="22">
        <f t="shared" ca="1" si="30"/>
        <v>142.55442477880882</v>
      </c>
      <c r="P142" s="23">
        <f t="shared" ca="1" si="31"/>
        <v>-1</v>
      </c>
      <c r="Q142" s="22" t="e">
        <f t="shared" ca="1" si="32"/>
        <v>#VALUE!</v>
      </c>
      <c r="R142" s="23">
        <f t="shared" ca="1" si="33"/>
        <v>-1</v>
      </c>
      <c r="S142" s="24" t="e">
        <f t="shared" ca="1" si="34"/>
        <v>#VALUE!</v>
      </c>
      <c r="T142" s="23">
        <f t="shared" ca="1" si="35"/>
        <v>-1</v>
      </c>
      <c r="U142" s="112">
        <f t="shared" si="46"/>
        <v>2.6124596288285069E-2</v>
      </c>
      <c r="V142" s="109">
        <f t="shared" si="47"/>
        <v>-2.6124596288285069E-2</v>
      </c>
      <c r="W142" s="112">
        <f t="shared" si="48"/>
        <v>2.6124596288285069E-2</v>
      </c>
      <c r="X142" s="113">
        <f t="shared" si="49"/>
        <v>-2.6124596288285069E-2</v>
      </c>
      <c r="Y142" s="32"/>
      <c r="Z142" s="32"/>
      <c r="AA142" s="32"/>
      <c r="AB142" s="32"/>
      <c r="AC142" s="32"/>
      <c r="AD142" s="32"/>
      <c r="AE142" s="32"/>
      <c r="AG142" s="26">
        <f t="shared" si="36"/>
        <v>0</v>
      </c>
      <c r="AH142" s="27">
        <f t="shared" si="37"/>
        <v>6.5484651719535436E-2</v>
      </c>
      <c r="AI142" s="28">
        <f t="shared" si="50"/>
        <v>2.6124596288285069E-2</v>
      </c>
      <c r="AJ142" s="27">
        <f t="shared" si="38"/>
        <v>2.6124596288285069E-2</v>
      </c>
      <c r="AK142" s="28">
        <f t="shared" si="39"/>
        <v>3.7320851840407219E-3</v>
      </c>
      <c r="AL142" s="27">
        <f t="shared" si="40"/>
        <v>2.6124596288285069E-2</v>
      </c>
      <c r="AM142" s="28">
        <f t="shared" si="51"/>
        <v>2.6124596288285069E-2</v>
      </c>
      <c r="AN142" s="27">
        <f t="shared" si="52"/>
        <v>-2.6124596288285069E-2</v>
      </c>
      <c r="AO142" s="28">
        <f t="shared" si="41"/>
        <v>-2.6124596288285069E-2</v>
      </c>
      <c r="AP142" s="27">
        <f t="shared" si="42"/>
        <v>-3.7320851840407219E-3</v>
      </c>
      <c r="AQ142" s="29">
        <f t="shared" si="43"/>
        <v>-2.6124596288285069E-2</v>
      </c>
      <c r="AS142" s="30">
        <f t="shared" si="44"/>
        <v>0.94289532936632348</v>
      </c>
      <c r="AT142" s="21">
        <f t="shared" si="45"/>
        <v>4.6774751228239566</v>
      </c>
      <c r="AU142" s="31">
        <f t="shared" ca="1" si="53"/>
        <v>4.93404551122123E-4</v>
      </c>
      <c r="AV142" s="109">
        <f t="shared" ca="1" si="54"/>
        <v>4.9602788997005209E-4</v>
      </c>
      <c r="AW142" s="27" t="e">
        <f t="shared" ca="1" si="55"/>
        <v>#VALUE!</v>
      </c>
      <c r="AX142" s="29" t="e">
        <f t="shared" ca="1" si="56"/>
        <v>#VALUE!</v>
      </c>
      <c r="AY142" s="72"/>
    </row>
    <row r="143" spans="13:51" s="11" customFormat="1" ht="15.6" customHeight="1" x14ac:dyDescent="0.3">
      <c r="M143" s="20">
        <f t="shared" si="57"/>
        <v>113</v>
      </c>
      <c r="N143" s="21">
        <f t="shared" si="58"/>
        <v>1.9775000000000031</v>
      </c>
      <c r="O143" s="22">
        <f t="shared" ca="1" si="30"/>
        <v>142.86597023584957</v>
      </c>
      <c r="P143" s="23">
        <f t="shared" ca="1" si="31"/>
        <v>-1</v>
      </c>
      <c r="Q143" s="22" t="e">
        <f t="shared" ca="1" si="32"/>
        <v>#VALUE!</v>
      </c>
      <c r="R143" s="23">
        <f t="shared" ca="1" si="33"/>
        <v>-1</v>
      </c>
      <c r="S143" s="24" t="e">
        <f t="shared" ca="1" si="34"/>
        <v>#VALUE!</v>
      </c>
      <c r="T143" s="23">
        <f t="shared" ca="1" si="35"/>
        <v>-1</v>
      </c>
      <c r="U143" s="112">
        <f t="shared" si="46"/>
        <v>2.6156542891964896E-2</v>
      </c>
      <c r="V143" s="109">
        <f t="shared" si="47"/>
        <v>-2.6156542891964896E-2</v>
      </c>
      <c r="W143" s="112">
        <f t="shared" si="48"/>
        <v>2.6156542891964896E-2</v>
      </c>
      <c r="X143" s="113">
        <f t="shared" si="49"/>
        <v>-2.6156542891964896E-2</v>
      </c>
      <c r="Y143" s="32"/>
      <c r="Z143" s="32"/>
      <c r="AA143" s="32"/>
      <c r="AB143" s="32"/>
      <c r="AC143" s="32"/>
      <c r="AD143" s="32"/>
      <c r="AE143" s="32"/>
      <c r="AG143" s="26">
        <f t="shared" si="36"/>
        <v>0</v>
      </c>
      <c r="AH143" s="27">
        <f t="shared" si="37"/>
        <v>6.5564729979597725E-2</v>
      </c>
      <c r="AI143" s="28">
        <f t="shared" si="50"/>
        <v>2.6156542891964896E-2</v>
      </c>
      <c r="AJ143" s="27">
        <f t="shared" si="38"/>
        <v>2.6156542891964896E-2</v>
      </c>
      <c r="AK143" s="28">
        <f t="shared" si="39"/>
        <v>3.7200783974425935E-3</v>
      </c>
      <c r="AL143" s="27">
        <f t="shared" si="40"/>
        <v>2.6156542891964896E-2</v>
      </c>
      <c r="AM143" s="28">
        <f t="shared" si="51"/>
        <v>2.6156542891964896E-2</v>
      </c>
      <c r="AN143" s="27">
        <f t="shared" si="52"/>
        <v>-2.6156542891964896E-2</v>
      </c>
      <c r="AO143" s="28">
        <f t="shared" si="41"/>
        <v>-2.6156542891964896E-2</v>
      </c>
      <c r="AP143" s="27">
        <f t="shared" si="42"/>
        <v>-3.7200783974425944E-3</v>
      </c>
      <c r="AQ143" s="29">
        <f t="shared" si="43"/>
        <v>-2.6156542891964896E-2</v>
      </c>
      <c r="AS143" s="30">
        <f t="shared" si="44"/>
        <v>0.94240043923843175</v>
      </c>
      <c r="AT143" s="21">
        <f t="shared" si="45"/>
        <v>4.6624268474367927</v>
      </c>
      <c r="AU143" s="31">
        <f t="shared" ca="1" si="53"/>
        <v>4.947454847119559E-4</v>
      </c>
      <c r="AV143" s="109">
        <f t="shared" ca="1" si="54"/>
        <v>4.9736549631285154E-4</v>
      </c>
      <c r="AW143" s="27" t="e">
        <f t="shared" ca="1" si="55"/>
        <v>#VALUE!</v>
      </c>
      <c r="AX143" s="29" t="e">
        <f t="shared" ca="1" si="56"/>
        <v>#VALUE!</v>
      </c>
      <c r="AY143" s="72"/>
    </row>
    <row r="144" spans="13:51" s="11" customFormat="1" ht="15.6" customHeight="1" x14ac:dyDescent="0.3">
      <c r="M144" s="20">
        <f t="shared" si="57"/>
        <v>114</v>
      </c>
      <c r="N144" s="21">
        <f t="shared" si="58"/>
        <v>1.9950000000000032</v>
      </c>
      <c r="O144" s="22">
        <f t="shared" ca="1" si="30"/>
        <v>143.17704953769854</v>
      </c>
      <c r="P144" s="23">
        <f t="shared" ca="1" si="31"/>
        <v>-1</v>
      </c>
      <c r="Q144" s="22" t="e">
        <f t="shared" ca="1" si="32"/>
        <v>#VALUE!</v>
      </c>
      <c r="R144" s="23">
        <f t="shared" ca="1" si="33"/>
        <v>-1</v>
      </c>
      <c r="S144" s="24" t="e">
        <f t="shared" ca="1" si="34"/>
        <v>#VALUE!</v>
      </c>
      <c r="T144" s="23">
        <f t="shared" ca="1" si="35"/>
        <v>-1</v>
      </c>
      <c r="U144" s="112">
        <f t="shared" si="46"/>
        <v>2.6187185740371349E-2</v>
      </c>
      <c r="V144" s="109">
        <f t="shared" si="47"/>
        <v>-2.6187185740371349E-2</v>
      </c>
      <c r="W144" s="112">
        <f t="shared" si="48"/>
        <v>2.6187185740371349E-2</v>
      </c>
      <c r="X144" s="113">
        <f t="shared" si="49"/>
        <v>-2.6187185740371349E-2</v>
      </c>
      <c r="Y144" s="32"/>
      <c r="Z144" s="32"/>
      <c r="AA144" s="32"/>
      <c r="AB144" s="32"/>
      <c r="AC144" s="32"/>
      <c r="AD144" s="32"/>
      <c r="AE144" s="32"/>
      <c r="AG144" s="26">
        <f t="shared" si="36"/>
        <v>0</v>
      </c>
      <c r="AH144" s="27">
        <f t="shared" si="37"/>
        <v>6.5641540209828569E-2</v>
      </c>
      <c r="AI144" s="28">
        <f t="shared" si="50"/>
        <v>2.6187185740371349E-2</v>
      </c>
      <c r="AJ144" s="27">
        <f t="shared" si="38"/>
        <v>2.6187185740371349E-2</v>
      </c>
      <c r="AK144" s="28">
        <f t="shared" si="39"/>
        <v>3.7080653056265232E-3</v>
      </c>
      <c r="AL144" s="27">
        <f t="shared" si="40"/>
        <v>2.6187185740371349E-2</v>
      </c>
      <c r="AM144" s="28">
        <f t="shared" si="51"/>
        <v>2.6187185740371349E-2</v>
      </c>
      <c r="AN144" s="27">
        <f t="shared" si="52"/>
        <v>-2.6187185740371349E-2</v>
      </c>
      <c r="AO144" s="28">
        <f t="shared" si="41"/>
        <v>-2.6187185740371349E-2</v>
      </c>
      <c r="AP144" s="27">
        <f t="shared" si="42"/>
        <v>-3.7080653056265241E-3</v>
      </c>
      <c r="AQ144" s="29">
        <f t="shared" si="43"/>
        <v>-2.6187185740371349E-2</v>
      </c>
      <c r="AS144" s="30">
        <f t="shared" si="44"/>
        <v>0.94190580885966702</v>
      </c>
      <c r="AT144" s="21">
        <f t="shared" si="45"/>
        <v>4.6473706696308428</v>
      </c>
      <c r="AU144" s="31">
        <f t="shared" ca="1" si="53"/>
        <v>4.9607411239405153E-4</v>
      </c>
      <c r="AV144" s="109">
        <f t="shared" ca="1" si="54"/>
        <v>4.9869078912256892E-4</v>
      </c>
      <c r="AW144" s="27" t="e">
        <f t="shared" ca="1" si="55"/>
        <v>#VALUE!</v>
      </c>
      <c r="AX144" s="29" t="e">
        <f t="shared" ca="1" si="56"/>
        <v>#VALUE!</v>
      </c>
      <c r="AY144" s="72"/>
    </row>
    <row r="145" spans="13:51" s="11" customFormat="1" ht="15.6" customHeight="1" x14ac:dyDescent="0.3">
      <c r="M145" s="20">
        <f t="shared" si="57"/>
        <v>115</v>
      </c>
      <c r="N145" s="21">
        <f t="shared" si="58"/>
        <v>2.0125000000000033</v>
      </c>
      <c r="O145" s="22">
        <f t="shared" ca="1" si="30"/>
        <v>143.48766591954583</v>
      </c>
      <c r="P145" s="23">
        <f t="shared" ca="1" si="31"/>
        <v>-1</v>
      </c>
      <c r="Q145" s="22" t="e">
        <f t="shared" ca="1" si="32"/>
        <v>#VALUE!</v>
      </c>
      <c r="R145" s="23">
        <f t="shared" ca="1" si="33"/>
        <v>-1</v>
      </c>
      <c r="S145" s="24" t="e">
        <f t="shared" ca="1" si="34"/>
        <v>#VALUE!</v>
      </c>
      <c r="T145" s="23">
        <f t="shared" ca="1" si="35"/>
        <v>-1</v>
      </c>
      <c r="U145" s="112">
        <f t="shared" si="46"/>
        <v>2.621653586458806E-2</v>
      </c>
      <c r="V145" s="109">
        <f t="shared" si="47"/>
        <v>-2.621653586458806E-2</v>
      </c>
      <c r="W145" s="112">
        <f t="shared" si="48"/>
        <v>2.621653586458806E-2</v>
      </c>
      <c r="X145" s="113">
        <f t="shared" si="49"/>
        <v>-2.621653586458806E-2</v>
      </c>
      <c r="Y145" s="32"/>
      <c r="Z145" s="32"/>
      <c r="AA145" s="32"/>
      <c r="AB145" s="32"/>
      <c r="AC145" s="32"/>
      <c r="AD145" s="32"/>
      <c r="AE145" s="32"/>
      <c r="AG145" s="26">
        <f t="shared" si="36"/>
        <v>0</v>
      </c>
      <c r="AH145" s="27">
        <f t="shared" si="37"/>
        <v>6.5715110061054113E-2</v>
      </c>
      <c r="AI145" s="28">
        <f t="shared" si="50"/>
        <v>2.621653586458806E-2</v>
      </c>
      <c r="AJ145" s="27">
        <f t="shared" si="38"/>
        <v>2.621653586458806E-2</v>
      </c>
      <c r="AK145" s="28">
        <f t="shared" si="39"/>
        <v>3.6960459052814061E-3</v>
      </c>
      <c r="AL145" s="27">
        <f t="shared" si="40"/>
        <v>2.621653586458806E-2</v>
      </c>
      <c r="AM145" s="28">
        <f t="shared" si="51"/>
        <v>2.621653586458806E-2</v>
      </c>
      <c r="AN145" s="27">
        <f t="shared" si="52"/>
        <v>-2.621653586458806E-2</v>
      </c>
      <c r="AO145" s="28">
        <f t="shared" si="41"/>
        <v>-2.621653586458806E-2</v>
      </c>
      <c r="AP145" s="27">
        <f t="shared" si="42"/>
        <v>-3.6960459052814061E-3</v>
      </c>
      <c r="AQ145" s="29">
        <f t="shared" si="43"/>
        <v>-2.621653586458806E-2</v>
      </c>
      <c r="AS145" s="30">
        <f t="shared" si="44"/>
        <v>0.94141143809369687</v>
      </c>
      <c r="AT145" s="21">
        <f t="shared" si="45"/>
        <v>4.6323065852562522</v>
      </c>
      <c r="AU145" s="31">
        <f t="shared" ca="1" si="53"/>
        <v>4.9739754728128638E-4</v>
      </c>
      <c r="AV145" s="109">
        <f t="shared" ca="1" si="54"/>
        <v>5.0001087926965226E-4</v>
      </c>
      <c r="AW145" s="27" t="e">
        <f t="shared" ca="1" si="55"/>
        <v>#VALUE!</v>
      </c>
      <c r="AX145" s="29" t="e">
        <f t="shared" ca="1" si="56"/>
        <v>#VALUE!</v>
      </c>
      <c r="AY145" s="72"/>
    </row>
    <row r="146" spans="13:51" s="11" customFormat="1" ht="15.6" customHeight="1" x14ac:dyDescent="0.3">
      <c r="M146" s="20">
        <f t="shared" si="57"/>
        <v>116</v>
      </c>
      <c r="N146" s="21">
        <f t="shared" si="58"/>
        <v>2.0300000000000034</v>
      </c>
      <c r="O146" s="22">
        <f t="shared" ca="1" si="30"/>
        <v>143.79780735779241</v>
      </c>
      <c r="P146" s="23">
        <f t="shared" ca="1" si="31"/>
        <v>-1</v>
      </c>
      <c r="Q146" s="22" t="e">
        <f t="shared" ca="1" si="32"/>
        <v>#VALUE!</v>
      </c>
      <c r="R146" s="23">
        <f t="shared" ca="1" si="33"/>
        <v>-1</v>
      </c>
      <c r="S146" s="24" t="e">
        <f t="shared" ca="1" si="34"/>
        <v>#VALUE!</v>
      </c>
      <c r="T146" s="23">
        <f t="shared" ca="1" si="35"/>
        <v>-1</v>
      </c>
      <c r="U146" s="112">
        <f t="shared" si="46"/>
        <v>2.6244604069097909E-2</v>
      </c>
      <c r="V146" s="109">
        <f t="shared" si="47"/>
        <v>-2.6244604069097909E-2</v>
      </c>
      <c r="W146" s="112">
        <f t="shared" si="48"/>
        <v>2.6244604069097909E-2</v>
      </c>
      <c r="X146" s="113">
        <f t="shared" si="49"/>
        <v>-2.6244604069097909E-2</v>
      </c>
      <c r="Y146" s="32"/>
      <c r="Z146" s="32"/>
      <c r="AA146" s="32"/>
      <c r="AB146" s="32"/>
      <c r="AC146" s="32"/>
      <c r="AD146" s="32"/>
      <c r="AE146" s="32"/>
      <c r="AG146" s="26">
        <f t="shared" si="36"/>
        <v>0</v>
      </c>
      <c r="AH146" s="27">
        <f t="shared" si="37"/>
        <v>6.5785466616096619E-2</v>
      </c>
      <c r="AI146" s="28">
        <f t="shared" si="50"/>
        <v>2.6244604069097909E-2</v>
      </c>
      <c r="AJ146" s="27">
        <f t="shared" si="38"/>
        <v>2.6244604069097909E-2</v>
      </c>
      <c r="AK146" s="28">
        <f t="shared" si="39"/>
        <v>3.6840201930943969E-3</v>
      </c>
      <c r="AL146" s="27">
        <f t="shared" si="40"/>
        <v>2.6244604069097909E-2</v>
      </c>
      <c r="AM146" s="28">
        <f t="shared" si="51"/>
        <v>2.6244604069097909E-2</v>
      </c>
      <c r="AN146" s="27">
        <f t="shared" si="52"/>
        <v>-2.6244604069097909E-2</v>
      </c>
      <c r="AO146" s="28">
        <f t="shared" si="41"/>
        <v>-2.6244604069097909E-2</v>
      </c>
      <c r="AP146" s="27">
        <f t="shared" si="42"/>
        <v>-3.6840201930943969E-3</v>
      </c>
      <c r="AQ146" s="29">
        <f t="shared" si="43"/>
        <v>-2.6244604069097909E-2</v>
      </c>
      <c r="AS146" s="30">
        <f t="shared" si="44"/>
        <v>0.94091732680426021</v>
      </c>
      <c r="AT146" s="21">
        <f t="shared" si="45"/>
        <v>4.6172345901609866</v>
      </c>
      <c r="AU146" s="31">
        <f t="shared" ca="1" si="53"/>
        <v>4.9871090850073241E-4</v>
      </c>
      <c r="AV146" s="109">
        <f t="shared" ca="1" si="54"/>
        <v>5.0132088759324844E-4</v>
      </c>
      <c r="AW146" s="27" t="e">
        <f t="shared" ca="1" si="55"/>
        <v>#VALUE!</v>
      </c>
      <c r="AX146" s="29" t="e">
        <f t="shared" ca="1" si="56"/>
        <v>#VALUE!</v>
      </c>
      <c r="AY146" s="72"/>
    </row>
    <row r="147" spans="13:51" s="11" customFormat="1" ht="15.6" customHeight="1" x14ac:dyDescent="0.3">
      <c r="M147" s="20">
        <f t="shared" si="57"/>
        <v>117</v>
      </c>
      <c r="N147" s="21">
        <f t="shared" si="58"/>
        <v>2.0475000000000034</v>
      </c>
      <c r="O147" s="22">
        <f t="shared" ca="1" si="30"/>
        <v>144.10746564353653</v>
      </c>
      <c r="P147" s="23">
        <f t="shared" ca="1" si="31"/>
        <v>-1</v>
      </c>
      <c r="Q147" s="22" t="e">
        <f t="shared" ca="1" si="32"/>
        <v>#VALUE!</v>
      </c>
      <c r="R147" s="23">
        <f t="shared" ca="1" si="33"/>
        <v>-1</v>
      </c>
      <c r="S147" s="24" t="e">
        <f t="shared" ca="1" si="34"/>
        <v>#VALUE!</v>
      </c>
      <c r="T147" s="23">
        <f t="shared" ca="1" si="35"/>
        <v>-1</v>
      </c>
      <c r="U147" s="112">
        <f t="shared" si="46"/>
        <v>2.6271400938366701E-2</v>
      </c>
      <c r="V147" s="109">
        <f t="shared" si="47"/>
        <v>-2.6271400938366701E-2</v>
      </c>
      <c r="W147" s="112">
        <f t="shared" si="48"/>
        <v>2.6271400938366701E-2</v>
      </c>
      <c r="X147" s="113">
        <f t="shared" si="49"/>
        <v>-2.6271400938366701E-2</v>
      </c>
      <c r="Y147" s="32"/>
      <c r="Z147" s="32"/>
      <c r="AA147" s="32"/>
      <c r="AB147" s="32"/>
      <c r="AC147" s="32"/>
      <c r="AD147" s="32"/>
      <c r="AE147" s="32"/>
      <c r="AG147" s="26">
        <f t="shared" si="36"/>
        <v>0</v>
      </c>
      <c r="AH147" s="27">
        <f t="shared" si="37"/>
        <v>6.5852636406277365E-2</v>
      </c>
      <c r="AI147" s="28">
        <f t="shared" si="50"/>
        <v>2.6271400938366701E-2</v>
      </c>
      <c r="AJ147" s="27">
        <f t="shared" si="38"/>
        <v>2.6271400938366701E-2</v>
      </c>
      <c r="AK147" s="28">
        <f t="shared" si="39"/>
        <v>3.6719881657509027E-3</v>
      </c>
      <c r="AL147" s="27">
        <f t="shared" si="40"/>
        <v>2.6271400938366701E-2</v>
      </c>
      <c r="AM147" s="28">
        <f t="shared" si="51"/>
        <v>2.6271400938366701E-2</v>
      </c>
      <c r="AN147" s="27">
        <f t="shared" si="52"/>
        <v>-2.6271400938366701E-2</v>
      </c>
      <c r="AO147" s="28">
        <f t="shared" si="41"/>
        <v>-2.6271400938366701E-2</v>
      </c>
      <c r="AP147" s="27">
        <f t="shared" si="42"/>
        <v>-3.6719881657509027E-3</v>
      </c>
      <c r="AQ147" s="29">
        <f t="shared" si="43"/>
        <v>-2.6271400938366701E-2</v>
      </c>
      <c r="AS147" s="30">
        <f t="shared" si="44"/>
        <v>0.94042347485516786</v>
      </c>
      <c r="AT147" s="21">
        <f t="shared" si="45"/>
        <v>4.602154680190818</v>
      </c>
      <c r="AU147" s="31">
        <f t="shared" ca="1" si="53"/>
        <v>5.0001531269250332E-4</v>
      </c>
      <c r="AV147" s="109">
        <f t="shared" ca="1" si="54"/>
        <v>5.026219304697932E-4</v>
      </c>
      <c r="AW147" s="27" t="e">
        <f t="shared" ca="1" si="55"/>
        <v>#VALUE!</v>
      </c>
      <c r="AX147" s="29" t="e">
        <f t="shared" ca="1" si="56"/>
        <v>#VALUE!</v>
      </c>
      <c r="AY147" s="72"/>
    </row>
    <row r="148" spans="13:51" s="11" customFormat="1" ht="15.6" customHeight="1" x14ac:dyDescent="0.3">
      <c r="M148" s="20">
        <f t="shared" si="57"/>
        <v>118</v>
      </c>
      <c r="N148" s="21">
        <f t="shared" si="58"/>
        <v>2.0650000000000035</v>
      </c>
      <c r="O148" s="22">
        <f t="shared" ca="1" si="30"/>
        <v>144.41663256787646</v>
      </c>
      <c r="P148" s="23">
        <f t="shared" ca="1" si="31"/>
        <v>-1</v>
      </c>
      <c r="Q148" s="22" t="e">
        <f t="shared" ca="1" si="32"/>
        <v>#VALUE!</v>
      </c>
      <c r="R148" s="23">
        <f t="shared" ca="1" si="33"/>
        <v>-1</v>
      </c>
      <c r="S148" s="24" t="e">
        <f t="shared" ca="1" si="34"/>
        <v>#VALUE!</v>
      </c>
      <c r="T148" s="23">
        <f t="shared" ca="1" si="35"/>
        <v>-1</v>
      </c>
      <c r="U148" s="112">
        <f t="shared" si="46"/>
        <v>2.6296936843179689E-2</v>
      </c>
      <c r="V148" s="109">
        <f t="shared" si="47"/>
        <v>-2.6296936843179689E-2</v>
      </c>
      <c r="W148" s="112">
        <f t="shared" si="48"/>
        <v>2.6296936843179689E-2</v>
      </c>
      <c r="X148" s="113">
        <f t="shared" si="49"/>
        <v>-2.6296936843179689E-2</v>
      </c>
      <c r="Y148" s="32"/>
      <c r="Z148" s="32"/>
      <c r="AA148" s="32"/>
      <c r="AB148" s="32"/>
      <c r="AC148" s="32"/>
      <c r="AD148" s="32"/>
      <c r="AE148" s="32"/>
      <c r="AG148" s="26">
        <f t="shared" si="36"/>
        <v>0</v>
      </c>
      <c r="AH148" s="27">
        <f t="shared" si="37"/>
        <v>6.5916645427299886E-2</v>
      </c>
      <c r="AI148" s="28">
        <f t="shared" si="50"/>
        <v>2.6296936843179689E-2</v>
      </c>
      <c r="AJ148" s="27">
        <f t="shared" si="38"/>
        <v>2.6296936843179689E-2</v>
      </c>
      <c r="AK148" s="28">
        <f t="shared" si="39"/>
        <v>3.659949819934602E-3</v>
      </c>
      <c r="AL148" s="27">
        <f t="shared" si="40"/>
        <v>2.6296936843179689E-2</v>
      </c>
      <c r="AM148" s="28">
        <f t="shared" si="51"/>
        <v>2.6296936843179689E-2</v>
      </c>
      <c r="AN148" s="27">
        <f t="shared" si="52"/>
        <v>-2.6296936843179689E-2</v>
      </c>
      <c r="AO148" s="28">
        <f t="shared" si="41"/>
        <v>-2.6296936843179689E-2</v>
      </c>
      <c r="AP148" s="27">
        <f t="shared" si="42"/>
        <v>-3.659949819934602E-3</v>
      </c>
      <c r="AQ148" s="29">
        <f t="shared" si="43"/>
        <v>-2.6296936843179689E-2</v>
      </c>
      <c r="AS148" s="30">
        <f t="shared" si="44"/>
        <v>0.9399298821103016</v>
      </c>
      <c r="AT148" s="21">
        <f t="shared" si="45"/>
        <v>4.5870668511893555</v>
      </c>
      <c r="AU148" s="31">
        <f t="shared" ca="1" si="53"/>
        <v>5.0131067741066015E-4</v>
      </c>
      <c r="AV148" s="109">
        <f t="shared" ca="1" si="54"/>
        <v>5.0391392558668535E-4</v>
      </c>
      <c r="AW148" s="27" t="e">
        <f t="shared" ca="1" si="55"/>
        <v>#VALUE!</v>
      </c>
      <c r="AX148" s="29" t="e">
        <f t="shared" ca="1" si="56"/>
        <v>#VALUE!</v>
      </c>
      <c r="AY148" s="72"/>
    </row>
    <row r="149" spans="13:51" s="11" customFormat="1" ht="15.6" customHeight="1" x14ac:dyDescent="0.3">
      <c r="M149" s="20">
        <f t="shared" si="57"/>
        <v>119</v>
      </c>
      <c r="N149" s="21">
        <f t="shared" si="58"/>
        <v>2.0825000000000036</v>
      </c>
      <c r="O149" s="22">
        <f t="shared" ca="1" si="30"/>
        <v>144.72529992191048</v>
      </c>
      <c r="P149" s="23">
        <f t="shared" ca="1" si="31"/>
        <v>-1</v>
      </c>
      <c r="Q149" s="22" t="e">
        <f t="shared" ca="1" si="32"/>
        <v>#VALUE!</v>
      </c>
      <c r="R149" s="23">
        <f t="shared" ca="1" si="33"/>
        <v>-1</v>
      </c>
      <c r="S149" s="24" t="e">
        <f t="shared" ca="1" si="34"/>
        <v>#VALUE!</v>
      </c>
      <c r="T149" s="23">
        <f t="shared" ca="1" si="35"/>
        <v>-1</v>
      </c>
      <c r="U149" s="112">
        <f t="shared" si="46"/>
        <v>2.6321221946741497E-2</v>
      </c>
      <c r="V149" s="109">
        <f t="shared" si="47"/>
        <v>-2.6321221946741497E-2</v>
      </c>
      <c r="W149" s="112">
        <f t="shared" si="48"/>
        <v>2.6321221946741497E-2</v>
      </c>
      <c r="X149" s="113">
        <f t="shared" si="49"/>
        <v>-2.6321221946741497E-2</v>
      </c>
      <c r="Y149" s="32"/>
      <c r="Z149" s="32"/>
      <c r="AA149" s="32"/>
      <c r="AB149" s="32"/>
      <c r="AC149" s="32"/>
      <c r="AD149" s="32"/>
      <c r="AE149" s="32"/>
      <c r="AG149" s="26">
        <f t="shared" si="36"/>
        <v>0</v>
      </c>
      <c r="AH149" s="27">
        <f t="shared" si="37"/>
        <v>6.5977519154540254E-2</v>
      </c>
      <c r="AI149" s="28">
        <f t="shared" si="50"/>
        <v>2.6321221946741497E-2</v>
      </c>
      <c r="AJ149" s="27">
        <f t="shared" si="38"/>
        <v>2.6321221946741497E-2</v>
      </c>
      <c r="AK149" s="28">
        <f t="shared" si="39"/>
        <v>3.6479051523274214E-3</v>
      </c>
      <c r="AL149" s="27">
        <f t="shared" si="40"/>
        <v>2.6321221946741497E-2</v>
      </c>
      <c r="AM149" s="28">
        <f t="shared" si="51"/>
        <v>2.6321221946741497E-2</v>
      </c>
      <c r="AN149" s="27">
        <f t="shared" si="52"/>
        <v>-2.6321221946741497E-2</v>
      </c>
      <c r="AO149" s="28">
        <f t="shared" si="41"/>
        <v>-2.6321221946741497E-2</v>
      </c>
      <c r="AP149" s="27">
        <f t="shared" si="42"/>
        <v>-3.6479051523274214E-3</v>
      </c>
      <c r="AQ149" s="29">
        <f t="shared" si="43"/>
        <v>-2.6321221946741497E-2</v>
      </c>
      <c r="AS149" s="30">
        <f t="shared" si="44"/>
        <v>0.93943654843361502</v>
      </c>
      <c r="AT149" s="21">
        <f t="shared" si="45"/>
        <v>4.5719710989980102</v>
      </c>
      <c r="AU149" s="31">
        <f t="shared" ca="1" si="53"/>
        <v>5.0259692055909522E-4</v>
      </c>
      <c r="AV149" s="109">
        <f t="shared" ca="1" si="54"/>
        <v>5.0519679098137704E-4</v>
      </c>
      <c r="AW149" s="27" t="e">
        <f t="shared" ca="1" si="55"/>
        <v>#VALUE!</v>
      </c>
      <c r="AX149" s="29" t="e">
        <f t="shared" ca="1" si="56"/>
        <v>#VALUE!</v>
      </c>
      <c r="AY149" s="72"/>
    </row>
    <row r="150" spans="13:51" s="11" customFormat="1" ht="15.6" customHeight="1" x14ac:dyDescent="0.3">
      <c r="M150" s="20">
        <f t="shared" si="57"/>
        <v>120</v>
      </c>
      <c r="N150" s="21">
        <f t="shared" si="58"/>
        <v>2.1000000000000036</v>
      </c>
      <c r="O150" s="22">
        <f t="shared" ca="1" si="30"/>
        <v>145.03345949673681</v>
      </c>
      <c r="P150" s="23">
        <f t="shared" ca="1" si="31"/>
        <v>-1</v>
      </c>
      <c r="Q150" s="22" t="e">
        <f t="shared" ca="1" si="32"/>
        <v>#VALUE!</v>
      </c>
      <c r="R150" s="23">
        <f t="shared" ca="1" si="33"/>
        <v>-1</v>
      </c>
      <c r="S150" s="24" t="e">
        <f t="shared" ca="1" si="34"/>
        <v>#VALUE!</v>
      </c>
      <c r="T150" s="23">
        <f t="shared" ca="1" si="35"/>
        <v>-1</v>
      </c>
      <c r="U150" s="112">
        <f t="shared" si="46"/>
        <v>2.6344266210551012E-2</v>
      </c>
      <c r="V150" s="109">
        <f t="shared" si="47"/>
        <v>-2.6344266210551012E-2</v>
      </c>
      <c r="W150" s="112">
        <f t="shared" si="48"/>
        <v>2.6344266210551012E-2</v>
      </c>
      <c r="X150" s="113">
        <f t="shared" si="49"/>
        <v>-2.6344266210551012E-2</v>
      </c>
      <c r="Y150" s="32"/>
      <c r="Z150" s="32"/>
      <c r="AA150" s="32"/>
      <c r="AB150" s="32"/>
      <c r="AC150" s="32"/>
      <c r="AD150" s="32"/>
      <c r="AE150" s="32"/>
      <c r="AG150" s="26">
        <f t="shared" si="36"/>
        <v>0</v>
      </c>
      <c r="AH150" s="27">
        <f t="shared" si="37"/>
        <v>6.6035282557773245E-2</v>
      </c>
      <c r="AI150" s="28">
        <f t="shared" si="50"/>
        <v>2.6344266210551012E-2</v>
      </c>
      <c r="AJ150" s="27">
        <f t="shared" si="38"/>
        <v>2.6344266210551012E-2</v>
      </c>
      <c r="AK150" s="28">
        <f t="shared" si="39"/>
        <v>3.63585415960955E-3</v>
      </c>
      <c r="AL150" s="27">
        <f t="shared" si="40"/>
        <v>2.6344266210551012E-2</v>
      </c>
      <c r="AM150" s="28">
        <f t="shared" si="51"/>
        <v>2.6344266210551012E-2</v>
      </c>
      <c r="AN150" s="27">
        <f t="shared" si="52"/>
        <v>-2.6344266210551012E-2</v>
      </c>
      <c r="AO150" s="28">
        <f t="shared" si="41"/>
        <v>-2.6344266210551012E-2</v>
      </c>
      <c r="AP150" s="27">
        <f t="shared" si="42"/>
        <v>-3.6358541596095508E-3</v>
      </c>
      <c r="AQ150" s="29">
        <f t="shared" si="43"/>
        <v>-2.6344266210551012E-2</v>
      </c>
      <c r="AS150" s="30">
        <f t="shared" si="44"/>
        <v>0.93894347368913311</v>
      </c>
      <c r="AT150" s="21">
        <f t="shared" si="45"/>
        <v>4.5568674194560161</v>
      </c>
      <c r="AU150" s="31">
        <f t="shared" ca="1" si="53"/>
        <v>5.0387396039164312E-4</v>
      </c>
      <c r="AV150" s="109">
        <f t="shared" ca="1" si="54"/>
        <v>5.06470445042706E-4</v>
      </c>
      <c r="AW150" s="27" t="e">
        <f t="shared" ca="1" si="55"/>
        <v>#VALUE!</v>
      </c>
      <c r="AX150" s="29" t="e">
        <f t="shared" ca="1" si="56"/>
        <v>#VALUE!</v>
      </c>
      <c r="AY150" s="72"/>
    </row>
    <row r="151" spans="13:51" s="11" customFormat="1" ht="15.6" customHeight="1" x14ac:dyDescent="0.3">
      <c r="M151" s="20">
        <f t="shared" si="57"/>
        <v>121</v>
      </c>
      <c r="N151" s="21">
        <f t="shared" si="58"/>
        <v>2.1175000000000037</v>
      </c>
      <c r="O151" s="22">
        <f t="shared" ca="1" si="30"/>
        <v>145.34110308345373</v>
      </c>
      <c r="P151" s="23">
        <f t="shared" ca="1" si="31"/>
        <v>-1</v>
      </c>
      <c r="Q151" s="22" t="e">
        <f t="shared" ca="1" si="32"/>
        <v>#VALUE!</v>
      </c>
      <c r="R151" s="23">
        <f t="shared" ca="1" si="33"/>
        <v>-1</v>
      </c>
      <c r="S151" s="24" t="e">
        <f t="shared" ca="1" si="34"/>
        <v>#VALUE!</v>
      </c>
      <c r="T151" s="23">
        <f t="shared" ca="1" si="35"/>
        <v>-1</v>
      </c>
      <c r="U151" s="112">
        <f t="shared" si="46"/>
        <v>2.6366079400060888E-2</v>
      </c>
      <c r="V151" s="109">
        <f t="shared" si="47"/>
        <v>-2.6366079400060888E-2</v>
      </c>
      <c r="W151" s="112">
        <f t="shared" si="48"/>
        <v>2.6366079400060888E-2</v>
      </c>
      <c r="X151" s="113">
        <f t="shared" si="49"/>
        <v>-2.6366079400060888E-2</v>
      </c>
      <c r="Y151" s="32"/>
      <c r="Z151" s="32"/>
      <c r="AA151" s="32"/>
      <c r="AB151" s="32"/>
      <c r="AC151" s="32"/>
      <c r="AD151" s="32"/>
      <c r="AE151" s="32"/>
      <c r="AG151" s="26">
        <f t="shared" si="36"/>
        <v>0</v>
      </c>
      <c r="AH151" s="27">
        <f t="shared" si="37"/>
        <v>6.6089960115358587E-2</v>
      </c>
      <c r="AI151" s="28">
        <f t="shared" si="50"/>
        <v>2.6366079400060888E-2</v>
      </c>
      <c r="AJ151" s="27">
        <f t="shared" si="38"/>
        <v>2.6366079400060888E-2</v>
      </c>
      <c r="AK151" s="28">
        <f t="shared" si="39"/>
        <v>3.6237968384594354E-3</v>
      </c>
      <c r="AL151" s="27">
        <f t="shared" si="40"/>
        <v>2.6366079400060888E-2</v>
      </c>
      <c r="AM151" s="28">
        <f t="shared" si="51"/>
        <v>2.6366079400060888E-2</v>
      </c>
      <c r="AN151" s="27">
        <f t="shared" si="52"/>
        <v>-2.6366079400060888E-2</v>
      </c>
      <c r="AO151" s="28">
        <f t="shared" si="41"/>
        <v>-2.6366079400060888E-2</v>
      </c>
      <c r="AP151" s="27">
        <f t="shared" si="42"/>
        <v>-3.6237968384594354E-3</v>
      </c>
      <c r="AQ151" s="29">
        <f t="shared" si="43"/>
        <v>-2.6366079400060888E-2</v>
      </c>
      <c r="AS151" s="30">
        <f t="shared" si="44"/>
        <v>0.93845065774095215</v>
      </c>
      <c r="AT151" s="21">
        <f t="shared" si="45"/>
        <v>4.5417558084004241</v>
      </c>
      <c r="AU151" s="31">
        <f t="shared" ca="1" si="53"/>
        <v>5.0514171551319098E-4</v>
      </c>
      <c r="AV151" s="109">
        <f t="shared" ca="1" si="54"/>
        <v>5.0773480651211678E-4</v>
      </c>
      <c r="AW151" s="27" t="e">
        <f t="shared" ca="1" si="55"/>
        <v>#VALUE!</v>
      </c>
      <c r="AX151" s="29" t="e">
        <f t="shared" ca="1" si="56"/>
        <v>#VALUE!</v>
      </c>
      <c r="AY151" s="72"/>
    </row>
    <row r="152" spans="13:51" s="11" customFormat="1" ht="15.6" customHeight="1" x14ac:dyDescent="0.3">
      <c r="M152" s="20">
        <f t="shared" si="57"/>
        <v>122</v>
      </c>
      <c r="N152" s="21">
        <f t="shared" si="58"/>
        <v>2.1350000000000038</v>
      </c>
      <c r="O152" s="22">
        <f t="shared" ca="1" si="30"/>
        <v>145.64822247315951</v>
      </c>
      <c r="P152" s="23">
        <f t="shared" ca="1" si="31"/>
        <v>-1</v>
      </c>
      <c r="Q152" s="22" t="e">
        <f t="shared" ca="1" si="32"/>
        <v>#VALUE!</v>
      </c>
      <c r="R152" s="23">
        <f t="shared" ca="1" si="33"/>
        <v>-1</v>
      </c>
      <c r="S152" s="24" t="e">
        <f t="shared" ca="1" si="34"/>
        <v>#VALUE!</v>
      </c>
      <c r="T152" s="23">
        <f t="shared" ca="1" si="35"/>
        <v>-1</v>
      </c>
      <c r="U152" s="112">
        <f t="shared" si="46"/>
        <v>2.6386671090131368E-2</v>
      </c>
      <c r="V152" s="109">
        <f t="shared" si="47"/>
        <v>-2.6386671090131368E-2</v>
      </c>
      <c r="W152" s="112">
        <f t="shared" si="48"/>
        <v>2.6386671090131368E-2</v>
      </c>
      <c r="X152" s="113">
        <f t="shared" si="49"/>
        <v>-2.6386671090131368E-2</v>
      </c>
      <c r="Y152" s="32"/>
      <c r="Z152" s="32"/>
      <c r="AA152" s="32"/>
      <c r="AB152" s="32"/>
      <c r="AC152" s="32"/>
      <c r="AD152" s="32"/>
      <c r="AE152" s="32"/>
      <c r="AG152" s="26">
        <f t="shared" si="36"/>
        <v>0</v>
      </c>
      <c r="AH152" s="27">
        <f t="shared" si="37"/>
        <v>6.6141575827911692E-2</v>
      </c>
      <c r="AI152" s="28">
        <f t="shared" si="50"/>
        <v>2.6386671090131368E-2</v>
      </c>
      <c r="AJ152" s="27">
        <f t="shared" si="38"/>
        <v>2.6386671090131368E-2</v>
      </c>
      <c r="AK152" s="28">
        <f t="shared" si="39"/>
        <v>3.611733185553774E-3</v>
      </c>
      <c r="AL152" s="27">
        <f t="shared" si="40"/>
        <v>2.6386671090131368E-2</v>
      </c>
      <c r="AM152" s="28">
        <f t="shared" si="51"/>
        <v>2.6386671090131368E-2</v>
      </c>
      <c r="AN152" s="27">
        <f t="shared" si="52"/>
        <v>-2.6386671090131368E-2</v>
      </c>
      <c r="AO152" s="28">
        <f t="shared" si="41"/>
        <v>-2.6386671090131368E-2</v>
      </c>
      <c r="AP152" s="27">
        <f t="shared" si="42"/>
        <v>-3.611733185553774E-3</v>
      </c>
      <c r="AQ152" s="29">
        <f t="shared" si="43"/>
        <v>-2.6386671090131368E-2</v>
      </c>
      <c r="AS152" s="30">
        <f t="shared" si="44"/>
        <v>0.93795810045323957</v>
      </c>
      <c r="AT152" s="21">
        <f t="shared" si="45"/>
        <v>4.5266362616660913</v>
      </c>
      <c r="AU152" s="31">
        <f t="shared" ca="1" si="53"/>
        <v>5.0640010488101073E-4</v>
      </c>
      <c r="AV152" s="109">
        <f t="shared" ca="1" si="54"/>
        <v>5.0898979448366077E-4</v>
      </c>
      <c r="AW152" s="27" t="e">
        <f t="shared" ca="1" si="55"/>
        <v>#VALUE!</v>
      </c>
      <c r="AX152" s="29" t="e">
        <f t="shared" ca="1" si="56"/>
        <v>#VALUE!</v>
      </c>
      <c r="AY152" s="72"/>
    </row>
    <row r="153" spans="13:51" s="11" customFormat="1" ht="15.6" customHeight="1" x14ac:dyDescent="0.3">
      <c r="M153" s="20">
        <f t="shared" si="57"/>
        <v>123</v>
      </c>
      <c r="N153" s="21">
        <f t="shared" si="58"/>
        <v>2.1525000000000039</v>
      </c>
      <c r="O153" s="22">
        <f t="shared" ca="1" si="30"/>
        <v>145.9548094569524</v>
      </c>
      <c r="P153" s="23">
        <f t="shared" ca="1" si="31"/>
        <v>-1</v>
      </c>
      <c r="Q153" s="22" t="e">
        <f t="shared" ca="1" si="32"/>
        <v>#VALUE!</v>
      </c>
      <c r="R153" s="23">
        <f t="shared" ca="1" si="33"/>
        <v>-1</v>
      </c>
      <c r="S153" s="24" t="e">
        <f t="shared" ca="1" si="34"/>
        <v>#VALUE!</v>
      </c>
      <c r="T153" s="23">
        <f t="shared" ca="1" si="35"/>
        <v>-1</v>
      </c>
      <c r="U153" s="112">
        <f t="shared" si="46"/>
        <v>2.6406050670287822E-2</v>
      </c>
      <c r="V153" s="109">
        <f t="shared" si="47"/>
        <v>-2.6406050670287822E-2</v>
      </c>
      <c r="W153" s="112">
        <f t="shared" si="48"/>
        <v>2.6406050670287822E-2</v>
      </c>
      <c r="X153" s="113">
        <f t="shared" si="49"/>
        <v>-2.6406050670287822E-2</v>
      </c>
      <c r="Y153" s="32"/>
      <c r="Z153" s="32"/>
      <c r="AA153" s="32"/>
      <c r="AB153" s="32"/>
      <c r="AC153" s="32"/>
      <c r="AD153" s="32"/>
      <c r="AE153" s="32"/>
      <c r="AG153" s="26">
        <f t="shared" si="36"/>
        <v>0</v>
      </c>
      <c r="AH153" s="27">
        <f t="shared" si="37"/>
        <v>6.6190153231482335E-2</v>
      </c>
      <c r="AI153" s="28">
        <f t="shared" si="50"/>
        <v>2.6406050670287822E-2</v>
      </c>
      <c r="AJ153" s="27">
        <f t="shared" si="38"/>
        <v>2.6406050670287822E-2</v>
      </c>
      <c r="AK153" s="28">
        <f t="shared" si="39"/>
        <v>3.5996631975675274E-3</v>
      </c>
      <c r="AL153" s="27">
        <f t="shared" si="40"/>
        <v>2.6406050670287822E-2</v>
      </c>
      <c r="AM153" s="28">
        <f t="shared" si="51"/>
        <v>2.6406050670287822E-2</v>
      </c>
      <c r="AN153" s="27">
        <f t="shared" si="52"/>
        <v>-2.6406050670287822E-2</v>
      </c>
      <c r="AO153" s="28">
        <f t="shared" si="41"/>
        <v>-2.6406050670287822E-2</v>
      </c>
      <c r="AP153" s="27">
        <f t="shared" si="42"/>
        <v>-3.5996631975675274E-3</v>
      </c>
      <c r="AQ153" s="29">
        <f t="shared" si="43"/>
        <v>-2.6406050670287822E-2</v>
      </c>
      <c r="AS153" s="30">
        <f t="shared" si="44"/>
        <v>0.93746580169023441</v>
      </c>
      <c r="AT153" s="21">
        <f t="shared" si="45"/>
        <v>4.5115087750857006</v>
      </c>
      <c r="AU153" s="31">
        <f t="shared" ca="1" si="53"/>
        <v>5.0764904780542519E-4</v>
      </c>
      <c r="AV153" s="109">
        <f t="shared" ca="1" si="54"/>
        <v>5.1023532840599461E-4</v>
      </c>
      <c r="AW153" s="27" t="e">
        <f t="shared" ca="1" si="55"/>
        <v>#VALUE!</v>
      </c>
      <c r="AX153" s="29" t="e">
        <f t="shared" ca="1" si="56"/>
        <v>#VALUE!</v>
      </c>
      <c r="AY153" s="72"/>
    </row>
    <row r="154" spans="13:51" s="11" customFormat="1" ht="15.6" customHeight="1" x14ac:dyDescent="0.3">
      <c r="M154" s="20">
        <f t="shared" si="57"/>
        <v>124</v>
      </c>
      <c r="N154" s="21">
        <f t="shared" si="58"/>
        <v>2.1700000000000039</v>
      </c>
      <c r="O154" s="22">
        <f t="shared" ca="1" si="30"/>
        <v>146.26085582593066</v>
      </c>
      <c r="P154" s="23">
        <f t="shared" ca="1" si="31"/>
        <v>-1</v>
      </c>
      <c r="Q154" s="22" t="e">
        <f t="shared" ca="1" si="32"/>
        <v>#VALUE!</v>
      </c>
      <c r="R154" s="23">
        <f t="shared" ca="1" si="33"/>
        <v>-1</v>
      </c>
      <c r="S154" s="24" t="e">
        <f t="shared" ca="1" si="34"/>
        <v>#VALUE!</v>
      </c>
      <c r="T154" s="23">
        <f t="shared" ca="1" si="35"/>
        <v>-1</v>
      </c>
      <c r="U154" s="112">
        <f t="shared" si="46"/>
        <v>2.6424227349790191E-2</v>
      </c>
      <c r="V154" s="109">
        <f t="shared" si="47"/>
        <v>-2.6424227349790191E-2</v>
      </c>
      <c r="W154" s="112">
        <f t="shared" si="48"/>
        <v>2.6424227349790191E-2</v>
      </c>
      <c r="X154" s="113">
        <f t="shared" si="49"/>
        <v>-2.6424227349790191E-2</v>
      </c>
      <c r="Y154" s="32"/>
      <c r="Z154" s="32"/>
      <c r="AA154" s="32"/>
      <c r="AB154" s="32"/>
      <c r="AC154" s="32"/>
      <c r="AD154" s="32"/>
      <c r="AE154" s="32"/>
      <c r="AG154" s="26">
        <f t="shared" si="36"/>
        <v>0</v>
      </c>
      <c r="AH154" s="27">
        <f t="shared" si="37"/>
        <v>6.6235715410261881E-2</v>
      </c>
      <c r="AI154" s="28">
        <f t="shared" si="50"/>
        <v>2.6424227349790191E-2</v>
      </c>
      <c r="AJ154" s="27">
        <f t="shared" si="38"/>
        <v>2.6424227349790191E-2</v>
      </c>
      <c r="AK154" s="28">
        <f t="shared" si="39"/>
        <v>3.5875868711739006E-3</v>
      </c>
      <c r="AL154" s="27">
        <f t="shared" si="40"/>
        <v>2.6424227349790191E-2</v>
      </c>
      <c r="AM154" s="28">
        <f t="shared" si="51"/>
        <v>2.6424227349790191E-2</v>
      </c>
      <c r="AN154" s="27">
        <f t="shared" si="52"/>
        <v>-2.6424227349790191E-2</v>
      </c>
      <c r="AO154" s="28">
        <f t="shared" si="41"/>
        <v>-2.6424227349790191E-2</v>
      </c>
      <c r="AP154" s="27">
        <f t="shared" si="42"/>
        <v>-3.5875868711739006E-3</v>
      </c>
      <c r="AQ154" s="29">
        <f t="shared" si="43"/>
        <v>-2.6424227349790191E-2</v>
      </c>
      <c r="AS154" s="30">
        <f t="shared" si="44"/>
        <v>0.93697376131624677</v>
      </c>
      <c r="AT154" s="21">
        <f t="shared" si="45"/>
        <v>4.4963733444897311</v>
      </c>
      <c r="AU154" s="31">
        <f t="shared" ca="1" si="53"/>
        <v>5.088884639511404E-4</v>
      </c>
      <c r="AV154" s="109">
        <f t="shared" ca="1" si="54"/>
        <v>5.1147132808337936E-4</v>
      </c>
      <c r="AW154" s="27" t="e">
        <f t="shared" ca="1" si="55"/>
        <v>#VALUE!</v>
      </c>
      <c r="AX154" s="29" t="e">
        <f t="shared" ca="1" si="56"/>
        <v>#VALUE!</v>
      </c>
      <c r="AY154" s="72"/>
    </row>
    <row r="155" spans="13:51" s="11" customFormat="1" ht="15.6" customHeight="1" x14ac:dyDescent="0.3">
      <c r="M155" s="20">
        <f t="shared" si="57"/>
        <v>125</v>
      </c>
      <c r="N155" s="21">
        <f t="shared" si="58"/>
        <v>2.187500000000004</v>
      </c>
      <c r="O155" s="22">
        <f t="shared" ca="1" si="30"/>
        <v>146.56635337119255</v>
      </c>
      <c r="P155" s="23">
        <f t="shared" ca="1" si="31"/>
        <v>-1</v>
      </c>
      <c r="Q155" s="22" t="e">
        <f t="shared" ca="1" si="32"/>
        <v>#VALUE!</v>
      </c>
      <c r="R155" s="23">
        <f t="shared" ca="1" si="33"/>
        <v>-1</v>
      </c>
      <c r="S155" s="24" t="e">
        <f t="shared" ca="1" si="34"/>
        <v>#VALUE!</v>
      </c>
      <c r="T155" s="23">
        <f t="shared" ca="1" si="35"/>
        <v>-1</v>
      </c>
      <c r="U155" s="112">
        <f t="shared" si="46"/>
        <v>2.644121016252305E-2</v>
      </c>
      <c r="V155" s="109">
        <f t="shared" si="47"/>
        <v>-2.644121016252305E-2</v>
      </c>
      <c r="W155" s="112">
        <f t="shared" si="48"/>
        <v>2.644121016252305E-2</v>
      </c>
      <c r="X155" s="113">
        <f t="shared" si="49"/>
        <v>-2.644121016252305E-2</v>
      </c>
      <c r="Y155" s="32"/>
      <c r="Z155" s="32"/>
      <c r="AA155" s="32"/>
      <c r="AB155" s="32"/>
      <c r="AC155" s="32"/>
      <c r="AD155" s="32"/>
      <c r="AE155" s="32"/>
      <c r="AG155" s="26">
        <f t="shared" si="36"/>
        <v>0</v>
      </c>
      <c r="AH155" s="27">
        <f t="shared" si="37"/>
        <v>6.6278285008840823E-2</v>
      </c>
      <c r="AI155" s="28">
        <f t="shared" si="50"/>
        <v>2.644121016252305E-2</v>
      </c>
      <c r="AJ155" s="27">
        <f t="shared" si="38"/>
        <v>2.644121016252305E-2</v>
      </c>
      <c r="AK155" s="28">
        <f t="shared" si="39"/>
        <v>3.5755042030443563E-3</v>
      </c>
      <c r="AL155" s="27">
        <f t="shared" si="40"/>
        <v>2.644121016252305E-2</v>
      </c>
      <c r="AM155" s="28">
        <f t="shared" si="51"/>
        <v>2.644121016252305E-2</v>
      </c>
      <c r="AN155" s="27">
        <f t="shared" si="52"/>
        <v>-2.644121016252305E-2</v>
      </c>
      <c r="AO155" s="28">
        <f t="shared" si="41"/>
        <v>-2.644121016252305E-2</v>
      </c>
      <c r="AP155" s="27">
        <f t="shared" si="42"/>
        <v>-3.5755042030443563E-3</v>
      </c>
      <c r="AQ155" s="29">
        <f t="shared" si="43"/>
        <v>-2.644121016252305E-2</v>
      </c>
      <c r="AS155" s="30">
        <f t="shared" si="44"/>
        <v>0.93648197919565801</v>
      </c>
      <c r="AT155" s="21">
        <f t="shared" si="45"/>
        <v>4.4812299657064827</v>
      </c>
      <c r="AU155" s="31">
        <f t="shared" ca="1" si="53"/>
        <v>5.1011827333813375E-4</v>
      </c>
      <c r="AV155" s="109">
        <f t="shared" ca="1" si="54"/>
        <v>5.1269771367568051E-4</v>
      </c>
      <c r="AW155" s="27" t="e">
        <f t="shared" ca="1" si="55"/>
        <v>#VALUE!</v>
      </c>
      <c r="AX155" s="29" t="e">
        <f t="shared" ca="1" si="56"/>
        <v>#VALUE!</v>
      </c>
      <c r="AY155" s="72"/>
    </row>
    <row r="156" spans="13:51" s="11" customFormat="1" ht="15.6" customHeight="1" x14ac:dyDescent="0.3">
      <c r="M156" s="20">
        <f t="shared" si="57"/>
        <v>126</v>
      </c>
      <c r="N156" s="21">
        <f t="shared" si="58"/>
        <v>2.2050000000000041</v>
      </c>
      <c r="O156" s="22">
        <f t="shared" ca="1" si="30"/>
        <v>146.87129388383633</v>
      </c>
      <c r="P156" s="23">
        <f t="shared" ca="1" si="31"/>
        <v>-1</v>
      </c>
      <c r="Q156" s="22" t="e">
        <f t="shared" ca="1" si="32"/>
        <v>#VALUE!</v>
      </c>
      <c r="R156" s="23">
        <f t="shared" ca="1" si="33"/>
        <v>-1</v>
      </c>
      <c r="S156" s="24" t="e">
        <f t="shared" ca="1" si="34"/>
        <v>#VALUE!</v>
      </c>
      <c r="T156" s="23">
        <f t="shared" ca="1" si="35"/>
        <v>-1</v>
      </c>
      <c r="U156" s="112">
        <f t="shared" si="46"/>
        <v>2.6457007971713568E-2</v>
      </c>
      <c r="V156" s="109">
        <f t="shared" si="47"/>
        <v>-2.6457007971713568E-2</v>
      </c>
      <c r="W156" s="112">
        <f t="shared" si="48"/>
        <v>2.6457007971713568E-2</v>
      </c>
      <c r="X156" s="113">
        <f t="shared" si="49"/>
        <v>-2.6457007971713568E-2</v>
      </c>
      <c r="Y156" s="32"/>
      <c r="Z156" s="32"/>
      <c r="AA156" s="32"/>
      <c r="AB156" s="32"/>
      <c r="AC156" s="32"/>
      <c r="AD156" s="32"/>
      <c r="AE156" s="32"/>
      <c r="AG156" s="26">
        <f t="shared" si="36"/>
        <v>0</v>
      </c>
      <c r="AH156" s="27">
        <f t="shared" si="37"/>
        <v>6.6317884244035008E-2</v>
      </c>
      <c r="AI156" s="28">
        <f t="shared" si="50"/>
        <v>2.6457007971713568E-2</v>
      </c>
      <c r="AJ156" s="27">
        <f t="shared" si="38"/>
        <v>2.6457007971713568E-2</v>
      </c>
      <c r="AK156" s="28">
        <f t="shared" si="39"/>
        <v>3.5634151898486081E-3</v>
      </c>
      <c r="AL156" s="27">
        <f t="shared" si="40"/>
        <v>2.6457007971713568E-2</v>
      </c>
      <c r="AM156" s="28">
        <f t="shared" si="51"/>
        <v>2.6457007971713568E-2</v>
      </c>
      <c r="AN156" s="27">
        <f t="shared" si="52"/>
        <v>-2.6457007971713568E-2</v>
      </c>
      <c r="AO156" s="28">
        <f t="shared" si="41"/>
        <v>-2.6457007971713568E-2</v>
      </c>
      <c r="AP156" s="27">
        <f t="shared" si="42"/>
        <v>-3.5634151898486081E-3</v>
      </c>
      <c r="AQ156" s="29">
        <f t="shared" si="43"/>
        <v>-2.6457007971713568E-2</v>
      </c>
      <c r="AS156" s="30">
        <f t="shared" si="44"/>
        <v>0.93599045519292068</v>
      </c>
      <c r="AT156" s="21">
        <f t="shared" si="45"/>
        <v>4.4660786345620576</v>
      </c>
      <c r="AU156" s="31">
        <f t="shared" ca="1" si="53"/>
        <v>5.1133839634198708E-4</v>
      </c>
      <c r="AV156" s="109">
        <f t="shared" ca="1" si="54"/>
        <v>5.1391440570003333E-4</v>
      </c>
      <c r="AW156" s="27" t="e">
        <f t="shared" ca="1" si="55"/>
        <v>#VALUE!</v>
      </c>
      <c r="AX156" s="29" t="e">
        <f t="shared" ca="1" si="56"/>
        <v>#VALUE!</v>
      </c>
      <c r="AY156" s="72"/>
    </row>
    <row r="157" spans="13:51" s="11" customFormat="1" ht="15.6" customHeight="1" x14ac:dyDescent="0.3">
      <c r="M157" s="20">
        <f t="shared" si="57"/>
        <v>127</v>
      </c>
      <c r="N157" s="21">
        <f t="shared" si="58"/>
        <v>2.2225000000000041</v>
      </c>
      <c r="O157" s="22">
        <f t="shared" ca="1" si="30"/>
        <v>147.17566915496025</v>
      </c>
      <c r="P157" s="23">
        <f t="shared" ca="1" si="31"/>
        <v>-1</v>
      </c>
      <c r="Q157" s="22" t="e">
        <f t="shared" ca="1" si="32"/>
        <v>#VALUE!</v>
      </c>
      <c r="R157" s="23">
        <f t="shared" ca="1" si="33"/>
        <v>-1</v>
      </c>
      <c r="S157" s="24" t="e">
        <f t="shared" ca="1" si="34"/>
        <v>#VALUE!</v>
      </c>
      <c r="T157" s="23">
        <f t="shared" ca="1" si="35"/>
        <v>-1</v>
      </c>
      <c r="U157" s="112">
        <f t="shared" si="46"/>
        <v>2.6471629474485212E-2</v>
      </c>
      <c r="V157" s="109">
        <f t="shared" si="47"/>
        <v>-2.6471629474485212E-2</v>
      </c>
      <c r="W157" s="112">
        <f t="shared" si="48"/>
        <v>2.6471629474485212E-2</v>
      </c>
      <c r="X157" s="113">
        <f t="shared" si="49"/>
        <v>-2.6471629474485212E-2</v>
      </c>
      <c r="Y157" s="32"/>
      <c r="Z157" s="32"/>
      <c r="AA157" s="32"/>
      <c r="AB157" s="32"/>
      <c r="AC157" s="32"/>
      <c r="AD157" s="32"/>
      <c r="AE157" s="32"/>
      <c r="AG157" s="26">
        <f t="shared" si="36"/>
        <v>0</v>
      </c>
      <c r="AH157" s="27">
        <f t="shared" si="37"/>
        <v>6.6354534916300001E-2</v>
      </c>
      <c r="AI157" s="28">
        <f t="shared" si="50"/>
        <v>2.6471629474485212E-2</v>
      </c>
      <c r="AJ157" s="27">
        <f t="shared" si="38"/>
        <v>2.6471629474485212E-2</v>
      </c>
      <c r="AK157" s="28">
        <f t="shared" si="39"/>
        <v>3.551319828254627E-3</v>
      </c>
      <c r="AL157" s="27">
        <f t="shared" si="40"/>
        <v>2.6471629474485212E-2</v>
      </c>
      <c r="AM157" s="28">
        <f t="shared" si="51"/>
        <v>2.6471629474485212E-2</v>
      </c>
      <c r="AN157" s="27">
        <f t="shared" si="52"/>
        <v>-2.6471629474485212E-2</v>
      </c>
      <c r="AO157" s="28">
        <f t="shared" si="41"/>
        <v>-2.6471629474485212E-2</v>
      </c>
      <c r="AP157" s="27">
        <f t="shared" si="42"/>
        <v>-3.551319828254627E-3</v>
      </c>
      <c r="AQ157" s="29">
        <f t="shared" si="43"/>
        <v>-2.6471629474485212E-2</v>
      </c>
      <c r="AS157" s="30">
        <f t="shared" si="44"/>
        <v>0.93549918917255848</v>
      </c>
      <c r="AT157" s="21">
        <f t="shared" si="45"/>
        <v>4.4509193468803776</v>
      </c>
      <c r="AU157" s="31">
        <f t="shared" ca="1" si="53"/>
        <v>5.1254875369521891E-4</v>
      </c>
      <c r="AV157" s="109">
        <f t="shared" ca="1" si="54"/>
        <v>5.1512132503162E-4</v>
      </c>
      <c r="AW157" s="27" t="e">
        <f t="shared" ca="1" si="55"/>
        <v>#VALUE!</v>
      </c>
      <c r="AX157" s="29" t="e">
        <f t="shared" ca="1" si="56"/>
        <v>#VALUE!</v>
      </c>
      <c r="AY157" s="72"/>
    </row>
    <row r="158" spans="13:51" s="11" customFormat="1" ht="15.6" customHeight="1" x14ac:dyDescent="0.3">
      <c r="M158" s="20">
        <f t="shared" si="57"/>
        <v>128</v>
      </c>
      <c r="N158" s="21">
        <f t="shared" si="58"/>
        <v>2.2400000000000042</v>
      </c>
      <c r="O158" s="22">
        <f t="shared" ref="O158:O221" ca="1" si="59">CubicSpline(OFFSET($B$18,0,0,NumCurvePoints,1),OFFSET($C$18,0,0,NumCurvePoints,1),N158)</f>
        <v>147.47947097566257</v>
      </c>
      <c r="P158" s="23">
        <f t="shared" ref="P158:P221" ca="1" si="60">IF(ISERROR(MATCH(M158,$A$20:$A$27,0)),-1,OFFSET($C$17,MATCH(M158,$A$20:$A$27,0),0,1,1))</f>
        <v>-1</v>
      </c>
      <c r="Q158" s="22" t="e">
        <f t="shared" ref="Q158:Q221" ca="1" si="61">CubicSpline(OFFSET($B$18,0,0,NumCurvePoints2,1),OFFSET($D$18,0,0,NumCurvePoints2,1),N158)</f>
        <v>#VALUE!</v>
      </c>
      <c r="R158" s="23">
        <f t="shared" ref="R158:R221" ca="1" si="62">IF(ISERROR(MATCH(M158,$A$20:$A$27,0)),-1,OFFSET($D$17,MATCH(M158,$A$20:$A$27,0),0,1,1))</f>
        <v>-1</v>
      </c>
      <c r="S158" s="24" t="e">
        <f t="shared" ref="S158:S221" ca="1" si="63">CubicSpline(OFFSET($B$18,0,0,NumCurvePoints3,1),OFFSET($E$18,0,0,NumCurvePoints3,1),N158)</f>
        <v>#VALUE!</v>
      </c>
      <c r="T158" s="23">
        <f t="shared" ref="T158:T221" ca="1" si="64">IF(ISERROR(MATCH(M158,$A$20:$A$27,0)),-1,OFFSET($E$17,MATCH(M158,$A$20:$A$27,0),0,1,1))</f>
        <v>-1</v>
      </c>
      <c r="U158" s="112">
        <f t="shared" si="46"/>
        <v>2.6485083206253687E-2</v>
      </c>
      <c r="V158" s="109">
        <f t="shared" si="47"/>
        <v>-2.6485083206253687E-2</v>
      </c>
      <c r="W158" s="112">
        <f t="shared" si="48"/>
        <v>2.6485083206253687E-2</v>
      </c>
      <c r="X158" s="113">
        <f t="shared" si="49"/>
        <v>-2.6485083206253687E-2</v>
      </c>
      <c r="Y158" s="32"/>
      <c r="Z158" s="32"/>
      <c r="AA158" s="32"/>
      <c r="AB158" s="32"/>
      <c r="AC158" s="32"/>
      <c r="AD158" s="32"/>
      <c r="AE158" s="32"/>
      <c r="AG158" s="26">
        <f t="shared" ref="AG158:AG221" si="65">(SwapRate1-InterestRate)*AT158</f>
        <v>0</v>
      </c>
      <c r="AH158" s="27">
        <f t="shared" ref="AH158:AH221" si="66">MAX(0.0000000001,SQRT(N158)*AT158*IRVol)</f>
        <v>6.6388258420750162E-2</v>
      </c>
      <c r="AI158" s="28">
        <f t="shared" si="50"/>
        <v>2.6485083206253687E-2</v>
      </c>
      <c r="AJ158" s="27">
        <f t="shared" ref="AJ158:AJ221" si="67">AI158-IF(ThresholdB="",0,1)*IF((ThresholdB-AG158)/AH158&gt;6,0,(1-NORMSDIST((ThresholdB-AG158)/AH158))*(AG158+AH158*NORMDIST(((ThresholdB-AG158)/AH158),0,1,FALSE)/(1-NORMSDIST((ThresholdB-AG158)/AH158))-ThresholdB))</f>
        <v>2.6485083206253687E-2</v>
      </c>
      <c r="AK158" s="28">
        <f t="shared" ref="AK158:AK221" si="68">-InitialMargin2*NORMSDIST(-InitialMargin2/(IRVol*SQRT(MPR/250)*AT158))+(IRVol*SQRT(MPR/250)*AT158)*NORMDIST(-InitialMargin2/(IRVol*SQRT(MPR/250)*AT158),0,1,FALSE)</f>
        <v>3.5392181149286241E-3</v>
      </c>
      <c r="AL158" s="27">
        <f t="shared" ref="AL158:AL221" si="69">IF(OR(BreakMat="",BreakMat=0,BreakMat&gt;N158),IF(AND(ThresholdB="",ThresholdA=0,ThresholdA&lt;&gt;""),AJ158+AK158,IF(AND(ThresholdB=0,ThresholdB&lt;&gt;""),AK158,IF(ThresholdB&gt;0,MAX(AJ158,AK158),AJ158))))</f>
        <v>2.6485083206253687E-2</v>
      </c>
      <c r="AM158" s="28">
        <f t="shared" si="51"/>
        <v>2.6485083206253687E-2</v>
      </c>
      <c r="AN158" s="27">
        <f t="shared" si="52"/>
        <v>-2.6485083206253687E-2</v>
      </c>
      <c r="AO158" s="28">
        <f t="shared" ref="AO158:AO221" si="70">AN158+IF(AND(ThresholdA&lt;&gt;"",(ThresholdA+AG158)/AH158&lt;6),(1-NORMSDIST((ThresholdA+AG158)/AH158))*(-AG158+AH158*NORMDIST(((ThresholdA+AG158)/AH158),0,1,FALSE)/(1-NORMSDIST((ThresholdA+AG158)/AH158))-ThresholdA))</f>
        <v>-2.6485083206253687E-2</v>
      </c>
      <c r="AP158" s="27">
        <f t="shared" ref="AP158:AP221" si="71">InitialMargin1*NORMSDIST(-InitialMargin1/(IRVol*AT158*SQRT(MPR/250)))-(IRVol*AT158*SQRT(MPR/250))*NORMDIST(-InitialMargin1/(IRVol*AT158*SQRT(MPR/250)),0,1,FALSE)</f>
        <v>-3.5392181149286241E-3</v>
      </c>
      <c r="AQ158" s="29">
        <f t="shared" ref="AQ158:AQ221" si="72">IF(OR(BreakMat="",BreakMat=0,BreakMat&gt;N158),IF(AND(ThresholdA="",ThresholdB=0,ThresholdB&lt;&gt;""),AO158+AP158,IF(AND(ThresholdA=0,ThresholdA&lt;&gt;""),AP158,MIN(AO158,AP158))))</f>
        <v>-2.6485083206253687E-2</v>
      </c>
      <c r="AS158" s="30">
        <f t="shared" ref="AS158:AS221" si="73">EXP(-InterestRate*N158)</f>
        <v>0.93500818099916627</v>
      </c>
      <c r="AT158" s="21">
        <f t="shared" ref="AT158:AT221" si="74">MAX((1-EXP(-(Maturity1-N158)*InterestRate))/InterestRate,0)</f>
        <v>4.4357520984831593</v>
      </c>
      <c r="AU158" s="31">
        <f t="shared" ca="1" si="53"/>
        <v>5.1374926648861674E-4</v>
      </c>
      <c r="AV158" s="109">
        <f t="shared" ca="1" si="54"/>
        <v>5.1631839290411374E-4</v>
      </c>
      <c r="AW158" s="27" t="e">
        <f t="shared" ca="1" si="55"/>
        <v>#VALUE!</v>
      </c>
      <c r="AX158" s="29" t="e">
        <f t="shared" ca="1" si="56"/>
        <v>#VALUE!</v>
      </c>
      <c r="AY158" s="72"/>
    </row>
    <row r="159" spans="13:51" s="11" customFormat="1" ht="15.6" customHeight="1" x14ac:dyDescent="0.3">
      <c r="M159" s="20">
        <f t="shared" si="57"/>
        <v>129</v>
      </c>
      <c r="N159" s="21">
        <f t="shared" si="58"/>
        <v>2.2575000000000043</v>
      </c>
      <c r="O159" s="22">
        <f t="shared" ca="1" si="59"/>
        <v>147.78269113704155</v>
      </c>
      <c r="P159" s="23">
        <f t="shared" ca="1" si="60"/>
        <v>-1</v>
      </c>
      <c r="Q159" s="22" t="e">
        <f t="shared" ca="1" si="61"/>
        <v>#VALUE!</v>
      </c>
      <c r="R159" s="23">
        <f t="shared" ca="1" si="62"/>
        <v>-1</v>
      </c>
      <c r="S159" s="24" t="e">
        <f t="shared" ca="1" si="63"/>
        <v>#VALUE!</v>
      </c>
      <c r="T159" s="23">
        <f t="shared" ca="1" si="64"/>
        <v>-1</v>
      </c>
      <c r="U159" s="112">
        <f t="shared" ref="U159:U222" si="75">AI159</f>
        <v>2.6497377544972313E-2</v>
      </c>
      <c r="V159" s="109">
        <f t="shared" ref="V159:V222" si="76">AN159</f>
        <v>-2.6497377544972313E-2</v>
      </c>
      <c r="W159" s="112">
        <f t="shared" ref="W159:W222" si="77">AL159</f>
        <v>2.6497377544972313E-2</v>
      </c>
      <c r="X159" s="113">
        <f t="shared" ref="X159:X222" si="78">AQ159</f>
        <v>-2.6497377544972313E-2</v>
      </c>
      <c r="Y159" s="32"/>
      <c r="Z159" s="32"/>
      <c r="AA159" s="32"/>
      <c r="AB159" s="32"/>
      <c r="AC159" s="32"/>
      <c r="AD159" s="32"/>
      <c r="AE159" s="32"/>
      <c r="AG159" s="26">
        <f t="shared" si="65"/>
        <v>0</v>
      </c>
      <c r="AH159" s="27">
        <f t="shared" si="66"/>
        <v>6.6419075757800164E-2</v>
      </c>
      <c r="AI159" s="28">
        <f t="shared" ref="AI159:AI222" si="79">(AG159*NORMSDIST(AG159/AH159)+AH159*NORMDIST(AG159/AH159,0,1,FALSE))</f>
        <v>2.6497377544972313E-2</v>
      </c>
      <c r="AJ159" s="27">
        <f t="shared" si="67"/>
        <v>2.6497377544972313E-2</v>
      </c>
      <c r="AK159" s="28">
        <f t="shared" si="68"/>
        <v>3.527110046535064E-3</v>
      </c>
      <c r="AL159" s="27">
        <f t="shared" si="69"/>
        <v>2.6497377544972313E-2</v>
      </c>
      <c r="AM159" s="28">
        <f t="shared" ref="AM159:AM222" si="80">MAX(AL159,AM158)</f>
        <v>2.6497377544972313E-2</v>
      </c>
      <c r="AN159" s="27">
        <f t="shared" ref="AN159:AN222" si="81">(AG159*NORMSDIST(-AG159/AH159)-AH159*NORMDIST(-AG159/AH159,0,1,FALSE))</f>
        <v>-2.6497377544972313E-2</v>
      </c>
      <c r="AO159" s="28">
        <f t="shared" si="70"/>
        <v>-2.6497377544972313E-2</v>
      </c>
      <c r="AP159" s="27">
        <f t="shared" si="71"/>
        <v>-3.527110046535064E-3</v>
      </c>
      <c r="AQ159" s="29">
        <f t="shared" si="72"/>
        <v>-2.6497377544972313E-2</v>
      </c>
      <c r="AS159" s="30">
        <f t="shared" si="73"/>
        <v>0.93451743053740977</v>
      </c>
      <c r="AT159" s="21">
        <f t="shared" si="74"/>
        <v>4.4205768851899272</v>
      </c>
      <c r="AU159" s="31">
        <f t="shared" ref="AU159:AU222" ca="1" si="82">EXP(-N158*O158/CntrptyLGD/10000)-EXP(-N159*O159/CntrptyLGD/10000)</f>
        <v>5.1493985617090399E-4</v>
      </c>
      <c r="AV159" s="109">
        <f t="shared" ref="AV159:AV222" ca="1" si="83">EXP(-N158*(O158+1)/CntrptyLGD/10000)-EXP(-N159*(O159+1)/CntrptyLGD/10000)</f>
        <v>5.1750553091090001E-4</v>
      </c>
      <c r="AW159" s="27" t="e">
        <f t="shared" ref="AW159:AW222" ca="1" si="84">EXP(-N158*Q158/OwnLGD/10000)-EXP(-N159*Q159/OwnLGD/10000)</f>
        <v>#VALUE!</v>
      </c>
      <c r="AX159" s="29" t="e">
        <f t="shared" ref="AX159:AX222" ca="1" si="85">EXP(-N158*S158/10000)-EXP(-N159*S159/10000)</f>
        <v>#VALUE!</v>
      </c>
      <c r="AY159" s="72"/>
    </row>
    <row r="160" spans="13:51" s="11" customFormat="1" ht="15.6" customHeight="1" x14ac:dyDescent="0.3">
      <c r="M160" s="20">
        <f t="shared" ref="M160:M223" si="86">M159+1</f>
        <v>130</v>
      </c>
      <c r="N160" s="21">
        <f t="shared" ref="N160:N223" si="87">N159+Maturity1/400</f>
        <v>2.2750000000000044</v>
      </c>
      <c r="O160" s="22">
        <f t="shared" ca="1" si="59"/>
        <v>148.08532143019545</v>
      </c>
      <c r="P160" s="23">
        <f t="shared" ca="1" si="60"/>
        <v>-1</v>
      </c>
      <c r="Q160" s="22" t="e">
        <f t="shared" ca="1" si="61"/>
        <v>#VALUE!</v>
      </c>
      <c r="R160" s="23">
        <f t="shared" ca="1" si="62"/>
        <v>-1</v>
      </c>
      <c r="S160" s="24" t="e">
        <f t="shared" ca="1" si="63"/>
        <v>#VALUE!</v>
      </c>
      <c r="T160" s="23">
        <f t="shared" ca="1" si="64"/>
        <v>-1</v>
      </c>
      <c r="U160" s="112">
        <f t="shared" si="75"/>
        <v>2.6508520715232811E-2</v>
      </c>
      <c r="V160" s="109">
        <f t="shared" si="76"/>
        <v>-2.6508520715232811E-2</v>
      </c>
      <c r="W160" s="112">
        <f t="shared" si="77"/>
        <v>2.6508520715232811E-2</v>
      </c>
      <c r="X160" s="113">
        <f t="shared" si="78"/>
        <v>-2.6508520715232811E-2</v>
      </c>
      <c r="Y160" s="32"/>
      <c r="Z160" s="32"/>
      <c r="AA160" s="32"/>
      <c r="AB160" s="32"/>
      <c r="AC160" s="32"/>
      <c r="AD160" s="32"/>
      <c r="AE160" s="32"/>
      <c r="AG160" s="26">
        <f t="shared" si="65"/>
        <v>0</v>
      </c>
      <c r="AH160" s="27">
        <f t="shared" si="66"/>
        <v>6.6447007543444153E-2</v>
      </c>
      <c r="AI160" s="28">
        <f t="shared" si="79"/>
        <v>2.6508520715232811E-2</v>
      </c>
      <c r="AJ160" s="27">
        <f t="shared" si="67"/>
        <v>2.6508520715232811E-2</v>
      </c>
      <c r="AK160" s="28">
        <f t="shared" si="68"/>
        <v>3.5149956197366625E-3</v>
      </c>
      <c r="AL160" s="27">
        <f t="shared" si="69"/>
        <v>2.6508520715232811E-2</v>
      </c>
      <c r="AM160" s="28">
        <f t="shared" si="80"/>
        <v>2.6508520715232811E-2</v>
      </c>
      <c r="AN160" s="27">
        <f t="shared" si="81"/>
        <v>-2.6508520715232811E-2</v>
      </c>
      <c r="AO160" s="28">
        <f t="shared" si="70"/>
        <v>-2.6508520715232811E-2</v>
      </c>
      <c r="AP160" s="27">
        <f t="shared" si="71"/>
        <v>-3.514995619736663E-3</v>
      </c>
      <c r="AQ160" s="29">
        <f t="shared" si="72"/>
        <v>-2.6508520715232811E-2</v>
      </c>
      <c r="AS160" s="30">
        <f t="shared" si="73"/>
        <v>0.93402693765202605</v>
      </c>
      <c r="AT160" s="21">
        <f t="shared" si="74"/>
        <v>4.4053937028180172</v>
      </c>
      <c r="AU160" s="31">
        <f t="shared" ca="1" si="82"/>
        <v>5.1612044455029427E-4</v>
      </c>
      <c r="AV160" s="109">
        <f t="shared" ca="1" si="83"/>
        <v>5.1868266100574267E-4</v>
      </c>
      <c r="AW160" s="27" t="e">
        <f t="shared" ca="1" si="84"/>
        <v>#VALUE!</v>
      </c>
      <c r="AX160" s="29" t="e">
        <f t="shared" ca="1" si="85"/>
        <v>#VALUE!</v>
      </c>
      <c r="AY160" s="72"/>
    </row>
    <row r="161" spans="13:51" s="11" customFormat="1" ht="15.6" customHeight="1" x14ac:dyDescent="0.3">
      <c r="M161" s="20">
        <f t="shared" si="86"/>
        <v>131</v>
      </c>
      <c r="N161" s="21">
        <f t="shared" si="87"/>
        <v>2.2925000000000044</v>
      </c>
      <c r="O161" s="22">
        <f t="shared" ca="1" si="59"/>
        <v>148.38735364622255</v>
      </c>
      <c r="P161" s="23">
        <f t="shared" ca="1" si="60"/>
        <v>-1</v>
      </c>
      <c r="Q161" s="22" t="e">
        <f t="shared" ca="1" si="61"/>
        <v>#VALUE!</v>
      </c>
      <c r="R161" s="23">
        <f t="shared" ca="1" si="62"/>
        <v>-1</v>
      </c>
      <c r="S161" s="24" t="e">
        <f t="shared" ca="1" si="63"/>
        <v>#VALUE!</v>
      </c>
      <c r="T161" s="23">
        <f t="shared" ca="1" si="64"/>
        <v>-1</v>
      </c>
      <c r="U161" s="112">
        <f t="shared" si="75"/>
        <v>2.6518520792227503E-2</v>
      </c>
      <c r="V161" s="109">
        <f t="shared" si="76"/>
        <v>-2.6518520792227503E-2</v>
      </c>
      <c r="W161" s="112">
        <f t="shared" si="77"/>
        <v>2.6518520792227503E-2</v>
      </c>
      <c r="X161" s="113">
        <f t="shared" si="78"/>
        <v>-2.6518520792227503E-2</v>
      </c>
      <c r="Y161" s="32"/>
      <c r="Z161" s="32"/>
      <c r="AA161" s="32"/>
      <c r="AB161" s="32"/>
      <c r="AC161" s="32"/>
      <c r="AD161" s="32"/>
      <c r="AE161" s="32"/>
      <c r="AG161" s="26">
        <f t="shared" si="65"/>
        <v>0</v>
      </c>
      <c r="AH161" s="27">
        <f t="shared" si="66"/>
        <v>6.6472074019187533E-2</v>
      </c>
      <c r="AI161" s="28">
        <f t="shared" si="79"/>
        <v>2.6518520792227503E-2</v>
      </c>
      <c r="AJ161" s="27">
        <f t="shared" si="67"/>
        <v>2.6518520792227503E-2</v>
      </c>
      <c r="AK161" s="28">
        <f t="shared" si="68"/>
        <v>3.502874831194382E-3</v>
      </c>
      <c r="AL161" s="27">
        <f t="shared" si="69"/>
        <v>2.6518520792227503E-2</v>
      </c>
      <c r="AM161" s="28">
        <f t="shared" si="80"/>
        <v>2.6518520792227503E-2</v>
      </c>
      <c r="AN161" s="27">
        <f t="shared" si="81"/>
        <v>-2.6518520792227503E-2</v>
      </c>
      <c r="AO161" s="28">
        <f t="shared" si="70"/>
        <v>-2.6518520792227503E-2</v>
      </c>
      <c r="AP161" s="27">
        <f t="shared" si="71"/>
        <v>-3.502874831194382E-3</v>
      </c>
      <c r="AQ161" s="29">
        <f t="shared" si="72"/>
        <v>-2.6518520792227503E-2</v>
      </c>
      <c r="AS161" s="30">
        <f t="shared" si="73"/>
        <v>0.93353670220782303</v>
      </c>
      <c r="AT161" s="21">
        <f t="shared" si="74"/>
        <v>4.3902025471825645</v>
      </c>
      <c r="AU161" s="31">
        <f t="shared" ca="1" si="82"/>
        <v>5.172909537949355E-4</v>
      </c>
      <c r="AV161" s="109">
        <f t="shared" ca="1" si="83"/>
        <v>5.1984970550311704E-4</v>
      </c>
      <c r="AW161" s="27" t="e">
        <f t="shared" ca="1" si="84"/>
        <v>#VALUE!</v>
      </c>
      <c r="AX161" s="29" t="e">
        <f t="shared" ca="1" si="85"/>
        <v>#VALUE!</v>
      </c>
      <c r="AY161" s="72"/>
    </row>
    <row r="162" spans="13:51" s="11" customFormat="1" ht="15.6" customHeight="1" x14ac:dyDescent="0.3">
      <c r="M162" s="20">
        <f t="shared" si="86"/>
        <v>132</v>
      </c>
      <c r="N162" s="21">
        <f t="shared" si="87"/>
        <v>2.3100000000000045</v>
      </c>
      <c r="O162" s="22">
        <f t="shared" ca="1" si="59"/>
        <v>148.68877957622109</v>
      </c>
      <c r="P162" s="23">
        <f t="shared" ca="1" si="60"/>
        <v>-1</v>
      </c>
      <c r="Q162" s="22" t="e">
        <f t="shared" ca="1" si="61"/>
        <v>#VALUE!</v>
      </c>
      <c r="R162" s="23">
        <f t="shared" ca="1" si="62"/>
        <v>-1</v>
      </c>
      <c r="S162" s="24" t="e">
        <f t="shared" ca="1" si="63"/>
        <v>#VALUE!</v>
      </c>
      <c r="T162" s="23">
        <f t="shared" ca="1" si="64"/>
        <v>-1</v>
      </c>
      <c r="U162" s="112">
        <f t="shared" si="75"/>
        <v>2.6527385705578849E-2</v>
      </c>
      <c r="V162" s="109">
        <f t="shared" si="76"/>
        <v>-2.6527385705578849E-2</v>
      </c>
      <c r="W162" s="112">
        <f t="shared" si="77"/>
        <v>2.6527385705578849E-2</v>
      </c>
      <c r="X162" s="113">
        <f t="shared" si="78"/>
        <v>-2.6527385705578849E-2</v>
      </c>
      <c r="Y162" s="32"/>
      <c r="Z162" s="32"/>
      <c r="AA162" s="32"/>
      <c r="AB162" s="32"/>
      <c r="AC162" s="32"/>
      <c r="AD162" s="32"/>
      <c r="AE162" s="32"/>
      <c r="AG162" s="26">
        <f t="shared" si="65"/>
        <v>0</v>
      </c>
      <c r="AH162" s="27">
        <f t="shared" si="66"/>
        <v>6.6494295061646169E-2</v>
      </c>
      <c r="AI162" s="28">
        <f t="shared" si="79"/>
        <v>2.6527385705578849E-2</v>
      </c>
      <c r="AJ162" s="27">
        <f t="shared" si="67"/>
        <v>2.6527385705578849E-2</v>
      </c>
      <c r="AK162" s="28">
        <f t="shared" si="68"/>
        <v>3.4907476775674264E-3</v>
      </c>
      <c r="AL162" s="27">
        <f t="shared" si="69"/>
        <v>2.6527385705578849E-2</v>
      </c>
      <c r="AM162" s="28">
        <f t="shared" si="80"/>
        <v>2.6527385705578849E-2</v>
      </c>
      <c r="AN162" s="27">
        <f t="shared" si="81"/>
        <v>-2.6527385705578849E-2</v>
      </c>
      <c r="AO162" s="28">
        <f t="shared" si="70"/>
        <v>-2.6527385705578849E-2</v>
      </c>
      <c r="AP162" s="27">
        <f t="shared" si="71"/>
        <v>-3.4907476775674264E-3</v>
      </c>
      <c r="AQ162" s="29">
        <f t="shared" si="72"/>
        <v>-2.6527385705578849E-2</v>
      </c>
      <c r="AS162" s="30">
        <f t="shared" si="73"/>
        <v>0.93304672406967937</v>
      </c>
      <c r="AT162" s="21">
        <f t="shared" si="74"/>
        <v>4.3750034140965051</v>
      </c>
      <c r="AU162" s="31">
        <f t="shared" ca="1" si="82"/>
        <v>5.1845130643413118E-4</v>
      </c>
      <c r="AV162" s="109">
        <f t="shared" ca="1" si="83"/>
        <v>5.2100658707965319E-4</v>
      </c>
      <c r="AW162" s="27" t="e">
        <f t="shared" ca="1" si="84"/>
        <v>#VALUE!</v>
      </c>
      <c r="AX162" s="29" t="e">
        <f t="shared" ca="1" si="85"/>
        <v>#VALUE!</v>
      </c>
      <c r="AY162" s="72"/>
    </row>
    <row r="163" spans="13:51" s="11" customFormat="1" ht="15.6" customHeight="1" x14ac:dyDescent="0.3">
      <c r="M163" s="20">
        <f t="shared" si="86"/>
        <v>133</v>
      </c>
      <c r="N163" s="21">
        <f t="shared" si="87"/>
        <v>2.3275000000000046</v>
      </c>
      <c r="O163" s="22">
        <f t="shared" ca="1" si="59"/>
        <v>148.98959101128935</v>
      </c>
      <c r="P163" s="23">
        <f t="shared" ca="1" si="60"/>
        <v>-1</v>
      </c>
      <c r="Q163" s="22" t="e">
        <f t="shared" ca="1" si="61"/>
        <v>#VALUE!</v>
      </c>
      <c r="R163" s="23">
        <f t="shared" ca="1" si="62"/>
        <v>-1</v>
      </c>
      <c r="S163" s="24" t="e">
        <f t="shared" ca="1" si="63"/>
        <v>#VALUE!</v>
      </c>
      <c r="T163" s="23">
        <f t="shared" ca="1" si="64"/>
        <v>-1</v>
      </c>
      <c r="U163" s="112">
        <f t="shared" si="75"/>
        <v>2.653512324304165E-2</v>
      </c>
      <c r="V163" s="109">
        <f t="shared" si="76"/>
        <v>-2.653512324304165E-2</v>
      </c>
      <c r="W163" s="112">
        <f t="shared" si="77"/>
        <v>2.653512324304165E-2</v>
      </c>
      <c r="X163" s="113">
        <f t="shared" si="78"/>
        <v>-2.653512324304165E-2</v>
      </c>
      <c r="Y163" s="32"/>
      <c r="Z163" s="32"/>
      <c r="AA163" s="32"/>
      <c r="AB163" s="32"/>
      <c r="AC163" s="32"/>
      <c r="AD163" s="32"/>
      <c r="AE163" s="32"/>
      <c r="AG163" s="26">
        <f t="shared" si="65"/>
        <v>0</v>
      </c>
      <c r="AH163" s="27">
        <f t="shared" si="66"/>
        <v>6.6513690191826444E-2</v>
      </c>
      <c r="AI163" s="28">
        <f t="shared" si="79"/>
        <v>2.653512324304165E-2</v>
      </c>
      <c r="AJ163" s="27">
        <f t="shared" si="67"/>
        <v>2.653512324304165E-2</v>
      </c>
      <c r="AK163" s="28">
        <f t="shared" si="68"/>
        <v>3.4786141555132543E-3</v>
      </c>
      <c r="AL163" s="27">
        <f t="shared" si="69"/>
        <v>2.653512324304165E-2</v>
      </c>
      <c r="AM163" s="28">
        <f t="shared" si="80"/>
        <v>2.653512324304165E-2</v>
      </c>
      <c r="AN163" s="27">
        <f t="shared" si="81"/>
        <v>-2.653512324304165E-2</v>
      </c>
      <c r="AO163" s="28">
        <f t="shared" si="70"/>
        <v>-2.653512324304165E-2</v>
      </c>
      <c r="AP163" s="27">
        <f t="shared" si="71"/>
        <v>-3.4786141555132543E-3</v>
      </c>
      <c r="AQ163" s="29">
        <f t="shared" si="72"/>
        <v>-2.653512324304165E-2</v>
      </c>
      <c r="AS163" s="30">
        <f t="shared" si="73"/>
        <v>0.93255700310254486</v>
      </c>
      <c r="AT163" s="21">
        <f t="shared" si="74"/>
        <v>4.359796299370581</v>
      </c>
      <c r="AU163" s="31">
        <f t="shared" ca="1" si="82"/>
        <v>5.1960142535800724E-4</v>
      </c>
      <c r="AV163" s="109">
        <f t="shared" ca="1" si="83"/>
        <v>5.2215322877413595E-4</v>
      </c>
      <c r="AW163" s="27" t="e">
        <f t="shared" ca="1" si="84"/>
        <v>#VALUE!</v>
      </c>
      <c r="AX163" s="29" t="e">
        <f t="shared" ca="1" si="85"/>
        <v>#VALUE!</v>
      </c>
      <c r="AY163" s="72"/>
    </row>
    <row r="164" spans="13:51" s="11" customFormat="1" ht="15.6" customHeight="1" x14ac:dyDescent="0.3">
      <c r="M164" s="20">
        <f t="shared" si="86"/>
        <v>134</v>
      </c>
      <c r="N164" s="21">
        <f t="shared" si="87"/>
        <v>2.3450000000000046</v>
      </c>
      <c r="O164" s="22">
        <f t="shared" ca="1" si="59"/>
        <v>149.28977974252555</v>
      </c>
      <c r="P164" s="23">
        <f t="shared" ca="1" si="60"/>
        <v>-1</v>
      </c>
      <c r="Q164" s="22" t="e">
        <f t="shared" ca="1" si="61"/>
        <v>#VALUE!</v>
      </c>
      <c r="R164" s="23">
        <f t="shared" ca="1" si="62"/>
        <v>-1</v>
      </c>
      <c r="S164" s="24" t="e">
        <f t="shared" ca="1" si="63"/>
        <v>#VALUE!</v>
      </c>
      <c r="T164" s="23">
        <f t="shared" ca="1" si="64"/>
        <v>-1</v>
      </c>
      <c r="U164" s="112">
        <f t="shared" si="75"/>
        <v>2.6541741054082964E-2</v>
      </c>
      <c r="V164" s="109">
        <f t="shared" si="76"/>
        <v>-2.6541741054082964E-2</v>
      </c>
      <c r="W164" s="112">
        <f t="shared" si="77"/>
        <v>2.6541741054082964E-2</v>
      </c>
      <c r="X164" s="113">
        <f t="shared" si="78"/>
        <v>-2.6541741054082964E-2</v>
      </c>
      <c r="Y164" s="32"/>
      <c r="Z164" s="32"/>
      <c r="AA164" s="32"/>
      <c r="AB164" s="32"/>
      <c r="AC164" s="32"/>
      <c r="AD164" s="32"/>
      <c r="AE164" s="32"/>
      <c r="AG164" s="26">
        <f t="shared" si="65"/>
        <v>0</v>
      </c>
      <c r="AH164" s="27">
        <f t="shared" si="66"/>
        <v>6.6530278584098768E-2</v>
      </c>
      <c r="AI164" s="28">
        <f t="shared" si="79"/>
        <v>2.6541741054082964E-2</v>
      </c>
      <c r="AJ164" s="27">
        <f t="shared" si="67"/>
        <v>2.6541741054082964E-2</v>
      </c>
      <c r="AK164" s="28">
        <f t="shared" si="68"/>
        <v>3.4664742616875559E-3</v>
      </c>
      <c r="AL164" s="27">
        <f t="shared" si="69"/>
        <v>2.6541741054082964E-2</v>
      </c>
      <c r="AM164" s="28">
        <f t="shared" si="80"/>
        <v>2.6541741054082964E-2</v>
      </c>
      <c r="AN164" s="27">
        <f t="shared" si="81"/>
        <v>-2.6541741054082964E-2</v>
      </c>
      <c r="AO164" s="28">
        <f t="shared" si="70"/>
        <v>-2.6541741054082964E-2</v>
      </c>
      <c r="AP164" s="27">
        <f t="shared" si="71"/>
        <v>-3.4664742616875564E-3</v>
      </c>
      <c r="AQ164" s="29">
        <f t="shared" si="72"/>
        <v>-2.6541741054082964E-2</v>
      </c>
      <c r="AS164" s="30">
        <f t="shared" si="73"/>
        <v>0.93206753917144036</v>
      </c>
      <c r="AT164" s="21">
        <f t="shared" si="74"/>
        <v>4.3445811988133247</v>
      </c>
      <c r="AU164" s="31">
        <f t="shared" ca="1" si="82"/>
        <v>5.207412338192885E-4</v>
      </c>
      <c r="AV164" s="109">
        <f t="shared" ca="1" si="83"/>
        <v>5.2328955398850407E-4</v>
      </c>
      <c r="AW164" s="27" t="e">
        <f t="shared" ca="1" si="84"/>
        <v>#VALUE!</v>
      </c>
      <c r="AX164" s="29" t="e">
        <f t="shared" ca="1" si="85"/>
        <v>#VALUE!</v>
      </c>
      <c r="AY164" s="72"/>
    </row>
    <row r="165" spans="13:51" s="11" customFormat="1" ht="15.6" customHeight="1" x14ac:dyDescent="0.3">
      <c r="M165" s="20">
        <f t="shared" si="86"/>
        <v>135</v>
      </c>
      <c r="N165" s="21">
        <f t="shared" si="87"/>
        <v>2.3625000000000047</v>
      </c>
      <c r="O165" s="22">
        <f t="shared" ca="1" si="59"/>
        <v>149.58933756102797</v>
      </c>
      <c r="P165" s="23">
        <f t="shared" ca="1" si="60"/>
        <v>-1</v>
      </c>
      <c r="Q165" s="22" t="e">
        <f t="shared" ca="1" si="61"/>
        <v>#VALUE!</v>
      </c>
      <c r="R165" s="23">
        <f t="shared" ca="1" si="62"/>
        <v>-1</v>
      </c>
      <c r="S165" s="24" t="e">
        <f t="shared" ca="1" si="63"/>
        <v>#VALUE!</v>
      </c>
      <c r="T165" s="23">
        <f t="shared" ca="1" si="64"/>
        <v>-1</v>
      </c>
      <c r="U165" s="112">
        <f t="shared" si="75"/>
        <v>2.6547246653345024E-2</v>
      </c>
      <c r="V165" s="109">
        <f t="shared" si="76"/>
        <v>-2.6547246653345024E-2</v>
      </c>
      <c r="W165" s="112">
        <f t="shared" si="77"/>
        <v>2.6547246653345024E-2</v>
      </c>
      <c r="X165" s="113">
        <f t="shared" si="78"/>
        <v>-2.6547246653345024E-2</v>
      </c>
      <c r="Y165" s="32"/>
      <c r="Z165" s="32"/>
      <c r="AA165" s="32"/>
      <c r="AB165" s="32"/>
      <c r="AC165" s="32"/>
      <c r="AD165" s="32"/>
      <c r="AE165" s="32"/>
      <c r="AG165" s="26">
        <f t="shared" si="65"/>
        <v>0</v>
      </c>
      <c r="AH165" s="27">
        <f t="shared" si="66"/>
        <v>6.6544079074877832E-2</v>
      </c>
      <c r="AI165" s="28">
        <f t="shared" si="79"/>
        <v>2.6547246653345024E-2</v>
      </c>
      <c r="AJ165" s="27">
        <f t="shared" si="67"/>
        <v>2.6547246653345024E-2</v>
      </c>
      <c r="AK165" s="28">
        <f t="shared" si="68"/>
        <v>3.4543279927442779E-3</v>
      </c>
      <c r="AL165" s="27">
        <f t="shared" si="69"/>
        <v>2.6547246653345024E-2</v>
      </c>
      <c r="AM165" s="28">
        <f t="shared" si="80"/>
        <v>2.6547246653345024E-2</v>
      </c>
      <c r="AN165" s="27">
        <f t="shared" si="81"/>
        <v>-2.6547246653345024E-2</v>
      </c>
      <c r="AO165" s="28">
        <f t="shared" si="70"/>
        <v>-2.6547246653345024E-2</v>
      </c>
      <c r="AP165" s="27">
        <f t="shared" si="71"/>
        <v>-3.4543279927442779E-3</v>
      </c>
      <c r="AQ165" s="29">
        <f t="shared" si="72"/>
        <v>-2.6547246653345024E-2</v>
      </c>
      <c r="AS165" s="30">
        <f t="shared" si="73"/>
        <v>0.93157833214145713</v>
      </c>
      <c r="AT165" s="21">
        <f t="shared" si="74"/>
        <v>4.3293581082310775</v>
      </c>
      <c r="AU165" s="31">
        <f t="shared" ca="1" si="82"/>
        <v>5.2187065543307654E-4</v>
      </c>
      <c r="AV165" s="109">
        <f t="shared" ca="1" si="83"/>
        <v>5.2441548648807235E-4</v>
      </c>
      <c r="AW165" s="27" t="e">
        <f t="shared" ca="1" si="84"/>
        <v>#VALUE!</v>
      </c>
      <c r="AX165" s="29" t="e">
        <f t="shared" ca="1" si="85"/>
        <v>#VALUE!</v>
      </c>
      <c r="AY165" s="72"/>
    </row>
    <row r="166" spans="13:51" s="11" customFormat="1" ht="15.6" customHeight="1" x14ac:dyDescent="0.3">
      <c r="M166" s="20">
        <f t="shared" si="86"/>
        <v>136</v>
      </c>
      <c r="N166" s="21">
        <f t="shared" si="87"/>
        <v>2.3800000000000048</v>
      </c>
      <c r="O166" s="22">
        <f t="shared" ca="1" si="59"/>
        <v>149.88825625789488</v>
      </c>
      <c r="P166" s="23">
        <f t="shared" ca="1" si="60"/>
        <v>-1</v>
      </c>
      <c r="Q166" s="22" t="e">
        <f t="shared" ca="1" si="61"/>
        <v>#VALUE!</v>
      </c>
      <c r="R166" s="23">
        <f t="shared" ca="1" si="62"/>
        <v>-1</v>
      </c>
      <c r="S166" s="24" t="e">
        <f t="shared" ca="1" si="63"/>
        <v>#VALUE!</v>
      </c>
      <c r="T166" s="23">
        <f t="shared" ca="1" si="64"/>
        <v>-1</v>
      </c>
      <c r="U166" s="112">
        <f t="shared" si="75"/>
        <v>2.6551647423995395E-2</v>
      </c>
      <c r="V166" s="109">
        <f t="shared" si="76"/>
        <v>-2.6551647423995395E-2</v>
      </c>
      <c r="W166" s="112">
        <f t="shared" si="77"/>
        <v>2.6551647423995395E-2</v>
      </c>
      <c r="X166" s="113">
        <f t="shared" si="78"/>
        <v>-2.6551647423995395E-2</v>
      </c>
      <c r="Y166" s="32"/>
      <c r="Z166" s="32"/>
      <c r="AA166" s="32"/>
      <c r="AB166" s="32"/>
      <c r="AC166" s="32"/>
      <c r="AD166" s="32"/>
      <c r="AE166" s="32"/>
      <c r="AG166" s="26">
        <f t="shared" si="65"/>
        <v>0</v>
      </c>
      <c r="AH166" s="27">
        <f t="shared" si="66"/>
        <v>6.6555110171020226E-2</v>
      </c>
      <c r="AI166" s="28">
        <f t="shared" si="79"/>
        <v>2.6551647423995395E-2</v>
      </c>
      <c r="AJ166" s="27">
        <f t="shared" si="67"/>
        <v>2.6551647423995395E-2</v>
      </c>
      <c r="AK166" s="28">
        <f t="shared" si="68"/>
        <v>3.4421753453356069E-3</v>
      </c>
      <c r="AL166" s="27">
        <f t="shared" si="69"/>
        <v>2.6551647423995395E-2</v>
      </c>
      <c r="AM166" s="28">
        <f t="shared" si="80"/>
        <v>2.6551647423995395E-2</v>
      </c>
      <c r="AN166" s="27">
        <f t="shared" si="81"/>
        <v>-2.6551647423995395E-2</v>
      </c>
      <c r="AO166" s="28">
        <f t="shared" si="70"/>
        <v>-2.6551647423995395E-2</v>
      </c>
      <c r="AP166" s="27">
        <f t="shared" si="71"/>
        <v>-3.4421753453356069E-3</v>
      </c>
      <c r="AQ166" s="29">
        <f t="shared" si="72"/>
        <v>-2.6551647423995395E-2</v>
      </c>
      <c r="AS166" s="30">
        <f t="shared" si="73"/>
        <v>0.93108938187775769</v>
      </c>
      <c r="AT166" s="21">
        <f t="shared" si="74"/>
        <v>4.3141270234279796</v>
      </c>
      <c r="AU166" s="31">
        <f t="shared" ca="1" si="82"/>
        <v>5.229896141776269E-4</v>
      </c>
      <c r="AV166" s="109">
        <f t="shared" ca="1" si="83"/>
        <v>5.2553095040286379E-4</v>
      </c>
      <c r="AW166" s="27" t="e">
        <f t="shared" ca="1" si="84"/>
        <v>#VALUE!</v>
      </c>
      <c r="AX166" s="29" t="e">
        <f t="shared" ca="1" si="85"/>
        <v>#VALUE!</v>
      </c>
      <c r="AY166" s="72"/>
    </row>
    <row r="167" spans="13:51" s="11" customFormat="1" ht="15.6" customHeight="1" x14ac:dyDescent="0.3">
      <c r="M167" s="20">
        <f t="shared" si="86"/>
        <v>137</v>
      </c>
      <c r="N167" s="21">
        <f t="shared" si="87"/>
        <v>2.3975000000000048</v>
      </c>
      <c r="O167" s="22">
        <f t="shared" ca="1" si="59"/>
        <v>150.18652762422454</v>
      </c>
      <c r="P167" s="23">
        <f t="shared" ca="1" si="60"/>
        <v>-1</v>
      </c>
      <c r="Q167" s="22" t="e">
        <f t="shared" ca="1" si="61"/>
        <v>#VALUE!</v>
      </c>
      <c r="R167" s="23">
        <f t="shared" ca="1" si="62"/>
        <v>-1</v>
      </c>
      <c r="S167" s="24" t="e">
        <f t="shared" ca="1" si="63"/>
        <v>#VALUE!</v>
      </c>
      <c r="T167" s="23">
        <f t="shared" ca="1" si="64"/>
        <v>-1</v>
      </c>
      <c r="U167" s="112">
        <f t="shared" si="75"/>
        <v>2.6554950620969121E-2</v>
      </c>
      <c r="V167" s="109">
        <f t="shared" si="76"/>
        <v>-2.6554950620969121E-2</v>
      </c>
      <c r="W167" s="112">
        <f t="shared" si="77"/>
        <v>2.6554950620969121E-2</v>
      </c>
      <c r="X167" s="113">
        <f t="shared" si="78"/>
        <v>-2.6554950620969121E-2</v>
      </c>
      <c r="Y167" s="32"/>
      <c r="Z167" s="32"/>
      <c r="AA167" s="32"/>
      <c r="AB167" s="32"/>
      <c r="AC167" s="32"/>
      <c r="AD167" s="32"/>
      <c r="AE167" s="32"/>
      <c r="AG167" s="26">
        <f t="shared" si="65"/>
        <v>0</v>
      </c>
      <c r="AH167" s="27">
        <f t="shared" si="66"/>
        <v>6.6563390057951241E-2</v>
      </c>
      <c r="AI167" s="28">
        <f t="shared" si="79"/>
        <v>2.6554950620969121E-2</v>
      </c>
      <c r="AJ167" s="27">
        <f t="shared" si="67"/>
        <v>2.6554950620969121E-2</v>
      </c>
      <c r="AK167" s="28">
        <f t="shared" si="68"/>
        <v>3.4300163161119618E-3</v>
      </c>
      <c r="AL167" s="27">
        <f t="shared" si="69"/>
        <v>2.6554950620969121E-2</v>
      </c>
      <c r="AM167" s="28">
        <f t="shared" si="80"/>
        <v>2.6554950620969121E-2</v>
      </c>
      <c r="AN167" s="27">
        <f t="shared" si="81"/>
        <v>-2.6554950620969121E-2</v>
      </c>
      <c r="AO167" s="28">
        <f t="shared" si="70"/>
        <v>-2.6554950620969121E-2</v>
      </c>
      <c r="AP167" s="27">
        <f t="shared" si="71"/>
        <v>-3.4300163161119627E-3</v>
      </c>
      <c r="AQ167" s="29">
        <f t="shared" si="72"/>
        <v>-2.6554950620969121E-2</v>
      </c>
      <c r="AS167" s="30">
        <f t="shared" si="73"/>
        <v>0.93060068824557507</v>
      </c>
      <c r="AT167" s="21">
        <f t="shared" si="74"/>
        <v>4.2988879402059537</v>
      </c>
      <c r="AU167" s="31">
        <f t="shared" ca="1" si="82"/>
        <v>5.2409803439545932E-4</v>
      </c>
      <c r="AV167" s="109">
        <f t="shared" ca="1" si="83"/>
        <v>5.2663587022727665E-4</v>
      </c>
      <c r="AW167" s="27" t="e">
        <f t="shared" ca="1" si="84"/>
        <v>#VALUE!</v>
      </c>
      <c r="AX167" s="29" t="e">
        <f t="shared" ca="1" si="85"/>
        <v>#VALUE!</v>
      </c>
      <c r="AY167" s="72"/>
    </row>
    <row r="168" spans="13:51" s="11" customFormat="1" ht="15.6" customHeight="1" x14ac:dyDescent="0.3">
      <c r="M168" s="20">
        <f t="shared" si="86"/>
        <v>138</v>
      </c>
      <c r="N168" s="21">
        <f t="shared" si="87"/>
        <v>2.4150000000000049</v>
      </c>
      <c r="O168" s="22">
        <f t="shared" ca="1" si="59"/>
        <v>150.48414345111519</v>
      </c>
      <c r="P168" s="23">
        <f t="shared" ca="1" si="60"/>
        <v>-1</v>
      </c>
      <c r="Q168" s="22" t="e">
        <f t="shared" ca="1" si="61"/>
        <v>#VALUE!</v>
      </c>
      <c r="R168" s="23">
        <f t="shared" ca="1" si="62"/>
        <v>-1</v>
      </c>
      <c r="S168" s="24" t="e">
        <f t="shared" ca="1" si="63"/>
        <v>#VALUE!</v>
      </c>
      <c r="T168" s="23">
        <f t="shared" ca="1" si="64"/>
        <v>-1</v>
      </c>
      <c r="U168" s="112">
        <f t="shared" si="75"/>
        <v>2.6557163374107254E-2</v>
      </c>
      <c r="V168" s="109">
        <f t="shared" si="76"/>
        <v>-2.6557163374107254E-2</v>
      </c>
      <c r="W168" s="112">
        <f t="shared" si="77"/>
        <v>2.6557163374107254E-2</v>
      </c>
      <c r="X168" s="113">
        <f t="shared" si="78"/>
        <v>-2.6557163374107254E-2</v>
      </c>
      <c r="Y168" s="32"/>
      <c r="Z168" s="32"/>
      <c r="AA168" s="32"/>
      <c r="AB168" s="32"/>
      <c r="AC168" s="32"/>
      <c r="AD168" s="32"/>
      <c r="AE168" s="32"/>
      <c r="AG168" s="26">
        <f t="shared" si="65"/>
        <v>0</v>
      </c>
      <c r="AH168" s="27">
        <f t="shared" si="66"/>
        <v>6.6568936607532062E-2</v>
      </c>
      <c r="AI168" s="28">
        <f t="shared" si="79"/>
        <v>2.6557163374107254E-2</v>
      </c>
      <c r="AJ168" s="27">
        <f t="shared" si="67"/>
        <v>2.6557163374107254E-2</v>
      </c>
      <c r="AK168" s="28">
        <f t="shared" si="68"/>
        <v>3.4178509017220205E-3</v>
      </c>
      <c r="AL168" s="27">
        <f t="shared" si="69"/>
        <v>2.6557163374107254E-2</v>
      </c>
      <c r="AM168" s="28">
        <f t="shared" si="80"/>
        <v>2.6557163374107254E-2</v>
      </c>
      <c r="AN168" s="27">
        <f t="shared" si="81"/>
        <v>-2.6557163374107254E-2</v>
      </c>
      <c r="AO168" s="28">
        <f t="shared" si="70"/>
        <v>-2.6557163374107254E-2</v>
      </c>
      <c r="AP168" s="27">
        <f t="shared" si="71"/>
        <v>-3.4178509017220205E-3</v>
      </c>
      <c r="AQ168" s="29">
        <f t="shared" si="72"/>
        <v>-2.6557163374107254E-2</v>
      </c>
      <c r="AS168" s="30">
        <f t="shared" si="73"/>
        <v>0.9301122511102129</v>
      </c>
      <c r="AT168" s="21">
        <f t="shared" si="74"/>
        <v>4.2836408543647382</v>
      </c>
      <c r="AU168" s="31">
        <f t="shared" ca="1" si="82"/>
        <v>5.2519584079269155E-4</v>
      </c>
      <c r="AV168" s="109">
        <f t="shared" ca="1" si="83"/>
        <v>5.2773017082097251E-4</v>
      </c>
      <c r="AW168" s="27" t="e">
        <f t="shared" ca="1" si="84"/>
        <v>#VALUE!</v>
      </c>
      <c r="AX168" s="29" t="e">
        <f t="shared" ca="1" si="85"/>
        <v>#VALUE!</v>
      </c>
      <c r="AY168" s="72"/>
    </row>
    <row r="169" spans="13:51" s="11" customFormat="1" ht="15.6" customHeight="1" x14ac:dyDescent="0.3">
      <c r="M169" s="20">
        <f t="shared" si="86"/>
        <v>139</v>
      </c>
      <c r="N169" s="21">
        <f t="shared" si="87"/>
        <v>2.432500000000005</v>
      </c>
      <c r="O169" s="22">
        <f t="shared" ca="1" si="59"/>
        <v>150.78109552966509</v>
      </c>
      <c r="P169" s="23">
        <f t="shared" ca="1" si="60"/>
        <v>-1</v>
      </c>
      <c r="Q169" s="22" t="e">
        <f t="shared" ca="1" si="61"/>
        <v>#VALUE!</v>
      </c>
      <c r="R169" s="23">
        <f t="shared" ca="1" si="62"/>
        <v>-1</v>
      </c>
      <c r="S169" s="24" t="e">
        <f t="shared" ca="1" si="63"/>
        <v>#VALUE!</v>
      </c>
      <c r="T169" s="23">
        <f t="shared" ca="1" si="64"/>
        <v>-1</v>
      </c>
      <c r="U169" s="112">
        <f t="shared" si="75"/>
        <v>2.6558292691195282E-2</v>
      </c>
      <c r="V169" s="109">
        <f t="shared" si="76"/>
        <v>-2.6558292691195282E-2</v>
      </c>
      <c r="W169" s="112">
        <f t="shared" si="77"/>
        <v>2.6558292691195282E-2</v>
      </c>
      <c r="X169" s="113">
        <f t="shared" si="78"/>
        <v>-2.6558292691195282E-2</v>
      </c>
      <c r="Y169" s="32"/>
      <c r="Z169" s="32"/>
      <c r="AA169" s="32"/>
      <c r="AB169" s="32"/>
      <c r="AC169" s="32"/>
      <c r="AD169" s="32"/>
      <c r="AE169" s="32"/>
      <c r="AG169" s="26">
        <f t="shared" si="65"/>
        <v>0</v>
      </c>
      <c r="AH169" s="27">
        <f t="shared" si="66"/>
        <v>6.657176738567594E-2</v>
      </c>
      <c r="AI169" s="28">
        <f t="shared" si="79"/>
        <v>2.6558292691195282E-2</v>
      </c>
      <c r="AJ169" s="27">
        <f t="shared" si="67"/>
        <v>2.6558292691195282E-2</v>
      </c>
      <c r="AK169" s="28">
        <f t="shared" si="68"/>
        <v>3.4056790988126794E-3</v>
      </c>
      <c r="AL169" s="27">
        <f t="shared" si="69"/>
        <v>2.6558292691195282E-2</v>
      </c>
      <c r="AM169" s="28">
        <f t="shared" si="80"/>
        <v>2.6558292691195282E-2</v>
      </c>
      <c r="AN169" s="27">
        <f t="shared" si="81"/>
        <v>-2.6558292691195282E-2</v>
      </c>
      <c r="AO169" s="28">
        <f t="shared" si="70"/>
        <v>-2.6558292691195282E-2</v>
      </c>
      <c r="AP169" s="27">
        <f t="shared" si="71"/>
        <v>-3.4056790988126794E-3</v>
      </c>
      <c r="AQ169" s="29">
        <f t="shared" si="72"/>
        <v>-2.6558292691195282E-2</v>
      </c>
      <c r="AS169" s="30">
        <f t="shared" si="73"/>
        <v>0.92962407033704586</v>
      </c>
      <c r="AT169" s="21">
        <f t="shared" si="74"/>
        <v>4.2683857617018433</v>
      </c>
      <c r="AU169" s="31">
        <f t="shared" ca="1" si="82"/>
        <v>5.2628295844081574E-4</v>
      </c>
      <c r="AV169" s="109">
        <f t="shared" ca="1" si="83"/>
        <v>5.288137774095425E-4</v>
      </c>
      <c r="AW169" s="27" t="e">
        <f t="shared" ca="1" si="84"/>
        <v>#VALUE!</v>
      </c>
      <c r="AX169" s="29" t="e">
        <f t="shared" ca="1" si="85"/>
        <v>#VALUE!</v>
      </c>
      <c r="AY169" s="72"/>
    </row>
    <row r="170" spans="13:51" s="11" customFormat="1" ht="15.6" customHeight="1" x14ac:dyDescent="0.3">
      <c r="M170" s="20">
        <f t="shared" si="86"/>
        <v>140</v>
      </c>
      <c r="N170" s="21">
        <f t="shared" si="87"/>
        <v>2.4500000000000051</v>
      </c>
      <c r="O170" s="22">
        <f t="shared" ca="1" si="59"/>
        <v>151.07737565097253</v>
      </c>
      <c r="P170" s="23">
        <f t="shared" ca="1" si="60"/>
        <v>-1</v>
      </c>
      <c r="Q170" s="22" t="e">
        <f t="shared" ca="1" si="61"/>
        <v>#VALUE!</v>
      </c>
      <c r="R170" s="23">
        <f t="shared" ca="1" si="62"/>
        <v>-1</v>
      </c>
      <c r="S170" s="24" t="e">
        <f t="shared" ca="1" si="63"/>
        <v>#VALUE!</v>
      </c>
      <c r="T170" s="23">
        <f t="shared" ca="1" si="64"/>
        <v>-1</v>
      </c>
      <c r="U170" s="112">
        <f t="shared" si="75"/>
        <v>2.6558345460906185E-2</v>
      </c>
      <c r="V170" s="109">
        <f t="shared" si="76"/>
        <v>-2.6558345460906185E-2</v>
      </c>
      <c r="W170" s="112">
        <f t="shared" si="77"/>
        <v>2.6558345460906185E-2</v>
      </c>
      <c r="X170" s="113">
        <f t="shared" si="78"/>
        <v>-2.6558345460906185E-2</v>
      </c>
      <c r="Y170" s="32"/>
      <c r="Z170" s="32"/>
      <c r="AA170" s="32"/>
      <c r="AB170" s="32"/>
      <c r="AC170" s="32"/>
      <c r="AD170" s="32"/>
      <c r="AE170" s="32"/>
      <c r="AG170" s="26">
        <f t="shared" si="65"/>
        <v>0</v>
      </c>
      <c r="AH170" s="27">
        <f t="shared" si="66"/>
        <v>6.6571899659725334E-2</v>
      </c>
      <c r="AI170" s="28">
        <f t="shared" si="79"/>
        <v>2.6558345460906185E-2</v>
      </c>
      <c r="AJ170" s="27">
        <f t="shared" si="67"/>
        <v>2.6558345460906185E-2</v>
      </c>
      <c r="AK170" s="28">
        <f t="shared" si="68"/>
        <v>3.3935009040290949E-3</v>
      </c>
      <c r="AL170" s="27">
        <f t="shared" si="69"/>
        <v>2.6558345460906185E-2</v>
      </c>
      <c r="AM170" s="28">
        <f t="shared" si="80"/>
        <v>2.6558345460906185E-2</v>
      </c>
      <c r="AN170" s="27">
        <f t="shared" si="81"/>
        <v>-2.6558345460906185E-2</v>
      </c>
      <c r="AO170" s="28">
        <f t="shared" si="70"/>
        <v>-2.6558345460906185E-2</v>
      </c>
      <c r="AP170" s="27">
        <f t="shared" si="71"/>
        <v>-3.3935009040290953E-3</v>
      </c>
      <c r="AQ170" s="29">
        <f t="shared" si="72"/>
        <v>-2.6558345460906185E-2</v>
      </c>
      <c r="AS170" s="30">
        <f t="shared" si="73"/>
        <v>0.92913614579151915</v>
      </c>
      <c r="AT170" s="21">
        <f t="shared" si="74"/>
        <v>4.2531226580125949</v>
      </c>
      <c r="AU170" s="31">
        <f t="shared" ca="1" si="82"/>
        <v>5.2735931277636539E-4</v>
      </c>
      <c r="AV170" s="109">
        <f t="shared" ca="1" si="83"/>
        <v>5.2988661558461825E-4</v>
      </c>
      <c r="AW170" s="27" t="e">
        <f t="shared" ca="1" si="84"/>
        <v>#VALUE!</v>
      </c>
      <c r="AX170" s="29" t="e">
        <f t="shared" ca="1" si="85"/>
        <v>#VALUE!</v>
      </c>
      <c r="AY170" s="72"/>
    </row>
    <row r="171" spans="13:51" s="11" customFormat="1" ht="15.6" customHeight="1" x14ac:dyDescent="0.3">
      <c r="M171" s="20">
        <f t="shared" si="86"/>
        <v>141</v>
      </c>
      <c r="N171" s="21">
        <f t="shared" si="87"/>
        <v>2.4675000000000051</v>
      </c>
      <c r="O171" s="22">
        <f t="shared" ca="1" si="59"/>
        <v>151.37297560613573</v>
      </c>
      <c r="P171" s="23">
        <f t="shared" ca="1" si="60"/>
        <v>-1</v>
      </c>
      <c r="Q171" s="22" t="e">
        <f t="shared" ca="1" si="61"/>
        <v>#VALUE!</v>
      </c>
      <c r="R171" s="23">
        <f t="shared" ca="1" si="62"/>
        <v>-1</v>
      </c>
      <c r="S171" s="24" t="e">
        <f t="shared" ca="1" si="63"/>
        <v>#VALUE!</v>
      </c>
      <c r="T171" s="23">
        <f t="shared" ca="1" si="64"/>
        <v>-1</v>
      </c>
      <c r="U171" s="112">
        <f t="shared" si="75"/>
        <v>2.6557328455650807E-2</v>
      </c>
      <c r="V171" s="109">
        <f t="shared" si="76"/>
        <v>-2.6557328455650807E-2</v>
      </c>
      <c r="W171" s="112">
        <f t="shared" si="77"/>
        <v>2.6557328455650807E-2</v>
      </c>
      <c r="X171" s="113">
        <f t="shared" si="78"/>
        <v>-2.6557328455650807E-2</v>
      </c>
      <c r="Y171" s="32"/>
      <c r="Z171" s="32"/>
      <c r="AA171" s="32"/>
      <c r="AB171" s="32"/>
      <c r="AC171" s="32"/>
      <c r="AD171" s="32"/>
      <c r="AE171" s="32"/>
      <c r="AG171" s="26">
        <f t="shared" si="65"/>
        <v>0</v>
      </c>
      <c r="AH171" s="27">
        <f t="shared" si="66"/>
        <v>6.656935040559675E-2</v>
      </c>
      <c r="AI171" s="28">
        <f t="shared" si="79"/>
        <v>2.6557328455650807E-2</v>
      </c>
      <c r="AJ171" s="27">
        <f t="shared" si="67"/>
        <v>2.6557328455650807E-2</v>
      </c>
      <c r="AK171" s="28">
        <f t="shared" si="68"/>
        <v>3.3813163140146447E-3</v>
      </c>
      <c r="AL171" s="27">
        <f t="shared" si="69"/>
        <v>2.6557328455650807E-2</v>
      </c>
      <c r="AM171" s="28">
        <f t="shared" si="80"/>
        <v>2.6558345460906185E-2</v>
      </c>
      <c r="AN171" s="27">
        <f t="shared" si="81"/>
        <v>-2.6557328455650807E-2</v>
      </c>
      <c r="AO171" s="28">
        <f t="shared" si="70"/>
        <v>-2.6557328455650807E-2</v>
      </c>
      <c r="AP171" s="27">
        <f t="shared" si="71"/>
        <v>-3.3813163140146447E-3</v>
      </c>
      <c r="AQ171" s="29">
        <f t="shared" si="72"/>
        <v>-2.6557328455650807E-2</v>
      </c>
      <c r="AS171" s="30">
        <f t="shared" si="73"/>
        <v>0.92864847733914846</v>
      </c>
      <c r="AT171" s="21">
        <f t="shared" si="74"/>
        <v>4.2378515390900908</v>
      </c>
      <c r="AU171" s="31">
        <f t="shared" ca="1" si="82"/>
        <v>5.2842482960124837E-4</v>
      </c>
      <c r="AV171" s="109">
        <f t="shared" ca="1" si="83"/>
        <v>5.3094861130431603E-4</v>
      </c>
      <c r="AW171" s="27" t="e">
        <f t="shared" ca="1" si="84"/>
        <v>#VALUE!</v>
      </c>
      <c r="AX171" s="29" t="e">
        <f t="shared" ca="1" si="85"/>
        <v>#VALUE!</v>
      </c>
      <c r="AY171" s="72"/>
    </row>
    <row r="172" spans="13:51" s="11" customFormat="1" ht="15.6" customHeight="1" x14ac:dyDescent="0.3">
      <c r="M172" s="20">
        <f t="shared" si="86"/>
        <v>142</v>
      </c>
      <c r="N172" s="21">
        <f t="shared" si="87"/>
        <v>2.4850000000000052</v>
      </c>
      <c r="O172" s="22">
        <f t="shared" ca="1" si="59"/>
        <v>151.66788718625298</v>
      </c>
      <c r="P172" s="23">
        <f t="shared" ca="1" si="60"/>
        <v>-1</v>
      </c>
      <c r="Q172" s="22" t="e">
        <f t="shared" ca="1" si="61"/>
        <v>#VALUE!</v>
      </c>
      <c r="R172" s="23">
        <f t="shared" ca="1" si="62"/>
        <v>-1</v>
      </c>
      <c r="S172" s="24" t="e">
        <f t="shared" ca="1" si="63"/>
        <v>#VALUE!</v>
      </c>
      <c r="T172" s="23">
        <f t="shared" ca="1" si="64"/>
        <v>-1</v>
      </c>
      <c r="U172" s="112">
        <f t="shared" si="75"/>
        <v>2.655524833434009E-2</v>
      </c>
      <c r="V172" s="109">
        <f t="shared" si="76"/>
        <v>-2.655524833434009E-2</v>
      </c>
      <c r="W172" s="112">
        <f t="shared" si="77"/>
        <v>2.655524833434009E-2</v>
      </c>
      <c r="X172" s="113">
        <f t="shared" si="78"/>
        <v>-2.655524833434009E-2</v>
      </c>
      <c r="Y172" s="32"/>
      <c r="Z172" s="32"/>
      <c r="AA172" s="32"/>
      <c r="AB172" s="32"/>
      <c r="AC172" s="32"/>
      <c r="AD172" s="32"/>
      <c r="AE172" s="32"/>
      <c r="AG172" s="26">
        <f t="shared" si="65"/>
        <v>0</v>
      </c>
      <c r="AH172" s="27">
        <f t="shared" si="66"/>
        <v>6.6564136314704647E-2</v>
      </c>
      <c r="AI172" s="28">
        <f t="shared" si="79"/>
        <v>2.655524833434009E-2</v>
      </c>
      <c r="AJ172" s="27">
        <f t="shared" si="67"/>
        <v>2.655524833434009E-2</v>
      </c>
      <c r="AK172" s="28">
        <f t="shared" si="68"/>
        <v>3.3691253254109566E-3</v>
      </c>
      <c r="AL172" s="27">
        <f t="shared" si="69"/>
        <v>2.655524833434009E-2</v>
      </c>
      <c r="AM172" s="28">
        <f t="shared" si="80"/>
        <v>2.6558345460906185E-2</v>
      </c>
      <c r="AN172" s="27">
        <f t="shared" si="81"/>
        <v>-2.655524833434009E-2</v>
      </c>
      <c r="AO172" s="28">
        <f t="shared" si="70"/>
        <v>-2.655524833434009E-2</v>
      </c>
      <c r="AP172" s="27">
        <f t="shared" si="71"/>
        <v>-3.3691253254109566E-3</v>
      </c>
      <c r="AQ172" s="29">
        <f t="shared" si="72"/>
        <v>-2.655524833434009E-2</v>
      </c>
      <c r="AS172" s="30">
        <f t="shared" si="73"/>
        <v>0.9281610648455203</v>
      </c>
      <c r="AT172" s="21">
        <f t="shared" si="74"/>
        <v>4.2225724007252365</v>
      </c>
      <c r="AU172" s="31">
        <f t="shared" ca="1" si="82"/>
        <v>5.2947943508363515E-4</v>
      </c>
      <c r="AV172" s="109">
        <f t="shared" ca="1" si="83"/>
        <v>5.3199969089368082E-4</v>
      </c>
      <c r="AW172" s="27" t="e">
        <f t="shared" ca="1" si="84"/>
        <v>#VALUE!</v>
      </c>
      <c r="AX172" s="29" t="e">
        <f t="shared" ca="1" si="85"/>
        <v>#VALUE!</v>
      </c>
      <c r="AY172" s="72"/>
    </row>
    <row r="173" spans="13:51" s="11" customFormat="1" ht="15.6" customHeight="1" x14ac:dyDescent="0.3">
      <c r="M173" s="20">
        <f t="shared" si="86"/>
        <v>143</v>
      </c>
      <c r="N173" s="21">
        <f t="shared" si="87"/>
        <v>2.5025000000000053</v>
      </c>
      <c r="O173" s="22">
        <f t="shared" ca="1" si="59"/>
        <v>151.96210218242251</v>
      </c>
      <c r="P173" s="23">
        <f t="shared" ca="1" si="60"/>
        <v>-1</v>
      </c>
      <c r="Q173" s="22" t="e">
        <f t="shared" ca="1" si="61"/>
        <v>#VALUE!</v>
      </c>
      <c r="R173" s="23">
        <f t="shared" ca="1" si="62"/>
        <v>-1</v>
      </c>
      <c r="S173" s="24" t="e">
        <f t="shared" ca="1" si="63"/>
        <v>#VALUE!</v>
      </c>
      <c r="T173" s="23">
        <f t="shared" ca="1" si="64"/>
        <v>-1</v>
      </c>
      <c r="U173" s="112">
        <f t="shared" si="75"/>
        <v>2.6552111645061636E-2</v>
      </c>
      <c r="V173" s="109">
        <f t="shared" si="76"/>
        <v>-2.6552111645061636E-2</v>
      </c>
      <c r="W173" s="112">
        <f t="shared" si="77"/>
        <v>2.6552111645061636E-2</v>
      </c>
      <c r="X173" s="113">
        <f t="shared" si="78"/>
        <v>-2.6552111645061636E-2</v>
      </c>
      <c r="Y173" s="32"/>
      <c r="Z173" s="32"/>
      <c r="AA173" s="32"/>
      <c r="AB173" s="32"/>
      <c r="AC173" s="32"/>
      <c r="AD173" s="32"/>
      <c r="AE173" s="32"/>
      <c r="AG173" s="26">
        <f t="shared" si="65"/>
        <v>0</v>
      </c>
      <c r="AH173" s="27">
        <f t="shared" si="66"/>
        <v>6.6556273800670543E-2</v>
      </c>
      <c r="AI173" s="28">
        <f t="shared" si="79"/>
        <v>2.6552111645061636E-2</v>
      </c>
      <c r="AJ173" s="27">
        <f t="shared" si="67"/>
        <v>2.6552111645061636E-2</v>
      </c>
      <c r="AK173" s="28">
        <f t="shared" si="68"/>
        <v>3.3569279348578864E-3</v>
      </c>
      <c r="AL173" s="27">
        <f t="shared" si="69"/>
        <v>2.6552111645061636E-2</v>
      </c>
      <c r="AM173" s="28">
        <f t="shared" si="80"/>
        <v>2.6558345460906185E-2</v>
      </c>
      <c r="AN173" s="27">
        <f t="shared" si="81"/>
        <v>-2.6552111645061636E-2</v>
      </c>
      <c r="AO173" s="28">
        <f t="shared" si="70"/>
        <v>-2.6552111645061636E-2</v>
      </c>
      <c r="AP173" s="27">
        <f t="shared" si="71"/>
        <v>-3.3569279348578864E-3</v>
      </c>
      <c r="AQ173" s="29">
        <f t="shared" si="72"/>
        <v>-2.6552111645061636E-2</v>
      </c>
      <c r="AS173" s="30">
        <f t="shared" si="73"/>
        <v>0.92767390817629147</v>
      </c>
      <c r="AT173" s="21">
        <f t="shared" si="74"/>
        <v>4.2072852387067154</v>
      </c>
      <c r="AU173" s="31">
        <f t="shared" ca="1" si="82"/>
        <v>5.3052305575806979E-4</v>
      </c>
      <c r="AV173" s="109">
        <f t="shared" ca="1" si="83"/>
        <v>5.3303978104524141E-4</v>
      </c>
      <c r="AW173" s="27" t="e">
        <f t="shared" ca="1" si="84"/>
        <v>#VALUE!</v>
      </c>
      <c r="AX173" s="29" t="e">
        <f t="shared" ca="1" si="85"/>
        <v>#VALUE!</v>
      </c>
      <c r="AY173" s="72"/>
    </row>
    <row r="174" spans="13:51" s="11" customFormat="1" ht="15.6" customHeight="1" x14ac:dyDescent="0.3">
      <c r="M174" s="20">
        <f t="shared" si="86"/>
        <v>144</v>
      </c>
      <c r="N174" s="21">
        <f t="shared" si="87"/>
        <v>2.5200000000000053</v>
      </c>
      <c r="O174" s="22">
        <f t="shared" ca="1" si="59"/>
        <v>152.25561238574261</v>
      </c>
      <c r="P174" s="23">
        <f t="shared" ca="1" si="60"/>
        <v>-1</v>
      </c>
      <c r="Q174" s="22" t="e">
        <f t="shared" ca="1" si="61"/>
        <v>#VALUE!</v>
      </c>
      <c r="R174" s="23">
        <f t="shared" ca="1" si="62"/>
        <v>-1</v>
      </c>
      <c r="S174" s="24" t="e">
        <f t="shared" ca="1" si="63"/>
        <v>#VALUE!</v>
      </c>
      <c r="T174" s="23">
        <f t="shared" ca="1" si="64"/>
        <v>-1</v>
      </c>
      <c r="U174" s="112">
        <f t="shared" si="75"/>
        <v>2.6547924827674544E-2</v>
      </c>
      <c r="V174" s="109">
        <f t="shared" si="76"/>
        <v>-2.6547924827674544E-2</v>
      </c>
      <c r="W174" s="112">
        <f t="shared" si="77"/>
        <v>2.6547924827674544E-2</v>
      </c>
      <c r="X174" s="113">
        <f t="shared" si="78"/>
        <v>-2.6547924827674544E-2</v>
      </c>
      <c r="Y174" s="32"/>
      <c r="Z174" s="32"/>
      <c r="AA174" s="32"/>
      <c r="AB174" s="32"/>
      <c r="AC174" s="32"/>
      <c r="AD174" s="32"/>
      <c r="AE174" s="32"/>
      <c r="AG174" s="26">
        <f t="shared" si="65"/>
        <v>0</v>
      </c>
      <c r="AH174" s="27">
        <f t="shared" si="66"/>
        <v>6.6545779005827338E-2</v>
      </c>
      <c r="AI174" s="28">
        <f t="shared" si="79"/>
        <v>2.6547924827674544E-2</v>
      </c>
      <c r="AJ174" s="27">
        <f t="shared" si="67"/>
        <v>2.6547924827674544E-2</v>
      </c>
      <c r="AK174" s="28">
        <f t="shared" si="68"/>
        <v>3.3447241389935266E-3</v>
      </c>
      <c r="AL174" s="27">
        <f t="shared" si="69"/>
        <v>2.6547924827674544E-2</v>
      </c>
      <c r="AM174" s="28">
        <f t="shared" si="80"/>
        <v>2.6558345460906185E-2</v>
      </c>
      <c r="AN174" s="27">
        <f t="shared" si="81"/>
        <v>-2.6547924827674544E-2</v>
      </c>
      <c r="AO174" s="28">
        <f t="shared" si="70"/>
        <v>-2.6547924827674544E-2</v>
      </c>
      <c r="AP174" s="27">
        <f t="shared" si="71"/>
        <v>-3.3447241389935266E-3</v>
      </c>
      <c r="AQ174" s="29">
        <f t="shared" si="72"/>
        <v>-2.6547924827674544E-2</v>
      </c>
      <c r="AS174" s="30">
        <f t="shared" si="73"/>
        <v>0.92718700719718938</v>
      </c>
      <c r="AT174" s="21">
        <f t="shared" si="74"/>
        <v>4.1919900488210002</v>
      </c>
      <c r="AU174" s="31">
        <f t="shared" ca="1" si="82"/>
        <v>5.3155561852535893E-4</v>
      </c>
      <c r="AV174" s="109">
        <f t="shared" ca="1" si="83"/>
        <v>5.3406880881878838E-4</v>
      </c>
      <c r="AW174" s="27" t="e">
        <f t="shared" ca="1" si="84"/>
        <v>#VALUE!</v>
      </c>
      <c r="AX174" s="29" t="e">
        <f t="shared" ca="1" si="85"/>
        <v>#VALUE!</v>
      </c>
      <c r="AY174" s="72"/>
    </row>
    <row r="175" spans="13:51" s="11" customFormat="1" ht="15.6" customHeight="1" x14ac:dyDescent="0.3">
      <c r="M175" s="20">
        <f t="shared" si="86"/>
        <v>145</v>
      </c>
      <c r="N175" s="21">
        <f t="shared" si="87"/>
        <v>2.5375000000000054</v>
      </c>
      <c r="O175" s="22">
        <f t="shared" ca="1" si="59"/>
        <v>152.54840958731151</v>
      </c>
      <c r="P175" s="23">
        <f t="shared" ca="1" si="60"/>
        <v>-1</v>
      </c>
      <c r="Q175" s="22" t="e">
        <f t="shared" ca="1" si="61"/>
        <v>#VALUE!</v>
      </c>
      <c r="R175" s="23">
        <f t="shared" ca="1" si="62"/>
        <v>-1</v>
      </c>
      <c r="S175" s="24" t="e">
        <f t="shared" ca="1" si="63"/>
        <v>#VALUE!</v>
      </c>
      <c r="T175" s="23">
        <f t="shared" ca="1" si="64"/>
        <v>-1</v>
      </c>
      <c r="U175" s="112">
        <f t="shared" si="75"/>
        <v>2.6542694216325172E-2</v>
      </c>
      <c r="V175" s="109">
        <f t="shared" si="76"/>
        <v>-2.6542694216325172E-2</v>
      </c>
      <c r="W175" s="112">
        <f t="shared" si="77"/>
        <v>2.6542694216325172E-2</v>
      </c>
      <c r="X175" s="113">
        <f t="shared" si="78"/>
        <v>-2.6542694216325172E-2</v>
      </c>
      <c r="Y175" s="32"/>
      <c r="Z175" s="32"/>
      <c r="AA175" s="32"/>
      <c r="AB175" s="32"/>
      <c r="AC175" s="32"/>
      <c r="AD175" s="32"/>
      <c r="AE175" s="32"/>
      <c r="AG175" s="26">
        <f t="shared" si="65"/>
        <v>0</v>
      </c>
      <c r="AH175" s="27">
        <f t="shared" si="66"/>
        <v>6.6532667807525397E-2</v>
      </c>
      <c r="AI175" s="28">
        <f t="shared" si="79"/>
        <v>2.6542694216325172E-2</v>
      </c>
      <c r="AJ175" s="27">
        <f t="shared" si="67"/>
        <v>2.6542694216325172E-2</v>
      </c>
      <c r="AK175" s="28">
        <f t="shared" si="68"/>
        <v>3.3325139344542094E-3</v>
      </c>
      <c r="AL175" s="27">
        <f t="shared" si="69"/>
        <v>2.6542694216325172E-2</v>
      </c>
      <c r="AM175" s="28">
        <f t="shared" si="80"/>
        <v>2.6558345460906185E-2</v>
      </c>
      <c r="AN175" s="27">
        <f t="shared" si="81"/>
        <v>-2.6542694216325172E-2</v>
      </c>
      <c r="AO175" s="28">
        <f t="shared" si="70"/>
        <v>-2.6542694216325172E-2</v>
      </c>
      <c r="AP175" s="27">
        <f t="shared" si="71"/>
        <v>-3.3325139344542098E-3</v>
      </c>
      <c r="AQ175" s="29">
        <f t="shared" si="72"/>
        <v>-2.6542694216325172E-2</v>
      </c>
      <c r="AS175" s="30">
        <f t="shared" si="73"/>
        <v>0.92670036177401205</v>
      </c>
      <c r="AT175" s="21">
        <f t="shared" si="74"/>
        <v>4.1766868268523609</v>
      </c>
      <c r="AU175" s="31">
        <f t="shared" ca="1" si="82"/>
        <v>5.3257705065357097E-4</v>
      </c>
      <c r="AV175" s="109">
        <f t="shared" ca="1" si="83"/>
        <v>5.350867016420402E-4</v>
      </c>
      <c r="AW175" s="27" t="e">
        <f t="shared" ca="1" si="84"/>
        <v>#VALUE!</v>
      </c>
      <c r="AX175" s="29" t="e">
        <f t="shared" ca="1" si="85"/>
        <v>#VALUE!</v>
      </c>
      <c r="AY175" s="72"/>
    </row>
    <row r="176" spans="13:51" s="11" customFormat="1" ht="15.6" customHeight="1" x14ac:dyDescent="0.3">
      <c r="M176" s="20">
        <f t="shared" si="86"/>
        <v>146</v>
      </c>
      <c r="N176" s="21">
        <f t="shared" si="87"/>
        <v>2.5550000000000055</v>
      </c>
      <c r="O176" s="22">
        <f t="shared" ca="1" si="59"/>
        <v>152.84048557822749</v>
      </c>
      <c r="P176" s="23">
        <f t="shared" ca="1" si="60"/>
        <v>-1</v>
      </c>
      <c r="Q176" s="22" t="e">
        <f t="shared" ca="1" si="61"/>
        <v>#VALUE!</v>
      </c>
      <c r="R176" s="23">
        <f t="shared" ca="1" si="62"/>
        <v>-1</v>
      </c>
      <c r="S176" s="24" t="e">
        <f t="shared" ca="1" si="63"/>
        <v>#VALUE!</v>
      </c>
      <c r="T176" s="23">
        <f t="shared" ca="1" si="64"/>
        <v>-1</v>
      </c>
      <c r="U176" s="112">
        <f t="shared" si="75"/>
        <v>2.6536426041886822E-2</v>
      </c>
      <c r="V176" s="109">
        <f t="shared" si="76"/>
        <v>-2.6536426041886822E-2</v>
      </c>
      <c r="W176" s="112">
        <f t="shared" si="77"/>
        <v>2.6536426041886822E-2</v>
      </c>
      <c r="X176" s="113">
        <f t="shared" si="78"/>
        <v>-2.6536426041886822E-2</v>
      </c>
      <c r="Y176" s="32"/>
      <c r="Z176" s="32"/>
      <c r="AA176" s="32"/>
      <c r="AB176" s="32"/>
      <c r="AC176" s="32"/>
      <c r="AD176" s="32"/>
      <c r="AE176" s="32"/>
      <c r="AG176" s="26">
        <f t="shared" si="65"/>
        <v>0</v>
      </c>
      <c r="AH176" s="27">
        <f t="shared" si="66"/>
        <v>6.6516955824247909E-2</v>
      </c>
      <c r="AI176" s="28">
        <f t="shared" si="79"/>
        <v>2.6536426041886822E-2</v>
      </c>
      <c r="AJ176" s="27">
        <f t="shared" si="67"/>
        <v>2.6536426041886822E-2</v>
      </c>
      <c r="AK176" s="28">
        <f t="shared" si="68"/>
        <v>3.320297317874497E-3</v>
      </c>
      <c r="AL176" s="27">
        <f t="shared" si="69"/>
        <v>2.6536426041886822E-2</v>
      </c>
      <c r="AM176" s="28">
        <f t="shared" si="80"/>
        <v>2.6558345460906185E-2</v>
      </c>
      <c r="AN176" s="27">
        <f t="shared" si="81"/>
        <v>-2.6536426041886822E-2</v>
      </c>
      <c r="AO176" s="28">
        <f t="shared" si="70"/>
        <v>-2.6536426041886822E-2</v>
      </c>
      <c r="AP176" s="27">
        <f t="shared" si="71"/>
        <v>-3.3202973178744974E-3</v>
      </c>
      <c r="AQ176" s="29">
        <f t="shared" si="72"/>
        <v>-2.6536426041886822E-2</v>
      </c>
      <c r="AS176" s="30">
        <f t="shared" si="73"/>
        <v>0.92621397177262788</v>
      </c>
      <c r="AT176" s="21">
        <f t="shared" si="74"/>
        <v>4.1613755685828444</v>
      </c>
      <c r="AU176" s="31">
        <f t="shared" ca="1" si="82"/>
        <v>5.3358727977792508E-4</v>
      </c>
      <c r="AV176" s="109">
        <f t="shared" ca="1" si="83"/>
        <v>5.3609338731064327E-4</v>
      </c>
      <c r="AW176" s="27" t="e">
        <f t="shared" ca="1" si="84"/>
        <v>#VALUE!</v>
      </c>
      <c r="AX176" s="29" t="e">
        <f t="shared" ca="1" si="85"/>
        <v>#VALUE!</v>
      </c>
      <c r="AY176" s="72"/>
    </row>
    <row r="177" spans="13:51" s="11" customFormat="1" ht="15.6" customHeight="1" x14ac:dyDescent="0.3">
      <c r="M177" s="20">
        <f t="shared" si="86"/>
        <v>147</v>
      </c>
      <c r="N177" s="21">
        <f t="shared" si="87"/>
        <v>2.5725000000000056</v>
      </c>
      <c r="O177" s="22">
        <f t="shared" ca="1" si="59"/>
        <v>153.13183214958883</v>
      </c>
      <c r="P177" s="23">
        <f t="shared" ca="1" si="60"/>
        <v>-1</v>
      </c>
      <c r="Q177" s="22" t="e">
        <f t="shared" ca="1" si="61"/>
        <v>#VALUE!</v>
      </c>
      <c r="R177" s="23">
        <f t="shared" ca="1" si="62"/>
        <v>-1</v>
      </c>
      <c r="S177" s="24" t="e">
        <f t="shared" ca="1" si="63"/>
        <v>#VALUE!</v>
      </c>
      <c r="T177" s="23">
        <f t="shared" ca="1" si="64"/>
        <v>-1</v>
      </c>
      <c r="U177" s="112">
        <f t="shared" si="75"/>
        <v>2.652912643432628E-2</v>
      </c>
      <c r="V177" s="109">
        <f t="shared" si="76"/>
        <v>-2.652912643432628E-2</v>
      </c>
      <c r="W177" s="112">
        <f t="shared" si="77"/>
        <v>2.652912643432628E-2</v>
      </c>
      <c r="X177" s="113">
        <f t="shared" si="78"/>
        <v>-2.652912643432628E-2</v>
      </c>
      <c r="Y177" s="32"/>
      <c r="Z177" s="32"/>
      <c r="AA177" s="32"/>
      <c r="AB177" s="32"/>
      <c r="AC177" s="32"/>
      <c r="AD177" s="32"/>
      <c r="AE177" s="32"/>
      <c r="AG177" s="26">
        <f t="shared" si="65"/>
        <v>0</v>
      </c>
      <c r="AH177" s="27">
        <f t="shared" si="66"/>
        <v>6.6498658421542942E-2</v>
      </c>
      <c r="AI177" s="28">
        <f t="shared" si="79"/>
        <v>2.652912643432628E-2</v>
      </c>
      <c r="AJ177" s="27">
        <f t="shared" si="67"/>
        <v>2.652912643432628E-2</v>
      </c>
      <c r="AK177" s="28">
        <f t="shared" si="68"/>
        <v>3.3080742858871827E-3</v>
      </c>
      <c r="AL177" s="27">
        <f t="shared" si="69"/>
        <v>2.652912643432628E-2</v>
      </c>
      <c r="AM177" s="28">
        <f t="shared" si="80"/>
        <v>2.6558345460906185E-2</v>
      </c>
      <c r="AN177" s="27">
        <f t="shared" si="81"/>
        <v>-2.652912643432628E-2</v>
      </c>
      <c r="AO177" s="28">
        <f t="shared" si="70"/>
        <v>-2.652912643432628E-2</v>
      </c>
      <c r="AP177" s="27">
        <f t="shared" si="71"/>
        <v>-3.3080742858871827E-3</v>
      </c>
      <c r="AQ177" s="29">
        <f t="shared" si="72"/>
        <v>-2.652912643432628E-2</v>
      </c>
      <c r="AS177" s="30">
        <f t="shared" si="73"/>
        <v>0.92572783705897543</v>
      </c>
      <c r="AT177" s="21">
        <f t="shared" si="74"/>
        <v>4.1460562697922834</v>
      </c>
      <c r="AU177" s="31">
        <f t="shared" ca="1" si="82"/>
        <v>5.3458623390056914E-4</v>
      </c>
      <c r="AV177" s="109">
        <f t="shared" ca="1" si="83"/>
        <v>5.3708879398883802E-4</v>
      </c>
      <c r="AW177" s="27" t="e">
        <f t="shared" ca="1" si="84"/>
        <v>#VALUE!</v>
      </c>
      <c r="AX177" s="29" t="e">
        <f t="shared" ca="1" si="85"/>
        <v>#VALUE!</v>
      </c>
      <c r="AY177" s="72"/>
    </row>
    <row r="178" spans="13:51" s="11" customFormat="1" ht="15.6" customHeight="1" x14ac:dyDescent="0.3">
      <c r="M178" s="20">
        <f t="shared" si="86"/>
        <v>148</v>
      </c>
      <c r="N178" s="21">
        <f t="shared" si="87"/>
        <v>2.5900000000000056</v>
      </c>
      <c r="O178" s="22">
        <f t="shared" ca="1" si="59"/>
        <v>153.42244109249373</v>
      </c>
      <c r="P178" s="23">
        <f t="shared" ca="1" si="60"/>
        <v>-1</v>
      </c>
      <c r="Q178" s="22" t="e">
        <f t="shared" ca="1" si="61"/>
        <v>#VALUE!</v>
      </c>
      <c r="R178" s="23">
        <f t="shared" ca="1" si="62"/>
        <v>-1</v>
      </c>
      <c r="S178" s="24" t="e">
        <f t="shared" ca="1" si="63"/>
        <v>#VALUE!</v>
      </c>
      <c r="T178" s="23">
        <f t="shared" ca="1" si="64"/>
        <v>-1</v>
      </c>
      <c r="U178" s="112">
        <f t="shared" si="75"/>
        <v>2.652080142499989E-2</v>
      </c>
      <c r="V178" s="109">
        <f t="shared" si="76"/>
        <v>-2.652080142499989E-2</v>
      </c>
      <c r="W178" s="112">
        <f t="shared" si="77"/>
        <v>2.652080142499989E-2</v>
      </c>
      <c r="X178" s="113">
        <f t="shared" si="78"/>
        <v>-2.652080142499989E-2</v>
      </c>
      <c r="Y178" s="32"/>
      <c r="Z178" s="32"/>
      <c r="AA178" s="32"/>
      <c r="AB178" s="32"/>
      <c r="AC178" s="32"/>
      <c r="AD178" s="32"/>
      <c r="AE178" s="32"/>
      <c r="AG178" s="26">
        <f t="shared" si="65"/>
        <v>0</v>
      </c>
      <c r="AH178" s="27">
        <f t="shared" si="66"/>
        <v>6.6477790717778845E-2</v>
      </c>
      <c r="AI178" s="28">
        <f t="shared" si="79"/>
        <v>2.652080142499989E-2</v>
      </c>
      <c r="AJ178" s="27">
        <f t="shared" si="67"/>
        <v>2.652080142499989E-2</v>
      </c>
      <c r="AK178" s="28">
        <f t="shared" si="68"/>
        <v>3.2958448351232909E-3</v>
      </c>
      <c r="AL178" s="27">
        <f t="shared" si="69"/>
        <v>2.652080142499989E-2</v>
      </c>
      <c r="AM178" s="28">
        <f t="shared" si="80"/>
        <v>2.6558345460906185E-2</v>
      </c>
      <c r="AN178" s="27">
        <f t="shared" si="81"/>
        <v>-2.652080142499989E-2</v>
      </c>
      <c r="AO178" s="28">
        <f t="shared" si="70"/>
        <v>-2.652080142499989E-2</v>
      </c>
      <c r="AP178" s="27">
        <f t="shared" si="71"/>
        <v>-3.2958448351232917E-3</v>
      </c>
      <c r="AQ178" s="29">
        <f t="shared" si="72"/>
        <v>-2.652080142499989E-2</v>
      </c>
      <c r="AS178" s="30">
        <f t="shared" si="73"/>
        <v>0.92524195749906402</v>
      </c>
      <c r="AT178" s="21">
        <f t="shared" si="74"/>
        <v>4.1307289262582945</v>
      </c>
      <c r="AU178" s="31">
        <f t="shared" ca="1" si="82"/>
        <v>5.3557384139157893E-4</v>
      </c>
      <c r="AV178" s="109">
        <f t="shared" ca="1" si="83"/>
        <v>5.3807285020868179E-4</v>
      </c>
      <c r="AW178" s="27" t="e">
        <f t="shared" ca="1" si="84"/>
        <v>#VALUE!</v>
      </c>
      <c r="AX178" s="29" t="e">
        <f t="shared" ca="1" si="85"/>
        <v>#VALUE!</v>
      </c>
      <c r="AY178" s="72"/>
    </row>
    <row r="179" spans="13:51" s="11" customFormat="1" ht="15.6" customHeight="1" x14ac:dyDescent="0.3">
      <c r="M179" s="20">
        <f t="shared" si="86"/>
        <v>149</v>
      </c>
      <c r="N179" s="21">
        <f t="shared" si="87"/>
        <v>2.6075000000000057</v>
      </c>
      <c r="O179" s="22">
        <f t="shared" ca="1" si="59"/>
        <v>153.7123041980405</v>
      </c>
      <c r="P179" s="23">
        <f t="shared" ca="1" si="60"/>
        <v>-1</v>
      </c>
      <c r="Q179" s="22" t="e">
        <f t="shared" ca="1" si="61"/>
        <v>#VALUE!</v>
      </c>
      <c r="R179" s="23">
        <f t="shared" ca="1" si="62"/>
        <v>-1</v>
      </c>
      <c r="S179" s="24" t="e">
        <f t="shared" ca="1" si="63"/>
        <v>#VALUE!</v>
      </c>
      <c r="T179" s="23">
        <f t="shared" ca="1" si="64"/>
        <v>-1</v>
      </c>
      <c r="U179" s="112">
        <f t="shared" si="75"/>
        <v>2.6511456948881667E-2</v>
      </c>
      <c r="V179" s="109">
        <f t="shared" si="76"/>
        <v>-2.6511456948881667E-2</v>
      </c>
      <c r="W179" s="112">
        <f t="shared" si="77"/>
        <v>2.6511456948881667E-2</v>
      </c>
      <c r="X179" s="113">
        <f t="shared" si="78"/>
        <v>-2.6511456948881667E-2</v>
      </c>
      <c r="Y179" s="32"/>
      <c r="Z179" s="32"/>
      <c r="AA179" s="32"/>
      <c r="AB179" s="32"/>
      <c r="AC179" s="32"/>
      <c r="AD179" s="32"/>
      <c r="AE179" s="32"/>
      <c r="AG179" s="26">
        <f t="shared" si="65"/>
        <v>0</v>
      </c>
      <c r="AH179" s="27">
        <f t="shared" si="66"/>
        <v>6.6454367589729293E-2</v>
      </c>
      <c r="AI179" s="28">
        <f t="shared" si="79"/>
        <v>2.6511456948881667E-2</v>
      </c>
      <c r="AJ179" s="27">
        <f t="shared" si="67"/>
        <v>2.6511456948881667E-2</v>
      </c>
      <c r="AK179" s="28">
        <f t="shared" si="68"/>
        <v>3.2836089622120855E-3</v>
      </c>
      <c r="AL179" s="27">
        <f t="shared" si="69"/>
        <v>2.6511456948881667E-2</v>
      </c>
      <c r="AM179" s="28">
        <f t="shared" si="80"/>
        <v>2.6558345460906185E-2</v>
      </c>
      <c r="AN179" s="27">
        <f t="shared" si="81"/>
        <v>-2.6511456948881667E-2</v>
      </c>
      <c r="AO179" s="28">
        <f t="shared" si="70"/>
        <v>-2.6511456948881667E-2</v>
      </c>
      <c r="AP179" s="27">
        <f t="shared" si="71"/>
        <v>-3.2836089622120855E-3</v>
      </c>
      <c r="AQ179" s="29">
        <f t="shared" si="72"/>
        <v>-2.6511456948881667E-2</v>
      </c>
      <c r="AS179" s="30">
        <f t="shared" si="73"/>
        <v>0.92475633295897297</v>
      </c>
      <c r="AT179" s="21">
        <f t="shared" si="74"/>
        <v>4.1153935337562846</v>
      </c>
      <c r="AU179" s="31">
        <f t="shared" ca="1" si="82"/>
        <v>5.3655003098862508E-4</v>
      </c>
      <c r="AV179" s="109">
        <f t="shared" ca="1" si="83"/>
        <v>5.39045484871159E-4</v>
      </c>
      <c r="AW179" s="27" t="e">
        <f t="shared" ca="1" si="84"/>
        <v>#VALUE!</v>
      </c>
      <c r="AX179" s="29" t="e">
        <f t="shared" ca="1" si="85"/>
        <v>#VALUE!</v>
      </c>
      <c r="AY179" s="72"/>
    </row>
    <row r="180" spans="13:51" s="11" customFormat="1" ht="15.6" customHeight="1" x14ac:dyDescent="0.3">
      <c r="M180" s="20">
        <f t="shared" si="86"/>
        <v>150</v>
      </c>
      <c r="N180" s="21">
        <f t="shared" si="87"/>
        <v>2.6250000000000058</v>
      </c>
      <c r="O180" s="22">
        <f t="shared" ca="1" si="59"/>
        <v>154.00141325732739</v>
      </c>
      <c r="P180" s="23">
        <f t="shared" ca="1" si="60"/>
        <v>-1</v>
      </c>
      <c r="Q180" s="22" t="e">
        <f t="shared" ca="1" si="61"/>
        <v>#VALUE!</v>
      </c>
      <c r="R180" s="23">
        <f t="shared" ca="1" si="62"/>
        <v>-1</v>
      </c>
      <c r="S180" s="24" t="e">
        <f t="shared" ca="1" si="63"/>
        <v>#VALUE!</v>
      </c>
      <c r="T180" s="23">
        <f t="shared" ca="1" si="64"/>
        <v>-1</v>
      </c>
      <c r="U180" s="112">
        <f t="shared" si="75"/>
        <v>2.6501098846725753E-2</v>
      </c>
      <c r="V180" s="109">
        <f t="shared" si="76"/>
        <v>-2.6501098846725753E-2</v>
      </c>
      <c r="W180" s="112">
        <f t="shared" si="77"/>
        <v>2.6501098846725753E-2</v>
      </c>
      <c r="X180" s="113">
        <f t="shared" si="78"/>
        <v>-2.6501098846725753E-2</v>
      </c>
      <c r="Y180" s="32"/>
      <c r="Z180" s="32"/>
      <c r="AA180" s="32"/>
      <c r="AB180" s="32"/>
      <c r="AC180" s="32"/>
      <c r="AD180" s="32"/>
      <c r="AE180" s="32"/>
      <c r="AG180" s="26">
        <f t="shared" si="65"/>
        <v>0</v>
      </c>
      <c r="AH180" s="27">
        <f t="shared" si="66"/>
        <v>6.6428403677993769E-2</v>
      </c>
      <c r="AI180" s="28">
        <f t="shared" si="79"/>
        <v>2.6501098846725753E-2</v>
      </c>
      <c r="AJ180" s="27">
        <f t="shared" si="67"/>
        <v>2.6501098846725753E-2</v>
      </c>
      <c r="AK180" s="28">
        <f t="shared" si="68"/>
        <v>3.2713666637810474E-3</v>
      </c>
      <c r="AL180" s="27">
        <f t="shared" si="69"/>
        <v>2.6501098846725753E-2</v>
      </c>
      <c r="AM180" s="28">
        <f t="shared" si="80"/>
        <v>2.6558345460906185E-2</v>
      </c>
      <c r="AN180" s="27">
        <f t="shared" si="81"/>
        <v>-2.6501098846725753E-2</v>
      </c>
      <c r="AO180" s="28">
        <f t="shared" si="70"/>
        <v>-2.6501098846725753E-2</v>
      </c>
      <c r="AP180" s="27">
        <f t="shared" si="71"/>
        <v>-3.2713666637810474E-3</v>
      </c>
      <c r="AQ180" s="29">
        <f t="shared" si="72"/>
        <v>-2.6501098846725753E-2</v>
      </c>
      <c r="AS180" s="30">
        <f t="shared" si="73"/>
        <v>0.92427096330485203</v>
      </c>
      <c r="AT180" s="21">
        <f t="shared" si="74"/>
        <v>4.1000500880594295</v>
      </c>
      <c r="AU180" s="31">
        <f t="shared" ca="1" si="82"/>
        <v>5.3751473179652898E-4</v>
      </c>
      <c r="AV180" s="109">
        <f t="shared" ca="1" si="83"/>
        <v>5.4000662724595916E-4</v>
      </c>
      <c r="AW180" s="27" t="e">
        <f t="shared" ca="1" si="84"/>
        <v>#VALUE!</v>
      </c>
      <c r="AX180" s="29" t="e">
        <f t="shared" ca="1" si="85"/>
        <v>#VALUE!</v>
      </c>
      <c r="AY180" s="72"/>
    </row>
    <row r="181" spans="13:51" s="11" customFormat="1" ht="15.6" customHeight="1" x14ac:dyDescent="0.3">
      <c r="M181" s="20">
        <f t="shared" si="86"/>
        <v>151</v>
      </c>
      <c r="N181" s="21">
        <f t="shared" si="87"/>
        <v>2.6425000000000058</v>
      </c>
      <c r="O181" s="22">
        <f t="shared" ca="1" si="59"/>
        <v>154.28976006145263</v>
      </c>
      <c r="P181" s="23">
        <f t="shared" ca="1" si="60"/>
        <v>-1</v>
      </c>
      <c r="Q181" s="22" t="e">
        <f t="shared" ca="1" si="61"/>
        <v>#VALUE!</v>
      </c>
      <c r="R181" s="23">
        <f t="shared" ca="1" si="62"/>
        <v>-1</v>
      </c>
      <c r="S181" s="24" t="e">
        <f t="shared" ca="1" si="63"/>
        <v>#VALUE!</v>
      </c>
      <c r="T181" s="23">
        <f t="shared" ca="1" si="64"/>
        <v>-1</v>
      </c>
      <c r="U181" s="112">
        <f t="shared" si="75"/>
        <v>2.648973286716607E-2</v>
      </c>
      <c r="V181" s="109">
        <f t="shared" si="76"/>
        <v>-2.648973286716607E-2</v>
      </c>
      <c r="W181" s="112">
        <f t="shared" si="77"/>
        <v>2.648973286716607E-2</v>
      </c>
      <c r="X181" s="113">
        <f t="shared" si="78"/>
        <v>-2.648973286716607E-2</v>
      </c>
      <c r="Y181" s="32"/>
      <c r="Z181" s="32"/>
      <c r="AA181" s="32"/>
      <c r="AB181" s="32"/>
      <c r="AC181" s="32"/>
      <c r="AD181" s="32"/>
      <c r="AE181" s="32"/>
      <c r="AG181" s="26">
        <f t="shared" si="65"/>
        <v>0</v>
      </c>
      <c r="AH181" s="27">
        <f t="shared" si="66"/>
        <v>6.639991339226059E-2</v>
      </c>
      <c r="AI181" s="28">
        <f t="shared" si="79"/>
        <v>2.648973286716607E-2</v>
      </c>
      <c r="AJ181" s="27">
        <f t="shared" si="67"/>
        <v>2.648973286716607E-2</v>
      </c>
      <c r="AK181" s="28">
        <f t="shared" si="68"/>
        <v>3.2591179364558965E-3</v>
      </c>
      <c r="AL181" s="27">
        <f t="shared" si="69"/>
        <v>2.648973286716607E-2</v>
      </c>
      <c r="AM181" s="28">
        <f t="shared" si="80"/>
        <v>2.6558345460906185E-2</v>
      </c>
      <c r="AN181" s="27">
        <f t="shared" si="81"/>
        <v>-2.648973286716607E-2</v>
      </c>
      <c r="AO181" s="28">
        <f t="shared" si="70"/>
        <v>-2.648973286716607E-2</v>
      </c>
      <c r="AP181" s="27">
        <f t="shared" si="71"/>
        <v>-3.2591179364558965E-3</v>
      </c>
      <c r="AQ181" s="29">
        <f t="shared" si="72"/>
        <v>-2.648973286716607E-2</v>
      </c>
      <c r="AS181" s="30">
        <f t="shared" si="73"/>
        <v>0.92378584840292122</v>
      </c>
      <c r="AT181" s="21">
        <f t="shared" si="74"/>
        <v>4.0846985849386952</v>
      </c>
      <c r="AU181" s="31">
        <f t="shared" ca="1" si="82"/>
        <v>5.3846787328881707E-4</v>
      </c>
      <c r="AV181" s="109">
        <f t="shared" ca="1" si="83"/>
        <v>5.409562069708107E-4</v>
      </c>
      <c r="AW181" s="27" t="e">
        <f t="shared" ca="1" si="84"/>
        <v>#VALUE!</v>
      </c>
      <c r="AX181" s="29" t="e">
        <f t="shared" ca="1" si="85"/>
        <v>#VALUE!</v>
      </c>
      <c r="AY181" s="72"/>
    </row>
    <row r="182" spans="13:51" s="11" customFormat="1" ht="15.6" customHeight="1" x14ac:dyDescent="0.3">
      <c r="M182" s="20">
        <f t="shared" si="86"/>
        <v>152</v>
      </c>
      <c r="N182" s="21">
        <f t="shared" si="87"/>
        <v>2.6600000000000059</v>
      </c>
      <c r="O182" s="22">
        <f t="shared" ca="1" si="59"/>
        <v>154.57733640151451</v>
      </c>
      <c r="P182" s="23">
        <f t="shared" ca="1" si="60"/>
        <v>-1</v>
      </c>
      <c r="Q182" s="22" t="e">
        <f t="shared" ca="1" si="61"/>
        <v>#VALUE!</v>
      </c>
      <c r="R182" s="23">
        <f t="shared" ca="1" si="62"/>
        <v>-1</v>
      </c>
      <c r="S182" s="24" t="e">
        <f t="shared" ca="1" si="63"/>
        <v>#VALUE!</v>
      </c>
      <c r="T182" s="23">
        <f t="shared" ca="1" si="64"/>
        <v>-1</v>
      </c>
      <c r="U182" s="112">
        <f t="shared" si="75"/>
        <v>2.6477364668754833E-2</v>
      </c>
      <c r="V182" s="109">
        <f t="shared" si="76"/>
        <v>-2.6477364668754833E-2</v>
      </c>
      <c r="W182" s="112">
        <f t="shared" si="77"/>
        <v>2.6477364668754833E-2</v>
      </c>
      <c r="X182" s="113">
        <f t="shared" si="78"/>
        <v>-2.6477364668754833E-2</v>
      </c>
      <c r="Y182" s="32"/>
      <c r="Z182" s="32"/>
      <c r="AA182" s="32"/>
      <c r="AB182" s="32"/>
      <c r="AC182" s="32"/>
      <c r="AD182" s="32"/>
      <c r="AE182" s="32"/>
      <c r="AG182" s="26">
        <f t="shared" si="65"/>
        <v>0</v>
      </c>
      <c r="AH182" s="27">
        <f t="shared" si="66"/>
        <v>6.6368910916416737E-2</v>
      </c>
      <c r="AI182" s="28">
        <f t="shared" si="79"/>
        <v>2.6477364668754833E-2</v>
      </c>
      <c r="AJ182" s="27">
        <f t="shared" si="67"/>
        <v>2.6477364668754833E-2</v>
      </c>
      <c r="AK182" s="28">
        <f t="shared" si="68"/>
        <v>3.2468627768605777E-3</v>
      </c>
      <c r="AL182" s="27">
        <f t="shared" si="69"/>
        <v>2.6477364668754833E-2</v>
      </c>
      <c r="AM182" s="28">
        <f t="shared" si="80"/>
        <v>2.6558345460906185E-2</v>
      </c>
      <c r="AN182" s="27">
        <f t="shared" si="81"/>
        <v>-2.6477364668754833E-2</v>
      </c>
      <c r="AO182" s="28">
        <f t="shared" si="70"/>
        <v>-2.6477364668754833E-2</v>
      </c>
      <c r="AP182" s="27">
        <f t="shared" si="71"/>
        <v>-3.2468627768605777E-3</v>
      </c>
      <c r="AQ182" s="29">
        <f t="shared" si="72"/>
        <v>-2.6477364668754833E-2</v>
      </c>
      <c r="AS182" s="30">
        <f t="shared" si="73"/>
        <v>0.92330098811947081</v>
      </c>
      <c r="AT182" s="21">
        <f t="shared" si="74"/>
        <v>4.0693390201628246</v>
      </c>
      <c r="AU182" s="31">
        <f t="shared" ca="1" si="82"/>
        <v>5.3940938530594451E-4</v>
      </c>
      <c r="AV182" s="109">
        <f t="shared" ca="1" si="83"/>
        <v>5.4189415405281327E-4</v>
      </c>
      <c r="AW182" s="27" t="e">
        <f t="shared" ca="1" si="84"/>
        <v>#VALUE!</v>
      </c>
      <c r="AX182" s="29" t="e">
        <f t="shared" ca="1" si="85"/>
        <v>#VALUE!</v>
      </c>
      <c r="AY182" s="72"/>
    </row>
    <row r="183" spans="13:51" s="11" customFormat="1" ht="15.6" customHeight="1" x14ac:dyDescent="0.3">
      <c r="M183" s="20">
        <f t="shared" si="86"/>
        <v>153</v>
      </c>
      <c r="N183" s="21">
        <f t="shared" si="87"/>
        <v>2.677500000000006</v>
      </c>
      <c r="O183" s="22">
        <f t="shared" ca="1" si="59"/>
        <v>154.86413406861129</v>
      </c>
      <c r="P183" s="23">
        <f t="shared" ca="1" si="60"/>
        <v>-1</v>
      </c>
      <c r="Q183" s="22" t="e">
        <f t="shared" ca="1" si="61"/>
        <v>#VALUE!</v>
      </c>
      <c r="R183" s="23">
        <f t="shared" ca="1" si="62"/>
        <v>-1</v>
      </c>
      <c r="S183" s="24" t="e">
        <f t="shared" ca="1" si="63"/>
        <v>#VALUE!</v>
      </c>
      <c r="T183" s="23">
        <f t="shared" ca="1" si="64"/>
        <v>-1</v>
      </c>
      <c r="U183" s="112">
        <f t="shared" si="75"/>
        <v>2.646399982194246E-2</v>
      </c>
      <c r="V183" s="109">
        <f t="shared" si="76"/>
        <v>-2.646399982194246E-2</v>
      </c>
      <c r="W183" s="112">
        <f t="shared" si="77"/>
        <v>2.646399982194246E-2</v>
      </c>
      <c r="X183" s="113">
        <f t="shared" si="78"/>
        <v>-2.646399982194246E-2</v>
      </c>
      <c r="Y183" s="32"/>
      <c r="Z183" s="32"/>
      <c r="AA183" s="32"/>
      <c r="AB183" s="32"/>
      <c r="AC183" s="32"/>
      <c r="AD183" s="32"/>
      <c r="AE183" s="32"/>
      <c r="AG183" s="26">
        <f t="shared" si="65"/>
        <v>0</v>
      </c>
      <c r="AH183" s="27">
        <f t="shared" si="66"/>
        <v>6.6335410213510734E-2</v>
      </c>
      <c r="AI183" s="28">
        <f t="shared" si="79"/>
        <v>2.646399982194246E-2</v>
      </c>
      <c r="AJ183" s="27">
        <f t="shared" si="67"/>
        <v>2.646399982194246E-2</v>
      </c>
      <c r="AK183" s="28">
        <f t="shared" si="68"/>
        <v>3.2346011816172635E-3</v>
      </c>
      <c r="AL183" s="27">
        <f t="shared" si="69"/>
        <v>2.646399982194246E-2</v>
      </c>
      <c r="AM183" s="28">
        <f t="shared" si="80"/>
        <v>2.6558345460906185E-2</v>
      </c>
      <c r="AN183" s="27">
        <f t="shared" si="81"/>
        <v>-2.646399982194246E-2</v>
      </c>
      <c r="AO183" s="28">
        <f t="shared" si="70"/>
        <v>-2.646399982194246E-2</v>
      </c>
      <c r="AP183" s="27">
        <f t="shared" si="71"/>
        <v>-3.2346011816172643E-3</v>
      </c>
      <c r="AQ183" s="29">
        <f t="shared" si="72"/>
        <v>-2.646399982194246E-2</v>
      </c>
      <c r="AS183" s="30">
        <f t="shared" si="73"/>
        <v>0.92281638232086094</v>
      </c>
      <c r="AT183" s="21">
        <f t="shared" si="74"/>
        <v>4.0539713894983382</v>
      </c>
      <c r="AU183" s="31">
        <f t="shared" ca="1" si="82"/>
        <v>5.4033919805662745E-4</v>
      </c>
      <c r="AV183" s="109">
        <f t="shared" ca="1" si="83"/>
        <v>5.428203988669944E-4</v>
      </c>
      <c r="AW183" s="27" t="e">
        <f t="shared" ca="1" si="84"/>
        <v>#VALUE!</v>
      </c>
      <c r="AX183" s="29" t="e">
        <f t="shared" ca="1" si="85"/>
        <v>#VALUE!</v>
      </c>
      <c r="AY183" s="72"/>
    </row>
    <row r="184" spans="13:51" s="11" customFormat="1" ht="15.6" customHeight="1" x14ac:dyDescent="0.3">
      <c r="M184" s="20">
        <f t="shared" si="86"/>
        <v>154</v>
      </c>
      <c r="N184" s="21">
        <f t="shared" si="87"/>
        <v>2.6950000000000061</v>
      </c>
      <c r="O184" s="22">
        <f t="shared" ca="1" si="59"/>
        <v>155.1501448538412</v>
      </c>
      <c r="P184" s="23">
        <f t="shared" ca="1" si="60"/>
        <v>-1</v>
      </c>
      <c r="Q184" s="22" t="e">
        <f t="shared" ca="1" si="61"/>
        <v>#VALUE!</v>
      </c>
      <c r="R184" s="23">
        <f t="shared" ca="1" si="62"/>
        <v>-1</v>
      </c>
      <c r="S184" s="24" t="e">
        <f t="shared" ca="1" si="63"/>
        <v>#VALUE!</v>
      </c>
      <c r="T184" s="23">
        <f t="shared" ca="1" si="64"/>
        <v>-1</v>
      </c>
      <c r="U184" s="112">
        <f t="shared" si="75"/>
        <v>2.6449643811000817E-2</v>
      </c>
      <c r="V184" s="109">
        <f t="shared" si="76"/>
        <v>-2.6449643811000817E-2</v>
      </c>
      <c r="W184" s="112">
        <f t="shared" si="77"/>
        <v>2.6449643811000817E-2</v>
      </c>
      <c r="X184" s="113">
        <f t="shared" si="78"/>
        <v>-2.6449643811000817E-2</v>
      </c>
      <c r="Y184" s="32"/>
      <c r="Z184" s="32"/>
      <c r="AA184" s="32"/>
      <c r="AB184" s="32"/>
      <c r="AC184" s="32"/>
      <c r="AD184" s="32"/>
      <c r="AE184" s="32"/>
      <c r="AG184" s="26">
        <f t="shared" si="65"/>
        <v>0</v>
      </c>
      <c r="AH184" s="27">
        <f t="shared" si="66"/>
        <v>6.6299425030573497E-2</v>
      </c>
      <c r="AI184" s="28">
        <f t="shared" si="79"/>
        <v>2.6449643811000817E-2</v>
      </c>
      <c r="AJ184" s="27">
        <f t="shared" si="67"/>
        <v>2.6449643811000817E-2</v>
      </c>
      <c r="AK184" s="28">
        <f t="shared" si="68"/>
        <v>3.2223331473463465E-3</v>
      </c>
      <c r="AL184" s="27">
        <f t="shared" si="69"/>
        <v>2.6449643811000817E-2</v>
      </c>
      <c r="AM184" s="28">
        <f t="shared" si="80"/>
        <v>2.6558345460906185E-2</v>
      </c>
      <c r="AN184" s="27">
        <f t="shared" si="81"/>
        <v>-2.6449643811000817E-2</v>
      </c>
      <c r="AO184" s="28">
        <f t="shared" si="70"/>
        <v>-2.6449643811000817E-2</v>
      </c>
      <c r="AP184" s="27">
        <f t="shared" si="71"/>
        <v>-3.2223331473463465E-3</v>
      </c>
      <c r="AQ184" s="29">
        <f t="shared" si="72"/>
        <v>-2.6449643811000817E-2</v>
      </c>
      <c r="AS184" s="30">
        <f t="shared" si="73"/>
        <v>0.92233203087352233</v>
      </c>
      <c r="AT184" s="21">
        <f t="shared" si="74"/>
        <v>4.0385956887095267</v>
      </c>
      <c r="AU184" s="31">
        <f t="shared" ca="1" si="82"/>
        <v>5.4125724211728787E-4</v>
      </c>
      <c r="AV184" s="109">
        <f t="shared" ca="1" si="83"/>
        <v>5.4373487215775285E-4</v>
      </c>
      <c r="AW184" s="27" t="e">
        <f t="shared" ca="1" si="84"/>
        <v>#VALUE!</v>
      </c>
      <c r="AX184" s="29" t="e">
        <f t="shared" ca="1" si="85"/>
        <v>#VALUE!</v>
      </c>
      <c r="AY184" s="72"/>
    </row>
    <row r="185" spans="13:51" s="11" customFormat="1" ht="15.6" customHeight="1" x14ac:dyDescent="0.3">
      <c r="M185" s="20">
        <f t="shared" si="86"/>
        <v>155</v>
      </c>
      <c r="N185" s="21">
        <f t="shared" si="87"/>
        <v>2.7125000000000061</v>
      </c>
      <c r="O185" s="22">
        <f t="shared" ca="1" si="59"/>
        <v>155.43536054830255</v>
      </c>
      <c r="P185" s="23">
        <f t="shared" ca="1" si="60"/>
        <v>-1</v>
      </c>
      <c r="Q185" s="22" t="e">
        <f t="shared" ca="1" si="61"/>
        <v>#VALUE!</v>
      </c>
      <c r="R185" s="23">
        <f t="shared" ca="1" si="62"/>
        <v>-1</v>
      </c>
      <c r="S185" s="24" t="e">
        <f t="shared" ca="1" si="63"/>
        <v>#VALUE!</v>
      </c>
      <c r="T185" s="23">
        <f t="shared" ca="1" si="64"/>
        <v>-1</v>
      </c>
      <c r="U185" s="112">
        <f t="shared" si="75"/>
        <v>2.6434302035891942E-2</v>
      </c>
      <c r="V185" s="109">
        <f t="shared" si="76"/>
        <v>-2.6434302035891942E-2</v>
      </c>
      <c r="W185" s="112">
        <f t="shared" si="77"/>
        <v>2.6434302035891942E-2</v>
      </c>
      <c r="X185" s="113">
        <f t="shared" si="78"/>
        <v>-2.6434302035891942E-2</v>
      </c>
      <c r="Y185" s="32"/>
      <c r="Z185" s="32"/>
      <c r="AA185" s="32"/>
      <c r="AB185" s="32"/>
      <c r="AC185" s="32"/>
      <c r="AD185" s="32"/>
      <c r="AE185" s="32"/>
      <c r="AG185" s="26">
        <f t="shared" si="65"/>
        <v>0</v>
      </c>
      <c r="AH185" s="27">
        <f t="shared" si="66"/>
        <v>6.6260968903302561E-2</v>
      </c>
      <c r="AI185" s="28">
        <f t="shared" si="79"/>
        <v>2.6434302035891942E-2</v>
      </c>
      <c r="AJ185" s="27">
        <f t="shared" si="67"/>
        <v>2.6434302035891942E-2</v>
      </c>
      <c r="AK185" s="28">
        <f t="shared" si="68"/>
        <v>3.2100586706664534E-3</v>
      </c>
      <c r="AL185" s="27">
        <f t="shared" si="69"/>
        <v>2.6434302035891942E-2</v>
      </c>
      <c r="AM185" s="28">
        <f t="shared" si="80"/>
        <v>2.6558345460906185E-2</v>
      </c>
      <c r="AN185" s="27">
        <f t="shared" si="81"/>
        <v>-2.6434302035891942E-2</v>
      </c>
      <c r="AO185" s="28">
        <f t="shared" si="70"/>
        <v>-2.6434302035891942E-2</v>
      </c>
      <c r="AP185" s="27">
        <f t="shared" si="71"/>
        <v>-3.2100586706664534E-3</v>
      </c>
      <c r="AQ185" s="29">
        <f t="shared" si="72"/>
        <v>-2.6434302035891942E-2</v>
      </c>
      <c r="AS185" s="30">
        <f t="shared" si="73"/>
        <v>0.92184793364395567</v>
      </c>
      <c r="AT185" s="21">
        <f t="shared" si="74"/>
        <v>4.023211913558467</v>
      </c>
      <c r="AU185" s="31">
        <f t="shared" ca="1" si="82"/>
        <v>5.4216344843194264E-4</v>
      </c>
      <c r="AV185" s="109">
        <f t="shared" ca="1" si="83"/>
        <v>5.4463750503730424E-4</v>
      </c>
      <c r="AW185" s="27" t="e">
        <f t="shared" ca="1" si="84"/>
        <v>#VALUE!</v>
      </c>
      <c r="AX185" s="29" t="e">
        <f t="shared" ca="1" si="85"/>
        <v>#VALUE!</v>
      </c>
      <c r="AY185" s="72"/>
    </row>
    <row r="186" spans="13:51" s="11" customFormat="1" ht="15.6" customHeight="1" x14ac:dyDescent="0.3">
      <c r="M186" s="20">
        <f t="shared" si="86"/>
        <v>156</v>
      </c>
      <c r="N186" s="21">
        <f t="shared" si="87"/>
        <v>2.7300000000000062</v>
      </c>
      <c r="O186" s="22">
        <f t="shared" ca="1" si="59"/>
        <v>155.71977294309355</v>
      </c>
      <c r="P186" s="23">
        <f t="shared" ca="1" si="60"/>
        <v>-1</v>
      </c>
      <c r="Q186" s="22" t="e">
        <f t="shared" ca="1" si="61"/>
        <v>#VALUE!</v>
      </c>
      <c r="R186" s="23">
        <f t="shared" ca="1" si="62"/>
        <v>-1</v>
      </c>
      <c r="S186" s="24" t="e">
        <f t="shared" ca="1" si="63"/>
        <v>#VALUE!</v>
      </c>
      <c r="T186" s="23">
        <f t="shared" ca="1" si="64"/>
        <v>-1</v>
      </c>
      <c r="U186" s="112">
        <f t="shared" si="75"/>
        <v>2.6417979814083833E-2</v>
      </c>
      <c r="V186" s="109">
        <f t="shared" si="76"/>
        <v>-2.6417979814083833E-2</v>
      </c>
      <c r="W186" s="112">
        <f t="shared" si="77"/>
        <v>2.6417979814083833E-2</v>
      </c>
      <c r="X186" s="113">
        <f t="shared" si="78"/>
        <v>-2.6417979814083833E-2</v>
      </c>
      <c r="Y186" s="32"/>
      <c r="Z186" s="32"/>
      <c r="AA186" s="32"/>
      <c r="AB186" s="32"/>
      <c r="AC186" s="32"/>
      <c r="AD186" s="32"/>
      <c r="AE186" s="32"/>
      <c r="AG186" s="26">
        <f t="shared" si="65"/>
        <v>0</v>
      </c>
      <c r="AH186" s="27">
        <f t="shared" si="66"/>
        <v>6.622005516061355E-2</v>
      </c>
      <c r="AI186" s="28">
        <f t="shared" si="79"/>
        <v>2.6417979814083833E-2</v>
      </c>
      <c r="AJ186" s="27">
        <f t="shared" si="67"/>
        <v>2.6417979814083833E-2</v>
      </c>
      <c r="AK186" s="28">
        <f t="shared" si="68"/>
        <v>3.1977777481944332E-3</v>
      </c>
      <c r="AL186" s="27">
        <f t="shared" si="69"/>
        <v>2.6417979814083833E-2</v>
      </c>
      <c r="AM186" s="28">
        <f t="shared" si="80"/>
        <v>2.6558345460906185E-2</v>
      </c>
      <c r="AN186" s="27">
        <f t="shared" si="81"/>
        <v>-2.6417979814083833E-2</v>
      </c>
      <c r="AO186" s="28">
        <f t="shared" si="70"/>
        <v>-2.6417979814083833E-2</v>
      </c>
      <c r="AP186" s="27">
        <f t="shared" si="71"/>
        <v>-3.1977777481944337E-3</v>
      </c>
      <c r="AQ186" s="29">
        <f t="shared" si="72"/>
        <v>-2.6417979814083833E-2</v>
      </c>
      <c r="AS186" s="30">
        <f t="shared" si="73"/>
        <v>0.92136409049873147</v>
      </c>
      <c r="AT186" s="21">
        <f t="shared" si="74"/>
        <v>4.0078200598050087</v>
      </c>
      <c r="AU186" s="31">
        <f t="shared" ca="1" si="82"/>
        <v>5.4305774831175935E-4</v>
      </c>
      <c r="AV186" s="109">
        <f t="shared" ca="1" si="83"/>
        <v>5.4552822898656927E-4</v>
      </c>
      <c r="AW186" s="27" t="e">
        <f t="shared" ca="1" si="84"/>
        <v>#VALUE!</v>
      </c>
      <c r="AX186" s="29" t="e">
        <f t="shared" ca="1" si="85"/>
        <v>#VALUE!</v>
      </c>
      <c r="AY186" s="72"/>
    </row>
    <row r="187" spans="13:51" s="11" customFormat="1" ht="15.6" customHeight="1" x14ac:dyDescent="0.3">
      <c r="M187" s="20">
        <f t="shared" si="86"/>
        <v>157</v>
      </c>
      <c r="N187" s="21">
        <f t="shared" si="87"/>
        <v>2.7475000000000063</v>
      </c>
      <c r="O187" s="22">
        <f t="shared" ca="1" si="59"/>
        <v>156.00337382931247</v>
      </c>
      <c r="P187" s="23">
        <f t="shared" ca="1" si="60"/>
        <v>-1</v>
      </c>
      <c r="Q187" s="22" t="e">
        <f t="shared" ca="1" si="61"/>
        <v>#VALUE!</v>
      </c>
      <c r="R187" s="23">
        <f t="shared" ca="1" si="62"/>
        <v>-1</v>
      </c>
      <c r="S187" s="24" t="e">
        <f t="shared" ca="1" si="63"/>
        <v>#VALUE!</v>
      </c>
      <c r="T187" s="23">
        <f t="shared" ca="1" si="64"/>
        <v>-1</v>
      </c>
      <c r="U187" s="112">
        <f t="shared" si="75"/>
        <v>2.6400682382315337E-2</v>
      </c>
      <c r="V187" s="109">
        <f t="shared" si="76"/>
        <v>-2.6400682382315337E-2</v>
      </c>
      <c r="W187" s="112">
        <f t="shared" si="77"/>
        <v>2.6400682382315337E-2</v>
      </c>
      <c r="X187" s="113">
        <f t="shared" si="78"/>
        <v>-2.6400682382315337E-2</v>
      </c>
      <c r="Y187" s="32"/>
      <c r="Z187" s="32"/>
      <c r="AA187" s="32"/>
      <c r="AB187" s="32"/>
      <c r="AC187" s="32"/>
      <c r="AD187" s="32"/>
      <c r="AE187" s="32"/>
      <c r="AG187" s="26">
        <f t="shared" si="65"/>
        <v>0</v>
      </c>
      <c r="AH187" s="27">
        <f t="shared" si="66"/>
        <v>6.6176696929064138E-2</v>
      </c>
      <c r="AI187" s="28">
        <f t="shared" si="79"/>
        <v>2.6400682382315337E-2</v>
      </c>
      <c r="AJ187" s="27">
        <f t="shared" si="67"/>
        <v>2.6400682382315337E-2</v>
      </c>
      <c r="AK187" s="28">
        <f t="shared" si="68"/>
        <v>3.1854903765453535E-3</v>
      </c>
      <c r="AL187" s="27">
        <f t="shared" si="69"/>
        <v>2.6400682382315337E-2</v>
      </c>
      <c r="AM187" s="28">
        <f t="shared" si="80"/>
        <v>2.6558345460906185E-2</v>
      </c>
      <c r="AN187" s="27">
        <f t="shared" si="81"/>
        <v>-2.6400682382315337E-2</v>
      </c>
      <c r="AO187" s="28">
        <f t="shared" si="70"/>
        <v>-2.6400682382315337E-2</v>
      </c>
      <c r="AP187" s="27">
        <f t="shared" si="71"/>
        <v>-3.1854903765453535E-3</v>
      </c>
      <c r="AQ187" s="29">
        <f t="shared" si="72"/>
        <v>-2.6400682382315337E-2</v>
      </c>
      <c r="AS187" s="30">
        <f t="shared" si="73"/>
        <v>0.92088050130449051</v>
      </c>
      <c r="AT187" s="21">
        <f t="shared" si="74"/>
        <v>3.9924201232067675</v>
      </c>
      <c r="AU187" s="31">
        <f t="shared" ca="1" si="82"/>
        <v>5.439400734358335E-4</v>
      </c>
      <c r="AV187" s="109">
        <f t="shared" ca="1" si="83"/>
        <v>5.4640697585450759E-4</v>
      </c>
      <c r="AW187" s="27" t="e">
        <f t="shared" ca="1" si="84"/>
        <v>#VALUE!</v>
      </c>
      <c r="AX187" s="29" t="e">
        <f t="shared" ca="1" si="85"/>
        <v>#VALUE!</v>
      </c>
      <c r="AY187" s="72"/>
    </row>
    <row r="188" spans="13:51" s="11" customFormat="1" ht="15.6" customHeight="1" x14ac:dyDescent="0.3">
      <c r="M188" s="20">
        <f t="shared" si="86"/>
        <v>158</v>
      </c>
      <c r="N188" s="21">
        <f t="shared" si="87"/>
        <v>2.7650000000000063</v>
      </c>
      <c r="O188" s="22">
        <f t="shared" ca="1" si="59"/>
        <v>156.28615499805758</v>
      </c>
      <c r="P188" s="23">
        <f t="shared" ca="1" si="60"/>
        <v>-1</v>
      </c>
      <c r="Q188" s="22" t="e">
        <f t="shared" ca="1" si="61"/>
        <v>#VALUE!</v>
      </c>
      <c r="R188" s="23">
        <f t="shared" ca="1" si="62"/>
        <v>-1</v>
      </c>
      <c r="S188" s="24" t="e">
        <f t="shared" ca="1" si="63"/>
        <v>#VALUE!</v>
      </c>
      <c r="T188" s="23">
        <f t="shared" ca="1" si="64"/>
        <v>-1</v>
      </c>
      <c r="U188" s="112">
        <f t="shared" si="75"/>
        <v>2.6382414898312039E-2</v>
      </c>
      <c r="V188" s="109">
        <f t="shared" si="76"/>
        <v>-2.6382414898312039E-2</v>
      </c>
      <c r="W188" s="112">
        <f t="shared" si="77"/>
        <v>2.6382414898312039E-2</v>
      </c>
      <c r="X188" s="113">
        <f t="shared" si="78"/>
        <v>-2.6382414898312039E-2</v>
      </c>
      <c r="Y188" s="32"/>
      <c r="Z188" s="32"/>
      <c r="AA188" s="32"/>
      <c r="AB188" s="32"/>
      <c r="AC188" s="32"/>
      <c r="AD188" s="32"/>
      <c r="AE188" s="32"/>
      <c r="AG188" s="26">
        <f t="shared" si="65"/>
        <v>0</v>
      </c>
      <c r="AH188" s="27">
        <f t="shared" si="66"/>
        <v>6.6130907137155109E-2</v>
      </c>
      <c r="AI188" s="28">
        <f t="shared" si="79"/>
        <v>2.6382414898312039E-2</v>
      </c>
      <c r="AJ188" s="27">
        <f t="shared" si="67"/>
        <v>2.6382414898312039E-2</v>
      </c>
      <c r="AK188" s="28">
        <f t="shared" si="68"/>
        <v>3.1731965523325075E-3</v>
      </c>
      <c r="AL188" s="27">
        <f t="shared" si="69"/>
        <v>2.6382414898312039E-2</v>
      </c>
      <c r="AM188" s="28">
        <f t="shared" si="80"/>
        <v>2.6558345460906185E-2</v>
      </c>
      <c r="AN188" s="27">
        <f t="shared" si="81"/>
        <v>-2.6382414898312039E-2</v>
      </c>
      <c r="AO188" s="28">
        <f t="shared" si="70"/>
        <v>-2.6382414898312039E-2</v>
      </c>
      <c r="AP188" s="27">
        <f t="shared" si="71"/>
        <v>-3.1731965523325075E-3</v>
      </c>
      <c r="AQ188" s="29">
        <f t="shared" si="72"/>
        <v>-2.6382414898312039E-2</v>
      </c>
      <c r="AS188" s="30">
        <f t="shared" si="73"/>
        <v>0.92039716592794363</v>
      </c>
      <c r="AT188" s="21">
        <f t="shared" si="74"/>
        <v>3.9770120995191358</v>
      </c>
      <c r="AU188" s="31">
        <f t="shared" ca="1" si="82"/>
        <v>5.4481035585030035E-4</v>
      </c>
      <c r="AV188" s="109">
        <f t="shared" ca="1" si="83"/>
        <v>5.4727367785822878E-4</v>
      </c>
      <c r="AW188" s="27" t="e">
        <f t="shared" ca="1" si="84"/>
        <v>#VALUE!</v>
      </c>
      <c r="AX188" s="29" t="e">
        <f t="shared" ca="1" si="85"/>
        <v>#VALUE!</v>
      </c>
      <c r="AY188" s="72"/>
    </row>
    <row r="189" spans="13:51" s="11" customFormat="1" ht="15.6" customHeight="1" x14ac:dyDescent="0.3">
      <c r="M189" s="20">
        <f t="shared" si="86"/>
        <v>159</v>
      </c>
      <c r="N189" s="21">
        <f t="shared" si="87"/>
        <v>2.7825000000000064</v>
      </c>
      <c r="O189" s="22">
        <f t="shared" ca="1" si="59"/>
        <v>156.56810824042716</v>
      </c>
      <c r="P189" s="23">
        <f t="shared" ca="1" si="60"/>
        <v>-1</v>
      </c>
      <c r="Q189" s="22" t="e">
        <f t="shared" ca="1" si="61"/>
        <v>#VALUE!</v>
      </c>
      <c r="R189" s="23">
        <f t="shared" ca="1" si="62"/>
        <v>-1</v>
      </c>
      <c r="S189" s="24" t="e">
        <f t="shared" ca="1" si="63"/>
        <v>#VALUE!</v>
      </c>
      <c r="T189" s="23">
        <f t="shared" ca="1" si="64"/>
        <v>-1</v>
      </c>
      <c r="U189" s="112">
        <f t="shared" si="75"/>
        <v>2.6363182442454499E-2</v>
      </c>
      <c r="V189" s="109">
        <f t="shared" si="76"/>
        <v>-2.6363182442454499E-2</v>
      </c>
      <c r="W189" s="112">
        <f t="shared" si="77"/>
        <v>2.6363182442454499E-2</v>
      </c>
      <c r="X189" s="113">
        <f t="shared" si="78"/>
        <v>-2.6363182442454499E-2</v>
      </c>
      <c r="Y189" s="32"/>
      <c r="Z189" s="32"/>
      <c r="AA189" s="32"/>
      <c r="AB189" s="32"/>
      <c r="AC189" s="32"/>
      <c r="AD189" s="32"/>
      <c r="AE189" s="32"/>
      <c r="AG189" s="26">
        <f t="shared" si="65"/>
        <v>0</v>
      </c>
      <c r="AH189" s="27">
        <f t="shared" si="66"/>
        <v>6.6082698519511998E-2</v>
      </c>
      <c r="AI189" s="28">
        <f t="shared" si="79"/>
        <v>2.6363182442454499E-2</v>
      </c>
      <c r="AJ189" s="27">
        <f t="shared" si="67"/>
        <v>2.6363182442454499E-2</v>
      </c>
      <c r="AK189" s="28">
        <f t="shared" si="68"/>
        <v>3.1608962721674091E-3</v>
      </c>
      <c r="AL189" s="27">
        <f t="shared" si="69"/>
        <v>2.6363182442454499E-2</v>
      </c>
      <c r="AM189" s="28">
        <f t="shared" si="80"/>
        <v>2.6558345460906185E-2</v>
      </c>
      <c r="AN189" s="27">
        <f t="shared" si="81"/>
        <v>-2.6363182442454499E-2</v>
      </c>
      <c r="AO189" s="28">
        <f t="shared" si="70"/>
        <v>-2.6363182442454499E-2</v>
      </c>
      <c r="AP189" s="27">
        <f t="shared" si="71"/>
        <v>-3.16089627216741E-3</v>
      </c>
      <c r="AQ189" s="29">
        <f t="shared" si="72"/>
        <v>-2.6363182442454499E-2</v>
      </c>
      <c r="AS189" s="30">
        <f t="shared" si="73"/>
        <v>0.9199140842358714</v>
      </c>
      <c r="AT189" s="21">
        <f t="shared" si="74"/>
        <v>3.9615959844952773</v>
      </c>
      <c r="AU189" s="31">
        <f t="shared" ca="1" si="82"/>
        <v>5.4566852796777976E-4</v>
      </c>
      <c r="AV189" s="109">
        <f t="shared" ca="1" si="83"/>
        <v>5.4812826758232625E-4</v>
      </c>
      <c r="AW189" s="27" t="e">
        <f t="shared" ca="1" si="84"/>
        <v>#VALUE!</v>
      </c>
      <c r="AX189" s="29" t="e">
        <f t="shared" ca="1" si="85"/>
        <v>#VALUE!</v>
      </c>
      <c r="AY189" s="72"/>
    </row>
    <row r="190" spans="13:51" s="11" customFormat="1" ht="15.6" customHeight="1" x14ac:dyDescent="0.3">
      <c r="M190" s="20">
        <f t="shared" si="86"/>
        <v>160</v>
      </c>
      <c r="N190" s="21">
        <f t="shared" si="87"/>
        <v>2.8000000000000065</v>
      </c>
      <c r="O190" s="22">
        <f t="shared" ca="1" si="59"/>
        <v>156.84922534751942</v>
      </c>
      <c r="P190" s="23">
        <f t="shared" ca="1" si="60"/>
        <v>-1</v>
      </c>
      <c r="Q190" s="22" t="e">
        <f t="shared" ca="1" si="61"/>
        <v>#VALUE!</v>
      </c>
      <c r="R190" s="23">
        <f t="shared" ca="1" si="62"/>
        <v>-1</v>
      </c>
      <c r="S190" s="24" t="e">
        <f t="shared" ca="1" si="63"/>
        <v>#VALUE!</v>
      </c>
      <c r="T190" s="23">
        <f t="shared" ca="1" si="64"/>
        <v>-1</v>
      </c>
      <c r="U190" s="112">
        <f t="shared" si="75"/>
        <v>2.634299001940062E-2</v>
      </c>
      <c r="V190" s="109">
        <f t="shared" si="76"/>
        <v>-2.634299001940062E-2</v>
      </c>
      <c r="W190" s="112">
        <f t="shared" si="77"/>
        <v>2.634299001940062E-2</v>
      </c>
      <c r="X190" s="113">
        <f t="shared" si="78"/>
        <v>-2.634299001940062E-2</v>
      </c>
      <c r="Y190" s="32"/>
      <c r="Z190" s="32"/>
      <c r="AA190" s="32"/>
      <c r="AB190" s="32"/>
      <c r="AC190" s="32"/>
      <c r="AD190" s="32"/>
      <c r="AE190" s="32"/>
      <c r="AG190" s="26">
        <f t="shared" si="65"/>
        <v>0</v>
      </c>
      <c r="AH190" s="27">
        <f t="shared" si="66"/>
        <v>6.6032083620951837E-2</v>
      </c>
      <c r="AI190" s="28">
        <f t="shared" si="79"/>
        <v>2.634299001940062E-2</v>
      </c>
      <c r="AJ190" s="27">
        <f t="shared" si="67"/>
        <v>2.634299001940062E-2</v>
      </c>
      <c r="AK190" s="28">
        <f t="shared" si="68"/>
        <v>3.1485895326597976E-3</v>
      </c>
      <c r="AL190" s="27">
        <f t="shared" si="69"/>
        <v>2.634299001940062E-2</v>
      </c>
      <c r="AM190" s="28">
        <f t="shared" si="80"/>
        <v>2.6558345460906185E-2</v>
      </c>
      <c r="AN190" s="27">
        <f t="shared" si="81"/>
        <v>-2.634299001940062E-2</v>
      </c>
      <c r="AO190" s="28">
        <f t="shared" si="70"/>
        <v>-2.634299001940062E-2</v>
      </c>
      <c r="AP190" s="27">
        <f t="shared" si="71"/>
        <v>-3.1485895326597976E-3</v>
      </c>
      <c r="AQ190" s="29">
        <f t="shared" si="72"/>
        <v>-2.634299001940062E-2</v>
      </c>
      <c r="AS190" s="30">
        <f t="shared" si="73"/>
        <v>0.91943125609512455</v>
      </c>
      <c r="AT190" s="21">
        <f t="shared" si="74"/>
        <v>3.9461717738861277</v>
      </c>
      <c r="AU190" s="31">
        <f t="shared" ca="1" si="82"/>
        <v>5.4651452256826438E-4</v>
      </c>
      <c r="AV190" s="109">
        <f t="shared" ca="1" si="83"/>
        <v>5.4897067797921029E-4</v>
      </c>
      <c r="AW190" s="27" t="e">
        <f t="shared" ca="1" si="84"/>
        <v>#VALUE!</v>
      </c>
      <c r="AX190" s="29" t="e">
        <f t="shared" ca="1" si="85"/>
        <v>#VALUE!</v>
      </c>
      <c r="AY190" s="72"/>
    </row>
    <row r="191" spans="13:51" s="11" customFormat="1" ht="15.6" customHeight="1" x14ac:dyDescent="0.3">
      <c r="M191" s="20">
        <f t="shared" si="86"/>
        <v>161</v>
      </c>
      <c r="N191" s="21">
        <f t="shared" si="87"/>
        <v>2.8175000000000066</v>
      </c>
      <c r="O191" s="22">
        <f t="shared" ca="1" si="59"/>
        <v>157.12949811043265</v>
      </c>
      <c r="P191" s="23">
        <f t="shared" ca="1" si="60"/>
        <v>-1</v>
      </c>
      <c r="Q191" s="22" t="e">
        <f t="shared" ca="1" si="61"/>
        <v>#VALUE!</v>
      </c>
      <c r="R191" s="23">
        <f t="shared" ca="1" si="62"/>
        <v>-1</v>
      </c>
      <c r="S191" s="24" t="e">
        <f t="shared" ca="1" si="63"/>
        <v>#VALUE!</v>
      </c>
      <c r="T191" s="23">
        <f t="shared" ca="1" si="64"/>
        <v>-1</v>
      </c>
      <c r="U191" s="112">
        <f t="shared" si="75"/>
        <v>2.6321842559663675E-2</v>
      </c>
      <c r="V191" s="109">
        <f t="shared" si="76"/>
        <v>-2.6321842559663675E-2</v>
      </c>
      <c r="W191" s="112">
        <f t="shared" si="77"/>
        <v>2.6321842559663675E-2</v>
      </c>
      <c r="X191" s="113">
        <f t="shared" si="78"/>
        <v>-2.6321842559663675E-2</v>
      </c>
      <c r="Y191" s="32"/>
      <c r="Z191" s="32"/>
      <c r="AA191" s="32"/>
      <c r="AB191" s="32"/>
      <c r="AC191" s="32"/>
      <c r="AD191" s="32"/>
      <c r="AE191" s="32"/>
      <c r="AG191" s="26">
        <f t="shared" si="65"/>
        <v>0</v>
      </c>
      <c r="AH191" s="27">
        <f t="shared" si="66"/>
        <v>6.5979074800438589E-2</v>
      </c>
      <c r="AI191" s="28">
        <f t="shared" si="79"/>
        <v>2.6321842559663675E-2</v>
      </c>
      <c r="AJ191" s="27">
        <f t="shared" si="67"/>
        <v>2.6321842559663675E-2</v>
      </c>
      <c r="AK191" s="28">
        <f t="shared" si="68"/>
        <v>3.1362763304176216E-3</v>
      </c>
      <c r="AL191" s="27">
        <f t="shared" si="69"/>
        <v>2.6321842559663675E-2</v>
      </c>
      <c r="AM191" s="28">
        <f t="shared" si="80"/>
        <v>2.6558345460906185E-2</v>
      </c>
      <c r="AN191" s="27">
        <f t="shared" si="81"/>
        <v>-2.6321842559663675E-2</v>
      </c>
      <c r="AO191" s="28">
        <f t="shared" si="70"/>
        <v>-2.6321842559663675E-2</v>
      </c>
      <c r="AP191" s="27">
        <f t="shared" si="71"/>
        <v>-3.1362763304176224E-3</v>
      </c>
      <c r="AQ191" s="29">
        <f t="shared" si="72"/>
        <v>-2.6321842559663675E-2</v>
      </c>
      <c r="AS191" s="30">
        <f t="shared" si="73"/>
        <v>0.91894868137262331</v>
      </c>
      <c r="AT191" s="21">
        <f t="shared" si="74"/>
        <v>3.9307394634403843</v>
      </c>
      <c r="AU191" s="31">
        <f t="shared" ca="1" si="82"/>
        <v>5.473482727972323E-4</v>
      </c>
      <c r="AV191" s="109">
        <f t="shared" ca="1" si="83"/>
        <v>5.4980084236821991E-4</v>
      </c>
      <c r="AW191" s="27" t="e">
        <f t="shared" ca="1" si="84"/>
        <v>#VALUE!</v>
      </c>
      <c r="AX191" s="29" t="e">
        <f t="shared" ca="1" si="85"/>
        <v>#VALUE!</v>
      </c>
      <c r="AY191" s="72"/>
    </row>
    <row r="192" spans="13:51" s="11" customFormat="1" ht="15.6" customHeight="1" x14ac:dyDescent="0.3">
      <c r="M192" s="20">
        <f t="shared" si="86"/>
        <v>162</v>
      </c>
      <c r="N192" s="21">
        <f t="shared" si="87"/>
        <v>2.8350000000000066</v>
      </c>
      <c r="O192" s="22">
        <f t="shared" ca="1" si="59"/>
        <v>157.40891832026512</v>
      </c>
      <c r="P192" s="23">
        <f t="shared" ca="1" si="60"/>
        <v>-1</v>
      </c>
      <c r="Q192" s="22" t="e">
        <f t="shared" ca="1" si="61"/>
        <v>#VALUE!</v>
      </c>
      <c r="R192" s="23">
        <f t="shared" ca="1" si="62"/>
        <v>-1</v>
      </c>
      <c r="S192" s="24" t="e">
        <f t="shared" ca="1" si="63"/>
        <v>#VALUE!</v>
      </c>
      <c r="T192" s="23">
        <f t="shared" ca="1" si="64"/>
        <v>-1</v>
      </c>
      <c r="U192" s="112">
        <f t="shared" si="75"/>
        <v>2.6299744921147658E-2</v>
      </c>
      <c r="V192" s="109">
        <f t="shared" si="76"/>
        <v>-2.6299744921147658E-2</v>
      </c>
      <c r="W192" s="112">
        <f t="shared" si="77"/>
        <v>2.6299744921147658E-2</v>
      </c>
      <c r="X192" s="113">
        <f t="shared" si="78"/>
        <v>-2.6299744921147658E-2</v>
      </c>
      <c r="Y192" s="32"/>
      <c r="Z192" s="32"/>
      <c r="AA192" s="32"/>
      <c r="AB192" s="32"/>
      <c r="AC192" s="32"/>
      <c r="AD192" s="32"/>
      <c r="AE192" s="32"/>
      <c r="AG192" s="26">
        <f t="shared" si="65"/>
        <v>0</v>
      </c>
      <c r="AH192" s="27">
        <f t="shared" si="66"/>
        <v>6.5923684234931765E-2</v>
      </c>
      <c r="AI192" s="28">
        <f t="shared" si="79"/>
        <v>2.6299744921147658E-2</v>
      </c>
      <c r="AJ192" s="27">
        <f t="shared" si="67"/>
        <v>2.6299744921147658E-2</v>
      </c>
      <c r="AK192" s="28">
        <f t="shared" si="68"/>
        <v>3.1239566620470624E-3</v>
      </c>
      <c r="AL192" s="27">
        <f t="shared" si="69"/>
        <v>2.6299744921147658E-2</v>
      </c>
      <c r="AM192" s="28">
        <f t="shared" si="80"/>
        <v>2.6558345460906185E-2</v>
      </c>
      <c r="AN192" s="27">
        <f t="shared" si="81"/>
        <v>-2.6299744921147658E-2</v>
      </c>
      <c r="AO192" s="28">
        <f t="shared" si="70"/>
        <v>-2.6299744921147658E-2</v>
      </c>
      <c r="AP192" s="27">
        <f t="shared" si="71"/>
        <v>-3.1239566620470624E-3</v>
      </c>
      <c r="AQ192" s="29">
        <f t="shared" si="72"/>
        <v>-2.6299744921147658E-2</v>
      </c>
      <c r="AS192" s="30">
        <f t="shared" si="73"/>
        <v>0.9184663599353583</v>
      </c>
      <c r="AT192" s="21">
        <f t="shared" si="74"/>
        <v>3.9152990489045232</v>
      </c>
      <c r="AU192" s="31">
        <f t="shared" ca="1" si="82"/>
        <v>5.4816971216709032E-4</v>
      </c>
      <c r="AV192" s="109">
        <f t="shared" ca="1" si="83"/>
        <v>5.5061869443551181E-4</v>
      </c>
      <c r="AW192" s="27" t="e">
        <f t="shared" ca="1" si="84"/>
        <v>#VALUE!</v>
      </c>
      <c r="AX192" s="29" t="e">
        <f t="shared" ca="1" si="85"/>
        <v>#VALUE!</v>
      </c>
      <c r="AY192" s="72"/>
    </row>
    <row r="193" spans="13:51" s="11" customFormat="1" ht="15.6" customHeight="1" x14ac:dyDescent="0.3">
      <c r="M193" s="20">
        <f t="shared" si="86"/>
        <v>163</v>
      </c>
      <c r="N193" s="21">
        <f t="shared" si="87"/>
        <v>2.8525000000000067</v>
      </c>
      <c r="O193" s="22">
        <f t="shared" ca="1" si="59"/>
        <v>157.68747776811506</v>
      </c>
      <c r="P193" s="23">
        <f t="shared" ca="1" si="60"/>
        <v>-1</v>
      </c>
      <c r="Q193" s="22" t="e">
        <f t="shared" ca="1" si="61"/>
        <v>#VALUE!</v>
      </c>
      <c r="R193" s="23">
        <f t="shared" ca="1" si="62"/>
        <v>-1</v>
      </c>
      <c r="S193" s="24" t="e">
        <f t="shared" ca="1" si="63"/>
        <v>#VALUE!</v>
      </c>
      <c r="T193" s="23">
        <f t="shared" ca="1" si="64"/>
        <v>-1</v>
      </c>
      <c r="U193" s="112">
        <f t="shared" si="75"/>
        <v>2.6276701890640831E-2</v>
      </c>
      <c r="V193" s="109">
        <f t="shared" si="76"/>
        <v>-2.6276701890640831E-2</v>
      </c>
      <c r="W193" s="112">
        <f t="shared" si="77"/>
        <v>2.6276701890640831E-2</v>
      </c>
      <c r="X193" s="113">
        <f t="shared" si="78"/>
        <v>-2.6276701890640831E-2</v>
      </c>
      <c r="Y193" s="32"/>
      <c r="Z193" s="32"/>
      <c r="AA193" s="32"/>
      <c r="AB193" s="32"/>
      <c r="AC193" s="32"/>
      <c r="AD193" s="32"/>
      <c r="AE193" s="32"/>
      <c r="AG193" s="26">
        <f t="shared" si="65"/>
        <v>0</v>
      </c>
      <c r="AH193" s="27">
        <f t="shared" si="66"/>
        <v>6.5865923923130176E-2</v>
      </c>
      <c r="AI193" s="28">
        <f t="shared" si="79"/>
        <v>2.6276701890640831E-2</v>
      </c>
      <c r="AJ193" s="27">
        <f t="shared" si="67"/>
        <v>2.6276701890640831E-2</v>
      </c>
      <c r="AK193" s="28">
        <f t="shared" si="68"/>
        <v>3.111630524152505E-3</v>
      </c>
      <c r="AL193" s="27">
        <f t="shared" si="69"/>
        <v>2.6276701890640831E-2</v>
      </c>
      <c r="AM193" s="28">
        <f t="shared" si="80"/>
        <v>2.6558345460906185E-2</v>
      </c>
      <c r="AN193" s="27">
        <f t="shared" si="81"/>
        <v>-2.6276701890640831E-2</v>
      </c>
      <c r="AO193" s="28">
        <f t="shared" si="70"/>
        <v>-2.6276701890640831E-2</v>
      </c>
      <c r="AP193" s="27">
        <f t="shared" si="71"/>
        <v>-3.111630524152505E-3</v>
      </c>
      <c r="AQ193" s="29">
        <f t="shared" si="72"/>
        <v>-2.6276701890640831E-2</v>
      </c>
      <c r="AS193" s="30">
        <f t="shared" si="73"/>
        <v>0.91798429165038953</v>
      </c>
      <c r="AT193" s="21">
        <f t="shared" si="74"/>
        <v>3.8998505260227745</v>
      </c>
      <c r="AU193" s="31">
        <f t="shared" ca="1" si="82"/>
        <v>5.489787745550645E-4</v>
      </c>
      <c r="AV193" s="109">
        <f t="shared" ca="1" si="83"/>
        <v>5.5142416823361629E-4</v>
      </c>
      <c r="AW193" s="27" t="e">
        <f t="shared" ca="1" si="84"/>
        <v>#VALUE!</v>
      </c>
      <c r="AX193" s="29" t="e">
        <f t="shared" ca="1" si="85"/>
        <v>#VALUE!</v>
      </c>
      <c r="AY193" s="72"/>
    </row>
    <row r="194" spans="13:51" s="11" customFormat="1" ht="15.6" customHeight="1" x14ac:dyDescent="0.3">
      <c r="M194" s="20">
        <f t="shared" si="86"/>
        <v>164</v>
      </c>
      <c r="N194" s="21">
        <f t="shared" si="87"/>
        <v>2.8700000000000068</v>
      </c>
      <c r="O194" s="22">
        <f t="shared" ca="1" si="59"/>
        <v>157.96516824508075</v>
      </c>
      <c r="P194" s="23">
        <f t="shared" ca="1" si="60"/>
        <v>-1</v>
      </c>
      <c r="Q194" s="22" t="e">
        <f t="shared" ca="1" si="61"/>
        <v>#VALUE!</v>
      </c>
      <c r="R194" s="23">
        <f t="shared" ca="1" si="62"/>
        <v>-1</v>
      </c>
      <c r="S194" s="24" t="e">
        <f t="shared" ca="1" si="63"/>
        <v>#VALUE!</v>
      </c>
      <c r="T194" s="23">
        <f t="shared" ca="1" si="64"/>
        <v>-1</v>
      </c>
      <c r="U194" s="112">
        <f t="shared" si="75"/>
        <v>2.6252718185269659E-2</v>
      </c>
      <c r="V194" s="109">
        <f t="shared" si="76"/>
        <v>-2.6252718185269659E-2</v>
      </c>
      <c r="W194" s="112">
        <f t="shared" si="77"/>
        <v>2.6252718185269659E-2</v>
      </c>
      <c r="X194" s="113">
        <f t="shared" si="78"/>
        <v>-2.6252718185269659E-2</v>
      </c>
      <c r="Y194" s="32"/>
      <c r="Z194" s="32"/>
      <c r="AA194" s="32"/>
      <c r="AB194" s="32"/>
      <c r="AC194" s="32"/>
      <c r="AD194" s="32"/>
      <c r="AE194" s="32"/>
      <c r="AG194" s="26">
        <f t="shared" si="65"/>
        <v>0</v>
      </c>
      <c r="AH194" s="27">
        <f t="shared" si="66"/>
        <v>6.580580568911637E-2</v>
      </c>
      <c r="AI194" s="28">
        <f t="shared" si="79"/>
        <v>2.6252718185269659E-2</v>
      </c>
      <c r="AJ194" s="27">
        <f t="shared" si="67"/>
        <v>2.6252718185269659E-2</v>
      </c>
      <c r="AK194" s="28">
        <f t="shared" si="68"/>
        <v>3.0992979133365605E-3</v>
      </c>
      <c r="AL194" s="27">
        <f t="shared" si="69"/>
        <v>2.6252718185269659E-2</v>
      </c>
      <c r="AM194" s="28">
        <f t="shared" si="80"/>
        <v>2.6558345460906185E-2</v>
      </c>
      <c r="AN194" s="27">
        <f t="shared" si="81"/>
        <v>-2.6252718185269659E-2</v>
      </c>
      <c r="AO194" s="28">
        <f t="shared" si="70"/>
        <v>-2.6252718185269659E-2</v>
      </c>
      <c r="AP194" s="27">
        <f t="shared" si="71"/>
        <v>-3.0992979133365605E-3</v>
      </c>
      <c r="AQ194" s="29">
        <f t="shared" si="72"/>
        <v>-2.6252718185269659E-2</v>
      </c>
      <c r="AS194" s="30">
        <f t="shared" si="73"/>
        <v>0.91750247638484705</v>
      </c>
      <c r="AT194" s="21">
        <f t="shared" si="74"/>
        <v>3.8843938905371411</v>
      </c>
      <c r="AU194" s="31">
        <f t="shared" ca="1" si="82"/>
        <v>5.4977539420453247E-4</v>
      </c>
      <c r="AV194" s="109">
        <f t="shared" ca="1" si="83"/>
        <v>5.5221719818143722E-4</v>
      </c>
      <c r="AW194" s="27" t="e">
        <f t="shared" ca="1" si="84"/>
        <v>#VALUE!</v>
      </c>
      <c r="AX194" s="29" t="e">
        <f t="shared" ca="1" si="85"/>
        <v>#VALUE!</v>
      </c>
      <c r="AY194" s="72"/>
    </row>
    <row r="195" spans="13:51" s="11" customFormat="1" ht="15.6" customHeight="1" x14ac:dyDescent="0.3">
      <c r="M195" s="20">
        <f t="shared" si="86"/>
        <v>165</v>
      </c>
      <c r="N195" s="21">
        <f t="shared" si="87"/>
        <v>2.8875000000000068</v>
      </c>
      <c r="O195" s="22">
        <f t="shared" ca="1" si="59"/>
        <v>158.24198154226045</v>
      </c>
      <c r="P195" s="23">
        <f t="shared" ca="1" si="60"/>
        <v>-1</v>
      </c>
      <c r="Q195" s="22" t="e">
        <f t="shared" ca="1" si="61"/>
        <v>#VALUE!</v>
      </c>
      <c r="R195" s="23">
        <f t="shared" ca="1" si="62"/>
        <v>-1</v>
      </c>
      <c r="S195" s="24" t="e">
        <f t="shared" ca="1" si="63"/>
        <v>#VALUE!</v>
      </c>
      <c r="T195" s="23">
        <f t="shared" ca="1" si="64"/>
        <v>-1</v>
      </c>
      <c r="U195" s="112">
        <f t="shared" si="75"/>
        <v>2.6227798453913667E-2</v>
      </c>
      <c r="V195" s="109">
        <f t="shared" si="76"/>
        <v>-2.6227798453913667E-2</v>
      </c>
      <c r="W195" s="112">
        <f t="shared" si="77"/>
        <v>2.6227798453913667E-2</v>
      </c>
      <c r="X195" s="113">
        <f t="shared" si="78"/>
        <v>-2.6227798453913667E-2</v>
      </c>
      <c r="Y195" s="32"/>
      <c r="Z195" s="32"/>
      <c r="AA195" s="32"/>
      <c r="AB195" s="32"/>
      <c r="AC195" s="32"/>
      <c r="AD195" s="32"/>
      <c r="AE195" s="32"/>
      <c r="AG195" s="26">
        <f t="shared" si="65"/>
        <v>0</v>
      </c>
      <c r="AH195" s="27">
        <f t="shared" si="66"/>
        <v>6.5743341185903234E-2</v>
      </c>
      <c r="AI195" s="28">
        <f t="shared" si="79"/>
        <v>2.6227798453913667E-2</v>
      </c>
      <c r="AJ195" s="27">
        <f t="shared" si="67"/>
        <v>2.6227798453913667E-2</v>
      </c>
      <c r="AK195" s="28">
        <f t="shared" si="68"/>
        <v>3.0869588262000514E-3</v>
      </c>
      <c r="AL195" s="27">
        <f t="shared" si="69"/>
        <v>2.6227798453913667E-2</v>
      </c>
      <c r="AM195" s="28">
        <f t="shared" si="80"/>
        <v>2.6558345460906185E-2</v>
      </c>
      <c r="AN195" s="27">
        <f t="shared" si="81"/>
        <v>-2.6227798453913667E-2</v>
      </c>
      <c r="AO195" s="28">
        <f t="shared" si="70"/>
        <v>-2.6227798453913667E-2</v>
      </c>
      <c r="AP195" s="27">
        <f t="shared" si="71"/>
        <v>-3.0869588262000518E-3</v>
      </c>
      <c r="AQ195" s="29">
        <f t="shared" si="72"/>
        <v>-2.6227798453913667E-2</v>
      </c>
      <c r="AS195" s="30">
        <f t="shared" si="73"/>
        <v>0.91702091400593033</v>
      </c>
      <c r="AT195" s="21">
        <f t="shared" si="74"/>
        <v>3.8689291381873865</v>
      </c>
      <c r="AU195" s="31">
        <f t="shared" ca="1" si="82"/>
        <v>5.505595057223589E-4</v>
      </c>
      <c r="AV195" s="109">
        <f t="shared" ca="1" si="83"/>
        <v>5.5299771906303086E-4</v>
      </c>
      <c r="AW195" s="27" t="e">
        <f t="shared" ca="1" si="84"/>
        <v>#VALUE!</v>
      </c>
      <c r="AX195" s="29" t="e">
        <f t="shared" ca="1" si="85"/>
        <v>#VALUE!</v>
      </c>
      <c r="AY195" s="72"/>
    </row>
    <row r="196" spans="13:51" s="11" customFormat="1" ht="15.6" customHeight="1" x14ac:dyDescent="0.3">
      <c r="M196" s="20">
        <f t="shared" si="86"/>
        <v>166</v>
      </c>
      <c r="N196" s="21">
        <f t="shared" si="87"/>
        <v>2.9050000000000069</v>
      </c>
      <c r="O196" s="22">
        <f t="shared" ca="1" si="59"/>
        <v>158.5179094507524</v>
      </c>
      <c r="P196" s="23">
        <f t="shared" ca="1" si="60"/>
        <v>-1</v>
      </c>
      <c r="Q196" s="22" t="e">
        <f t="shared" ca="1" si="61"/>
        <v>#VALUE!</v>
      </c>
      <c r="R196" s="23">
        <f t="shared" ca="1" si="62"/>
        <v>-1</v>
      </c>
      <c r="S196" s="24" t="e">
        <f t="shared" ca="1" si="63"/>
        <v>#VALUE!</v>
      </c>
      <c r="T196" s="23">
        <f t="shared" ca="1" si="64"/>
        <v>-1</v>
      </c>
      <c r="U196" s="112">
        <f t="shared" si="75"/>
        <v>2.6201947278583024E-2</v>
      </c>
      <c r="V196" s="109">
        <f t="shared" si="76"/>
        <v>-2.6201947278583024E-2</v>
      </c>
      <c r="W196" s="112">
        <f t="shared" si="77"/>
        <v>2.6201947278583024E-2</v>
      </c>
      <c r="X196" s="113">
        <f t="shared" si="78"/>
        <v>-2.6201947278583024E-2</v>
      </c>
      <c r="Y196" s="32"/>
      <c r="Z196" s="32"/>
      <c r="AA196" s="32"/>
      <c r="AB196" s="32"/>
      <c r="AC196" s="32"/>
      <c r="AD196" s="32"/>
      <c r="AE196" s="32"/>
      <c r="AG196" s="26">
        <f t="shared" si="65"/>
        <v>0</v>
      </c>
      <c r="AH196" s="27">
        <f t="shared" si="66"/>
        <v>6.5678541898887E-2</v>
      </c>
      <c r="AI196" s="28">
        <f t="shared" si="79"/>
        <v>2.6201947278583024E-2</v>
      </c>
      <c r="AJ196" s="27">
        <f t="shared" si="67"/>
        <v>2.6201947278583024E-2</v>
      </c>
      <c r="AK196" s="28">
        <f t="shared" si="68"/>
        <v>3.0746132593420196E-3</v>
      </c>
      <c r="AL196" s="27">
        <f t="shared" si="69"/>
        <v>2.6201947278583024E-2</v>
      </c>
      <c r="AM196" s="28">
        <f t="shared" si="80"/>
        <v>2.6558345460906185E-2</v>
      </c>
      <c r="AN196" s="27">
        <f t="shared" si="81"/>
        <v>-2.6201947278583024E-2</v>
      </c>
      <c r="AO196" s="28">
        <f t="shared" si="70"/>
        <v>-2.6201947278583024E-2</v>
      </c>
      <c r="AP196" s="27">
        <f t="shared" si="71"/>
        <v>-3.0746132593420196E-3</v>
      </c>
      <c r="AQ196" s="29">
        <f t="shared" si="72"/>
        <v>-2.6201947278583024E-2</v>
      </c>
      <c r="AS196" s="30">
        <f t="shared" si="73"/>
        <v>0.91653960438090887</v>
      </c>
      <c r="AT196" s="21">
        <f t="shared" si="74"/>
        <v>3.8534562647110415</v>
      </c>
      <c r="AU196" s="31">
        <f t="shared" ca="1" si="82"/>
        <v>5.5133104408078282E-4</v>
      </c>
      <c r="AV196" s="109">
        <f t="shared" ca="1" si="83"/>
        <v>5.5376566602738375E-4</v>
      </c>
      <c r="AW196" s="27" t="e">
        <f t="shared" ca="1" si="84"/>
        <v>#VALUE!</v>
      </c>
      <c r="AX196" s="29" t="e">
        <f t="shared" ca="1" si="85"/>
        <v>#VALUE!</v>
      </c>
      <c r="AY196" s="72"/>
    </row>
    <row r="197" spans="13:51" s="11" customFormat="1" ht="15.6" customHeight="1" x14ac:dyDescent="0.3">
      <c r="M197" s="20">
        <f t="shared" si="86"/>
        <v>167</v>
      </c>
      <c r="N197" s="21">
        <f t="shared" si="87"/>
        <v>2.922500000000007</v>
      </c>
      <c r="O197" s="22">
        <f t="shared" ca="1" si="59"/>
        <v>158.79294376165487</v>
      </c>
      <c r="P197" s="23">
        <f t="shared" ca="1" si="60"/>
        <v>-1</v>
      </c>
      <c r="Q197" s="22" t="e">
        <f t="shared" ca="1" si="61"/>
        <v>#VALUE!</v>
      </c>
      <c r="R197" s="23">
        <f t="shared" ca="1" si="62"/>
        <v>-1</v>
      </c>
      <c r="S197" s="24" t="e">
        <f t="shared" ca="1" si="63"/>
        <v>#VALUE!</v>
      </c>
      <c r="T197" s="23">
        <f t="shared" ca="1" si="64"/>
        <v>-1</v>
      </c>
      <c r="U197" s="112">
        <f t="shared" si="75"/>
        <v>2.6175169175759707E-2</v>
      </c>
      <c r="V197" s="109">
        <f t="shared" si="76"/>
        <v>-2.6175169175759707E-2</v>
      </c>
      <c r="W197" s="112">
        <f t="shared" si="77"/>
        <v>2.6175169175759707E-2</v>
      </c>
      <c r="X197" s="113">
        <f t="shared" si="78"/>
        <v>-2.6175169175759707E-2</v>
      </c>
      <c r="Y197" s="32"/>
      <c r="Z197" s="32"/>
      <c r="AA197" s="32"/>
      <c r="AB197" s="32"/>
      <c r="AC197" s="32"/>
      <c r="AD197" s="32"/>
      <c r="AE197" s="32"/>
      <c r="AG197" s="26">
        <f t="shared" si="65"/>
        <v>0</v>
      </c>
      <c r="AH197" s="27">
        <f t="shared" si="66"/>
        <v>6.5611419149209094E-2</v>
      </c>
      <c r="AI197" s="28">
        <f t="shared" si="79"/>
        <v>2.6175169175759707E-2</v>
      </c>
      <c r="AJ197" s="27">
        <f t="shared" si="67"/>
        <v>2.6175169175759707E-2</v>
      </c>
      <c r="AK197" s="28">
        <f t="shared" si="68"/>
        <v>3.0622612093597133E-3</v>
      </c>
      <c r="AL197" s="27">
        <f t="shared" si="69"/>
        <v>2.6175169175759707E-2</v>
      </c>
      <c r="AM197" s="28">
        <f t="shared" si="80"/>
        <v>2.6558345460906185E-2</v>
      </c>
      <c r="AN197" s="27">
        <f t="shared" si="81"/>
        <v>-2.6175169175759707E-2</v>
      </c>
      <c r="AO197" s="28">
        <f t="shared" si="70"/>
        <v>-2.6175169175759707E-2</v>
      </c>
      <c r="AP197" s="27">
        <f t="shared" si="71"/>
        <v>-3.0622612093597133E-3</v>
      </c>
      <c r="AQ197" s="29">
        <f t="shared" si="72"/>
        <v>-2.6175169175759707E-2</v>
      </c>
      <c r="AS197" s="30">
        <f t="shared" si="73"/>
        <v>0.91605854737712167</v>
      </c>
      <c r="AT197" s="21">
        <f t="shared" si="74"/>
        <v>3.8379752658433892</v>
      </c>
      <c r="AU197" s="31">
        <f t="shared" ca="1" si="82"/>
        <v>5.5208994461530825E-4</v>
      </c>
      <c r="AV197" s="109">
        <f t="shared" ca="1" si="83"/>
        <v>5.5452097458852379E-4</v>
      </c>
      <c r="AW197" s="27" t="e">
        <f t="shared" ca="1" si="84"/>
        <v>#VALUE!</v>
      </c>
      <c r="AX197" s="29" t="e">
        <f t="shared" ca="1" si="85"/>
        <v>#VALUE!</v>
      </c>
      <c r="AY197" s="72"/>
    </row>
    <row r="198" spans="13:51" s="11" customFormat="1" ht="15.6" customHeight="1" x14ac:dyDescent="0.3">
      <c r="M198" s="20">
        <f t="shared" si="86"/>
        <v>168</v>
      </c>
      <c r="N198" s="21">
        <f t="shared" si="87"/>
        <v>2.9400000000000071</v>
      </c>
      <c r="O198" s="22">
        <f t="shared" ca="1" si="59"/>
        <v>159.06707626606615</v>
      </c>
      <c r="P198" s="23">
        <f t="shared" ca="1" si="60"/>
        <v>-1</v>
      </c>
      <c r="Q198" s="22" t="e">
        <f t="shared" ca="1" si="61"/>
        <v>#VALUE!</v>
      </c>
      <c r="R198" s="23">
        <f t="shared" ca="1" si="62"/>
        <v>-1</v>
      </c>
      <c r="S198" s="24" t="e">
        <f t="shared" ca="1" si="63"/>
        <v>#VALUE!</v>
      </c>
      <c r="T198" s="23">
        <f t="shared" ca="1" si="64"/>
        <v>-1</v>
      </c>
      <c r="U198" s="112">
        <f t="shared" si="75"/>
        <v>2.6147468597703821E-2</v>
      </c>
      <c r="V198" s="109">
        <f t="shared" si="76"/>
        <v>-2.6147468597703821E-2</v>
      </c>
      <c r="W198" s="112">
        <f t="shared" si="77"/>
        <v>2.6147468597703821E-2</v>
      </c>
      <c r="X198" s="113">
        <f t="shared" si="78"/>
        <v>-2.6147468597703821E-2</v>
      </c>
      <c r="Y198" s="32"/>
      <c r="Z198" s="32"/>
      <c r="AA198" s="32"/>
      <c r="AB198" s="32"/>
      <c r="AC198" s="32"/>
      <c r="AD198" s="32"/>
      <c r="AE198" s="32"/>
      <c r="AG198" s="26">
        <f t="shared" si="65"/>
        <v>0</v>
      </c>
      <c r="AH198" s="27">
        <f t="shared" si="66"/>
        <v>6.5541984097030589E-2</v>
      </c>
      <c r="AI198" s="28">
        <f t="shared" si="79"/>
        <v>2.6147468597703821E-2</v>
      </c>
      <c r="AJ198" s="27">
        <f t="shared" si="67"/>
        <v>2.6147468597703821E-2</v>
      </c>
      <c r="AK198" s="28">
        <f t="shared" si="68"/>
        <v>3.0499026728486038E-3</v>
      </c>
      <c r="AL198" s="27">
        <f t="shared" si="69"/>
        <v>2.6147468597703821E-2</v>
      </c>
      <c r="AM198" s="28">
        <f t="shared" si="80"/>
        <v>2.6558345460906185E-2</v>
      </c>
      <c r="AN198" s="27">
        <f t="shared" si="81"/>
        <v>-2.6147468597703821E-2</v>
      </c>
      <c r="AO198" s="28">
        <f t="shared" si="70"/>
        <v>-2.6147468597703821E-2</v>
      </c>
      <c r="AP198" s="27">
        <f t="shared" si="71"/>
        <v>-3.0499026728486043E-3</v>
      </c>
      <c r="AQ198" s="29">
        <f t="shared" si="72"/>
        <v>-2.6147468597703821E-2</v>
      </c>
      <c r="AS198" s="30">
        <f t="shared" si="73"/>
        <v>0.91557774286197735</v>
      </c>
      <c r="AT198" s="21">
        <f t="shared" si="74"/>
        <v>3.8224861373174863</v>
      </c>
      <c r="AU198" s="31">
        <f t="shared" ca="1" si="82"/>
        <v>5.5283614302459316E-4</v>
      </c>
      <c r="AV198" s="109">
        <f t="shared" ca="1" si="83"/>
        <v>5.5526358062374381E-4</v>
      </c>
      <c r="AW198" s="27" t="e">
        <f t="shared" ca="1" si="84"/>
        <v>#VALUE!</v>
      </c>
      <c r="AX198" s="29" t="e">
        <f t="shared" ca="1" si="85"/>
        <v>#VALUE!</v>
      </c>
      <c r="AY198" s="72"/>
    </row>
    <row r="199" spans="13:51" s="11" customFormat="1" ht="15.6" customHeight="1" x14ac:dyDescent="0.3">
      <c r="M199" s="20">
        <f t="shared" si="86"/>
        <v>169</v>
      </c>
      <c r="N199" s="21">
        <f t="shared" si="87"/>
        <v>2.9575000000000071</v>
      </c>
      <c r="O199" s="22">
        <f t="shared" ca="1" si="59"/>
        <v>159.34029875508443</v>
      </c>
      <c r="P199" s="23">
        <f t="shared" ca="1" si="60"/>
        <v>-1</v>
      </c>
      <c r="Q199" s="22" t="e">
        <f t="shared" ca="1" si="61"/>
        <v>#VALUE!</v>
      </c>
      <c r="R199" s="23">
        <f t="shared" ca="1" si="62"/>
        <v>-1</v>
      </c>
      <c r="S199" s="24" t="e">
        <f t="shared" ca="1" si="63"/>
        <v>#VALUE!</v>
      </c>
      <c r="T199" s="23">
        <f t="shared" ca="1" si="64"/>
        <v>-1</v>
      </c>
      <c r="U199" s="112">
        <f t="shared" si="75"/>
        <v>2.6118849933725648E-2</v>
      </c>
      <c r="V199" s="109">
        <f t="shared" si="76"/>
        <v>-2.6118849933725648E-2</v>
      </c>
      <c r="W199" s="112">
        <f t="shared" si="77"/>
        <v>2.6118849933725648E-2</v>
      </c>
      <c r="X199" s="113">
        <f t="shared" si="78"/>
        <v>-2.6118849933725648E-2</v>
      </c>
      <c r="Y199" s="32"/>
      <c r="Z199" s="32"/>
      <c r="AA199" s="32"/>
      <c r="AB199" s="32"/>
      <c r="AC199" s="32"/>
      <c r="AD199" s="32"/>
      <c r="AE199" s="32"/>
      <c r="AG199" s="26">
        <f t="shared" si="65"/>
        <v>0</v>
      </c>
      <c r="AH199" s="27">
        <f t="shared" si="66"/>
        <v>6.5470247744720739E-2</v>
      </c>
      <c r="AI199" s="28">
        <f t="shared" si="79"/>
        <v>2.6118849933725648E-2</v>
      </c>
      <c r="AJ199" s="27">
        <f t="shared" si="67"/>
        <v>2.6118849933725648E-2</v>
      </c>
      <c r="AK199" s="28">
        <f t="shared" si="68"/>
        <v>3.0375376464023664E-3</v>
      </c>
      <c r="AL199" s="27">
        <f t="shared" si="69"/>
        <v>2.6118849933725648E-2</v>
      </c>
      <c r="AM199" s="28">
        <f t="shared" si="80"/>
        <v>2.6558345460906185E-2</v>
      </c>
      <c r="AN199" s="27">
        <f t="shared" si="81"/>
        <v>-2.6118849933725648E-2</v>
      </c>
      <c r="AO199" s="28">
        <f t="shared" si="70"/>
        <v>-2.6118849933725648E-2</v>
      </c>
      <c r="AP199" s="27">
        <f t="shared" si="71"/>
        <v>-3.0375376464023664E-3</v>
      </c>
      <c r="AQ199" s="29">
        <f t="shared" si="72"/>
        <v>-2.6118849933725648E-2</v>
      </c>
      <c r="AS199" s="30">
        <f t="shared" si="73"/>
        <v>0.91509719070295426</v>
      </c>
      <c r="AT199" s="21">
        <f t="shared" si="74"/>
        <v>3.8069888748641367</v>
      </c>
      <c r="AU199" s="31">
        <f t="shared" ca="1" si="82"/>
        <v>5.535695753700054E-4</v>
      </c>
      <c r="AV199" s="109">
        <f t="shared" ca="1" si="83"/>
        <v>5.5599342037437882E-4</v>
      </c>
      <c r="AW199" s="27" t="e">
        <f t="shared" ca="1" si="84"/>
        <v>#VALUE!</v>
      </c>
      <c r="AX199" s="29" t="e">
        <f t="shared" ca="1" si="85"/>
        <v>#VALUE!</v>
      </c>
      <c r="AY199" s="72"/>
    </row>
    <row r="200" spans="13:51" s="11" customFormat="1" ht="15.6" customHeight="1" x14ac:dyDescent="0.3">
      <c r="M200" s="20">
        <f t="shared" si="86"/>
        <v>170</v>
      </c>
      <c r="N200" s="21">
        <f t="shared" si="87"/>
        <v>2.9750000000000072</v>
      </c>
      <c r="O200" s="22">
        <f t="shared" ca="1" si="59"/>
        <v>159.61260301980803</v>
      </c>
      <c r="P200" s="23">
        <f t="shared" ca="1" si="60"/>
        <v>-1</v>
      </c>
      <c r="Q200" s="22" t="e">
        <f t="shared" ca="1" si="61"/>
        <v>#VALUE!</v>
      </c>
      <c r="R200" s="23">
        <f t="shared" ca="1" si="62"/>
        <v>-1</v>
      </c>
      <c r="S200" s="24" t="e">
        <f t="shared" ca="1" si="63"/>
        <v>#VALUE!</v>
      </c>
      <c r="T200" s="23">
        <f t="shared" ca="1" si="64"/>
        <v>-1</v>
      </c>
      <c r="U200" s="112">
        <f t="shared" si="75"/>
        <v>2.6089317511425087E-2</v>
      </c>
      <c r="V200" s="109">
        <f t="shared" si="76"/>
        <v>-2.6089317511425087E-2</v>
      </c>
      <c r="W200" s="112">
        <f t="shared" si="77"/>
        <v>2.6089317511425087E-2</v>
      </c>
      <c r="X200" s="113">
        <f t="shared" si="78"/>
        <v>-2.6089317511425087E-2</v>
      </c>
      <c r="Y200" s="32"/>
      <c r="Z200" s="32"/>
      <c r="AA200" s="32"/>
      <c r="AB200" s="32"/>
      <c r="AC200" s="32"/>
      <c r="AD200" s="32"/>
      <c r="AE200" s="32"/>
      <c r="AG200" s="26">
        <f t="shared" si="65"/>
        <v>0</v>
      </c>
      <c r="AH200" s="27">
        <f t="shared" si="66"/>
        <v>6.5396220939963806E-2</v>
      </c>
      <c r="AI200" s="28">
        <f t="shared" si="79"/>
        <v>2.6089317511425087E-2</v>
      </c>
      <c r="AJ200" s="27">
        <f t="shared" si="67"/>
        <v>2.6089317511425087E-2</v>
      </c>
      <c r="AK200" s="28">
        <f t="shared" si="68"/>
        <v>3.0251661266128918E-3</v>
      </c>
      <c r="AL200" s="27">
        <f t="shared" si="69"/>
        <v>2.6089317511425087E-2</v>
      </c>
      <c r="AM200" s="28">
        <f t="shared" si="80"/>
        <v>2.6558345460906185E-2</v>
      </c>
      <c r="AN200" s="27">
        <f t="shared" si="81"/>
        <v>-2.6089317511425087E-2</v>
      </c>
      <c r="AO200" s="28">
        <f t="shared" si="70"/>
        <v>-2.6089317511425087E-2</v>
      </c>
      <c r="AP200" s="27">
        <f t="shared" si="71"/>
        <v>-3.0251661266128918E-3</v>
      </c>
      <c r="AQ200" s="29">
        <f t="shared" si="72"/>
        <v>-2.6089317511425087E-2</v>
      </c>
      <c r="AS200" s="30">
        <f t="shared" si="73"/>
        <v>0.91461689076760011</v>
      </c>
      <c r="AT200" s="21">
        <f t="shared" si="74"/>
        <v>3.7914834742119097</v>
      </c>
      <c r="AU200" s="31">
        <f t="shared" ca="1" si="82"/>
        <v>5.5429017807473446E-4</v>
      </c>
      <c r="AV200" s="109">
        <f t="shared" ca="1" si="83"/>
        <v>5.5671043044358548E-4</v>
      </c>
      <c r="AW200" s="27" t="e">
        <f t="shared" ca="1" si="84"/>
        <v>#VALUE!</v>
      </c>
      <c r="AX200" s="29" t="e">
        <f t="shared" ca="1" si="85"/>
        <v>#VALUE!</v>
      </c>
      <c r="AY200" s="72"/>
    </row>
    <row r="201" spans="13:51" s="11" customFormat="1" ht="15.6" customHeight="1" x14ac:dyDescent="0.3">
      <c r="M201" s="20">
        <f t="shared" si="86"/>
        <v>171</v>
      </c>
      <c r="N201" s="21">
        <f t="shared" si="87"/>
        <v>2.9925000000000073</v>
      </c>
      <c r="O201" s="22">
        <f t="shared" ca="1" si="59"/>
        <v>159.8839808513352</v>
      </c>
      <c r="P201" s="23">
        <f t="shared" ca="1" si="60"/>
        <v>160</v>
      </c>
      <c r="Q201" s="22" t="e">
        <f t="shared" ca="1" si="61"/>
        <v>#VALUE!</v>
      </c>
      <c r="R201" s="23">
        <f t="shared" ca="1" si="62"/>
        <v>0</v>
      </c>
      <c r="S201" s="24" t="e">
        <f t="shared" ca="1" si="63"/>
        <v>#VALUE!</v>
      </c>
      <c r="T201" s="23">
        <f t="shared" ca="1" si="64"/>
        <v>0</v>
      </c>
      <c r="U201" s="112">
        <f t="shared" si="75"/>
        <v>2.605887559789909E-2</v>
      </c>
      <c r="V201" s="109">
        <f t="shared" si="76"/>
        <v>-2.605887559789909E-2</v>
      </c>
      <c r="W201" s="112">
        <f t="shared" si="77"/>
        <v>2.605887559789909E-2</v>
      </c>
      <c r="X201" s="113">
        <f t="shared" si="78"/>
        <v>-2.605887559789909E-2</v>
      </c>
      <c r="Y201" s="32"/>
      <c r="Z201" s="32"/>
      <c r="AA201" s="32"/>
      <c r="AB201" s="32"/>
      <c r="AC201" s="32"/>
      <c r="AD201" s="32"/>
      <c r="AE201" s="32"/>
      <c r="AG201" s="26">
        <f t="shared" si="65"/>
        <v>0</v>
      </c>
      <c r="AH201" s="27">
        <f t="shared" si="66"/>
        <v>6.5319914378785676E-2</v>
      </c>
      <c r="AI201" s="28">
        <f t="shared" si="79"/>
        <v>2.605887559789909E-2</v>
      </c>
      <c r="AJ201" s="27">
        <f t="shared" si="67"/>
        <v>2.605887559789909E-2</v>
      </c>
      <c r="AK201" s="28">
        <f t="shared" si="68"/>
        <v>3.0127881100702786E-3</v>
      </c>
      <c r="AL201" s="27">
        <f t="shared" si="69"/>
        <v>2.605887559789909E-2</v>
      </c>
      <c r="AM201" s="28">
        <f t="shared" si="80"/>
        <v>2.6558345460906185E-2</v>
      </c>
      <c r="AN201" s="27">
        <f t="shared" si="81"/>
        <v>-2.605887559789909E-2</v>
      </c>
      <c r="AO201" s="28">
        <f t="shared" si="70"/>
        <v>-2.605887559789909E-2</v>
      </c>
      <c r="AP201" s="27">
        <f t="shared" si="71"/>
        <v>-3.0127881100702786E-3</v>
      </c>
      <c r="AQ201" s="29">
        <f t="shared" si="72"/>
        <v>-2.605887559789909E-2</v>
      </c>
      <c r="AS201" s="30">
        <f t="shared" si="73"/>
        <v>0.91413684292353226</v>
      </c>
      <c r="AT201" s="21">
        <f t="shared" si="74"/>
        <v>3.7759699310871273</v>
      </c>
      <c r="AU201" s="31">
        <f t="shared" ca="1" si="82"/>
        <v>5.5499788792301441E-4</v>
      </c>
      <c r="AV201" s="109">
        <f t="shared" ca="1" si="83"/>
        <v>5.5741454779745236E-4</v>
      </c>
      <c r="AW201" s="27" t="e">
        <f t="shared" ca="1" si="84"/>
        <v>#VALUE!</v>
      </c>
      <c r="AX201" s="29" t="e">
        <f t="shared" ca="1" si="85"/>
        <v>#VALUE!</v>
      </c>
      <c r="AY201" s="72"/>
    </row>
    <row r="202" spans="13:51" s="11" customFormat="1" ht="15.6" customHeight="1" x14ac:dyDescent="0.3">
      <c r="M202" s="20">
        <f t="shared" si="86"/>
        <v>172</v>
      </c>
      <c r="N202" s="21">
        <f t="shared" si="87"/>
        <v>3.0100000000000073</v>
      </c>
      <c r="O202" s="22">
        <f t="shared" ca="1" si="59"/>
        <v>160.15442125071687</v>
      </c>
      <c r="P202" s="23">
        <f t="shared" ca="1" si="60"/>
        <v>-1</v>
      </c>
      <c r="Q202" s="22" t="e">
        <f t="shared" ca="1" si="61"/>
        <v>#VALUE!</v>
      </c>
      <c r="R202" s="23">
        <f t="shared" ca="1" si="62"/>
        <v>-1</v>
      </c>
      <c r="S202" s="24" t="e">
        <f t="shared" ca="1" si="63"/>
        <v>#VALUE!</v>
      </c>
      <c r="T202" s="23">
        <f t="shared" ca="1" si="64"/>
        <v>-1</v>
      </c>
      <c r="U202" s="112">
        <f t="shared" si="75"/>
        <v>2.60275284009184E-2</v>
      </c>
      <c r="V202" s="109">
        <f t="shared" si="76"/>
        <v>-2.60275284009184E-2</v>
      </c>
      <c r="W202" s="112">
        <f t="shared" si="77"/>
        <v>2.60275284009184E-2</v>
      </c>
      <c r="X202" s="113">
        <f t="shared" si="78"/>
        <v>-2.60275284009184E-2</v>
      </c>
      <c r="Y202" s="32"/>
      <c r="Z202" s="32"/>
      <c r="AA202" s="32"/>
      <c r="AB202" s="32"/>
      <c r="AC202" s="32"/>
      <c r="AD202" s="32"/>
      <c r="AE202" s="32"/>
      <c r="AG202" s="26">
        <f t="shared" si="65"/>
        <v>0</v>
      </c>
      <c r="AH202" s="27">
        <f t="shared" si="66"/>
        <v>6.5241338608503452E-2</v>
      </c>
      <c r="AI202" s="28">
        <f t="shared" si="79"/>
        <v>2.60275284009184E-2</v>
      </c>
      <c r="AJ202" s="27">
        <f t="shared" si="67"/>
        <v>2.60275284009184E-2</v>
      </c>
      <c r="AK202" s="28">
        <f t="shared" si="68"/>
        <v>3.0004035933628359E-3</v>
      </c>
      <c r="AL202" s="27">
        <f t="shared" si="69"/>
        <v>2.60275284009184E-2</v>
      </c>
      <c r="AM202" s="28">
        <f t="shared" si="80"/>
        <v>2.6558345460906185E-2</v>
      </c>
      <c r="AN202" s="27">
        <f t="shared" si="81"/>
        <v>-2.60275284009184E-2</v>
      </c>
      <c r="AO202" s="28">
        <f t="shared" si="70"/>
        <v>-2.60275284009184E-2</v>
      </c>
      <c r="AP202" s="27">
        <f t="shared" si="71"/>
        <v>-3.0004035933628359E-3</v>
      </c>
      <c r="AQ202" s="29">
        <f t="shared" si="72"/>
        <v>-2.60275284009184E-2</v>
      </c>
      <c r="AS202" s="30">
        <f t="shared" si="73"/>
        <v>0.91365704703843753</v>
      </c>
      <c r="AT202" s="21">
        <f t="shared" si="74"/>
        <v>3.7604482412138691</v>
      </c>
      <c r="AU202" s="31">
        <f t="shared" ca="1" si="82"/>
        <v>5.5569135044286622E-4</v>
      </c>
      <c r="AV202" s="109">
        <f t="shared" ca="1" si="83"/>
        <v>5.5810441879311501E-4</v>
      </c>
      <c r="AW202" s="27" t="e">
        <f t="shared" ca="1" si="84"/>
        <v>#VALUE!</v>
      </c>
      <c r="AX202" s="29" t="e">
        <f t="shared" ca="1" si="85"/>
        <v>#VALUE!</v>
      </c>
      <c r="AY202" s="72"/>
    </row>
    <row r="203" spans="13:51" s="11" customFormat="1" ht="15.6" customHeight="1" x14ac:dyDescent="0.3">
      <c r="M203" s="20">
        <f t="shared" si="86"/>
        <v>173</v>
      </c>
      <c r="N203" s="21">
        <f t="shared" si="87"/>
        <v>3.0275000000000074</v>
      </c>
      <c r="O203" s="22">
        <f t="shared" ca="1" si="59"/>
        <v>160.42393335241528</v>
      </c>
      <c r="P203" s="23">
        <f t="shared" ca="1" si="60"/>
        <v>-1</v>
      </c>
      <c r="Q203" s="22" t="e">
        <f t="shared" ca="1" si="61"/>
        <v>#VALUE!</v>
      </c>
      <c r="R203" s="23">
        <f t="shared" ca="1" si="62"/>
        <v>-1</v>
      </c>
      <c r="S203" s="24" t="e">
        <f t="shared" ca="1" si="63"/>
        <v>#VALUE!</v>
      </c>
      <c r="T203" s="23">
        <f t="shared" ca="1" si="64"/>
        <v>-1</v>
      </c>
      <c r="U203" s="112">
        <f t="shared" si="75"/>
        <v>2.59952800700743E-2</v>
      </c>
      <c r="V203" s="109">
        <f t="shared" si="76"/>
        <v>-2.59952800700743E-2</v>
      </c>
      <c r="W203" s="112">
        <f t="shared" si="77"/>
        <v>2.59952800700743E-2</v>
      </c>
      <c r="X203" s="113">
        <f t="shared" si="78"/>
        <v>-2.59952800700743E-2</v>
      </c>
      <c r="Y203" s="32"/>
      <c r="Z203" s="32"/>
      <c r="AA203" s="32"/>
      <c r="AB203" s="32"/>
      <c r="AC203" s="32"/>
      <c r="AD203" s="32"/>
      <c r="AE203" s="32"/>
      <c r="AG203" s="26">
        <f t="shared" si="65"/>
        <v>0</v>
      </c>
      <c r="AH203" s="27">
        <f t="shared" si="66"/>
        <v>6.5160504030599975E-2</v>
      </c>
      <c r="AI203" s="28">
        <f t="shared" si="79"/>
        <v>2.59952800700743E-2</v>
      </c>
      <c r="AJ203" s="27">
        <f t="shared" si="67"/>
        <v>2.59952800700743E-2</v>
      </c>
      <c r="AK203" s="28">
        <f t="shared" si="68"/>
        <v>2.9880125730770827E-3</v>
      </c>
      <c r="AL203" s="27">
        <f t="shared" si="69"/>
        <v>2.59952800700743E-2</v>
      </c>
      <c r="AM203" s="28">
        <f t="shared" si="80"/>
        <v>2.6558345460906185E-2</v>
      </c>
      <c r="AN203" s="27">
        <f t="shared" si="81"/>
        <v>-2.59952800700743E-2</v>
      </c>
      <c r="AO203" s="28">
        <f t="shared" si="70"/>
        <v>-2.59952800700743E-2</v>
      </c>
      <c r="AP203" s="27">
        <f t="shared" si="71"/>
        <v>-2.9880125730770831E-3</v>
      </c>
      <c r="AQ203" s="29">
        <f t="shared" si="72"/>
        <v>-2.59952800700743E-2</v>
      </c>
      <c r="AS203" s="30">
        <f t="shared" si="73"/>
        <v>0.91317750298007228</v>
      </c>
      <c r="AT203" s="21">
        <f t="shared" si="74"/>
        <v>3.7449184003139719</v>
      </c>
      <c r="AU203" s="31">
        <f t="shared" ca="1" si="82"/>
        <v>5.5637984527934226E-4</v>
      </c>
      <c r="AV203" s="109">
        <f t="shared" ca="1" si="83"/>
        <v>5.5878931856079284E-4</v>
      </c>
      <c r="AW203" s="27" t="e">
        <f t="shared" ca="1" si="84"/>
        <v>#VALUE!</v>
      </c>
      <c r="AX203" s="29" t="e">
        <f t="shared" ca="1" si="85"/>
        <v>#VALUE!</v>
      </c>
      <c r="AY203" s="72"/>
    </row>
    <row r="204" spans="13:51" s="11" customFormat="1" ht="15.6" customHeight="1" x14ac:dyDescent="0.3">
      <c r="M204" s="20">
        <f t="shared" si="86"/>
        <v>174</v>
      </c>
      <c r="N204" s="21">
        <f t="shared" si="87"/>
        <v>3.0450000000000075</v>
      </c>
      <c r="O204" s="22">
        <f t="shared" ca="1" si="59"/>
        <v>160.69250839663738</v>
      </c>
      <c r="P204" s="23">
        <f t="shared" ca="1" si="60"/>
        <v>-1</v>
      </c>
      <c r="Q204" s="22" t="e">
        <f t="shared" ca="1" si="61"/>
        <v>#VALUE!</v>
      </c>
      <c r="R204" s="23">
        <f t="shared" ca="1" si="62"/>
        <v>-1</v>
      </c>
      <c r="S204" s="24" t="e">
        <f t="shared" ca="1" si="63"/>
        <v>#VALUE!</v>
      </c>
      <c r="T204" s="23">
        <f t="shared" ca="1" si="64"/>
        <v>-1</v>
      </c>
      <c r="U204" s="112">
        <f t="shared" si="75"/>
        <v>2.596213469789645E-2</v>
      </c>
      <c r="V204" s="109">
        <f t="shared" si="76"/>
        <v>-2.596213469789645E-2</v>
      </c>
      <c r="W204" s="112">
        <f t="shared" si="77"/>
        <v>2.596213469789645E-2</v>
      </c>
      <c r="X204" s="113">
        <f t="shared" si="78"/>
        <v>-2.596213469789645E-2</v>
      </c>
      <c r="Y204" s="32"/>
      <c r="Z204" s="32"/>
      <c r="AA204" s="32"/>
      <c r="AB204" s="32"/>
      <c r="AC204" s="32"/>
      <c r="AD204" s="32"/>
      <c r="AE204" s="32"/>
      <c r="AG204" s="26">
        <f t="shared" si="65"/>
        <v>0</v>
      </c>
      <c r="AH204" s="27">
        <f t="shared" si="66"/>
        <v>6.5077420903525807E-2</v>
      </c>
      <c r="AI204" s="28">
        <f t="shared" si="79"/>
        <v>2.596213469789645E-2</v>
      </c>
      <c r="AJ204" s="27">
        <f t="shared" si="67"/>
        <v>2.596213469789645E-2</v>
      </c>
      <c r="AK204" s="28">
        <f t="shared" si="68"/>
        <v>2.9756150457977415E-3</v>
      </c>
      <c r="AL204" s="27">
        <f t="shared" si="69"/>
        <v>2.596213469789645E-2</v>
      </c>
      <c r="AM204" s="28">
        <f t="shared" si="80"/>
        <v>2.6558345460906185E-2</v>
      </c>
      <c r="AN204" s="27">
        <f t="shared" si="81"/>
        <v>-2.596213469789645E-2</v>
      </c>
      <c r="AO204" s="28">
        <f t="shared" si="70"/>
        <v>-2.596213469789645E-2</v>
      </c>
      <c r="AP204" s="27">
        <f t="shared" si="71"/>
        <v>-2.9756150457977415E-3</v>
      </c>
      <c r="AQ204" s="29">
        <f t="shared" si="72"/>
        <v>-2.596213469789645E-2</v>
      </c>
      <c r="AS204" s="30">
        <f t="shared" si="73"/>
        <v>0.912698210616262</v>
      </c>
      <c r="AT204" s="21">
        <f t="shared" si="74"/>
        <v>3.7293804041070189</v>
      </c>
      <c r="AU204" s="31">
        <f t="shared" ca="1" si="82"/>
        <v>5.5705510721759666E-4</v>
      </c>
      <c r="AV204" s="109">
        <f t="shared" ca="1" si="83"/>
        <v>5.5946098613723905E-4</v>
      </c>
      <c r="AW204" s="27" t="e">
        <f t="shared" ca="1" si="84"/>
        <v>#VALUE!</v>
      </c>
      <c r="AX204" s="29" t="e">
        <f t="shared" ca="1" si="85"/>
        <v>#VALUE!</v>
      </c>
      <c r="AY204" s="72"/>
    </row>
    <row r="205" spans="13:51" s="11" customFormat="1" ht="15.6" customHeight="1" x14ac:dyDescent="0.3">
      <c r="M205" s="20">
        <f t="shared" si="86"/>
        <v>175</v>
      </c>
      <c r="N205" s="21">
        <f t="shared" si="87"/>
        <v>3.0625000000000075</v>
      </c>
      <c r="O205" s="22">
        <f t="shared" ca="1" si="59"/>
        <v>160.96013243448468</v>
      </c>
      <c r="P205" s="23">
        <f t="shared" ca="1" si="60"/>
        <v>-1</v>
      </c>
      <c r="Q205" s="22" t="e">
        <f t="shared" ca="1" si="61"/>
        <v>#VALUE!</v>
      </c>
      <c r="R205" s="23">
        <f t="shared" ca="1" si="62"/>
        <v>-1</v>
      </c>
      <c r="S205" s="24" t="e">
        <f t="shared" ca="1" si="63"/>
        <v>#VALUE!</v>
      </c>
      <c r="T205" s="23">
        <f t="shared" ca="1" si="64"/>
        <v>-1</v>
      </c>
      <c r="U205" s="112">
        <f t="shared" si="75"/>
        <v>2.5928096320942822E-2</v>
      </c>
      <c r="V205" s="109">
        <f t="shared" si="76"/>
        <v>-2.5928096320942822E-2</v>
      </c>
      <c r="W205" s="112">
        <f t="shared" si="77"/>
        <v>2.5928096320942822E-2</v>
      </c>
      <c r="X205" s="113">
        <f t="shared" si="78"/>
        <v>-2.5928096320942822E-2</v>
      </c>
      <c r="Y205" s="32"/>
      <c r="Z205" s="32"/>
      <c r="AA205" s="32"/>
      <c r="AB205" s="32"/>
      <c r="AC205" s="32"/>
      <c r="AD205" s="32"/>
      <c r="AE205" s="32"/>
      <c r="AG205" s="26">
        <f t="shared" si="65"/>
        <v>0</v>
      </c>
      <c r="AH205" s="27">
        <f t="shared" si="66"/>
        <v>6.4992099345431292E-2</v>
      </c>
      <c r="AI205" s="28">
        <f t="shared" si="79"/>
        <v>2.5928096320942822E-2</v>
      </c>
      <c r="AJ205" s="27">
        <f t="shared" si="67"/>
        <v>2.5928096320942822E-2</v>
      </c>
      <c r="AK205" s="28">
        <f t="shared" si="68"/>
        <v>2.9632110081077474E-3</v>
      </c>
      <c r="AL205" s="27">
        <f t="shared" si="69"/>
        <v>2.5928096320942822E-2</v>
      </c>
      <c r="AM205" s="28">
        <f t="shared" si="80"/>
        <v>2.6558345460906185E-2</v>
      </c>
      <c r="AN205" s="27">
        <f t="shared" si="81"/>
        <v>-2.5928096320942822E-2</v>
      </c>
      <c r="AO205" s="28">
        <f t="shared" si="70"/>
        <v>-2.5928096320942822E-2</v>
      </c>
      <c r="AP205" s="27">
        <f t="shared" si="71"/>
        <v>-2.9632110081077474E-3</v>
      </c>
      <c r="AQ205" s="29">
        <f t="shared" si="72"/>
        <v>-2.5928096320942822E-2</v>
      </c>
      <c r="AS205" s="30">
        <f t="shared" si="73"/>
        <v>0.9122191698149017</v>
      </c>
      <c r="AT205" s="21">
        <f t="shared" si="74"/>
        <v>3.7138342483103548</v>
      </c>
      <c r="AU205" s="31">
        <f t="shared" ca="1" si="82"/>
        <v>5.5771462916565095E-4</v>
      </c>
      <c r="AV205" s="109">
        <f t="shared" ca="1" si="83"/>
        <v>5.6011691586399515E-4</v>
      </c>
      <c r="AW205" s="27" t="e">
        <f t="shared" ca="1" si="84"/>
        <v>#VALUE!</v>
      </c>
      <c r="AX205" s="29" t="e">
        <f t="shared" ca="1" si="85"/>
        <v>#VALUE!</v>
      </c>
      <c r="AY205" s="72"/>
    </row>
    <row r="206" spans="13:51" s="11" customFormat="1" ht="15.6" customHeight="1" x14ac:dyDescent="0.3">
      <c r="M206" s="20">
        <f t="shared" si="86"/>
        <v>176</v>
      </c>
      <c r="N206" s="21">
        <f t="shared" si="87"/>
        <v>3.0800000000000076</v>
      </c>
      <c r="O206" s="22">
        <f t="shared" ca="1" si="59"/>
        <v>161.22682134052138</v>
      </c>
      <c r="P206" s="23">
        <f t="shared" ca="1" si="60"/>
        <v>-1</v>
      </c>
      <c r="Q206" s="22" t="e">
        <f t="shared" ca="1" si="61"/>
        <v>#VALUE!</v>
      </c>
      <c r="R206" s="23">
        <f t="shared" ca="1" si="62"/>
        <v>-1</v>
      </c>
      <c r="S206" s="24" t="e">
        <f t="shared" ca="1" si="63"/>
        <v>#VALUE!</v>
      </c>
      <c r="T206" s="23">
        <f t="shared" ca="1" si="64"/>
        <v>-1</v>
      </c>
      <c r="U206" s="112">
        <f t="shared" si="75"/>
        <v>2.58931689208622E-2</v>
      </c>
      <c r="V206" s="109">
        <f t="shared" si="76"/>
        <v>-2.58931689208622E-2</v>
      </c>
      <c r="W206" s="112">
        <f t="shared" si="77"/>
        <v>2.58931689208622E-2</v>
      </c>
      <c r="X206" s="113">
        <f t="shared" si="78"/>
        <v>-2.58931689208622E-2</v>
      </c>
      <c r="Y206" s="32"/>
      <c r="Z206" s="32"/>
      <c r="AA206" s="32"/>
      <c r="AB206" s="32"/>
      <c r="AC206" s="32"/>
      <c r="AD206" s="32"/>
      <c r="AE206" s="32"/>
      <c r="AG206" s="26">
        <f t="shared" si="65"/>
        <v>0</v>
      </c>
      <c r="AH206" s="27">
        <f t="shared" si="66"/>
        <v>6.4904549336829861E-2</v>
      </c>
      <c r="AI206" s="28">
        <f t="shared" si="79"/>
        <v>2.58931689208622E-2</v>
      </c>
      <c r="AJ206" s="27">
        <f t="shared" si="67"/>
        <v>2.58931689208622E-2</v>
      </c>
      <c r="AK206" s="28">
        <f t="shared" si="68"/>
        <v>2.9508004565882338E-3</v>
      </c>
      <c r="AL206" s="27">
        <f t="shared" si="69"/>
        <v>2.58931689208622E-2</v>
      </c>
      <c r="AM206" s="28">
        <f t="shared" si="80"/>
        <v>2.6558345460906185E-2</v>
      </c>
      <c r="AN206" s="27">
        <f t="shared" si="81"/>
        <v>-2.58931689208622E-2</v>
      </c>
      <c r="AO206" s="28">
        <f t="shared" si="70"/>
        <v>-2.58931689208622E-2</v>
      </c>
      <c r="AP206" s="27">
        <f t="shared" si="71"/>
        <v>-2.9508004565882342E-3</v>
      </c>
      <c r="AQ206" s="29">
        <f t="shared" si="72"/>
        <v>-2.58931689208622E-2</v>
      </c>
      <c r="AS206" s="30">
        <f t="shared" si="73"/>
        <v>0.911740380443956</v>
      </c>
      <c r="AT206" s="21">
        <f t="shared" si="74"/>
        <v>3.6982799286390664</v>
      </c>
      <c r="AU206" s="31">
        <f t="shared" ca="1" si="82"/>
        <v>5.583723876392277E-4</v>
      </c>
      <c r="AV206" s="109">
        <f t="shared" ca="1" si="83"/>
        <v>5.6077107726759667E-4</v>
      </c>
      <c r="AW206" s="27" t="e">
        <f t="shared" ca="1" si="84"/>
        <v>#VALUE!</v>
      </c>
      <c r="AX206" s="29" t="e">
        <f t="shared" ca="1" si="85"/>
        <v>#VALUE!</v>
      </c>
      <c r="AY206" s="72"/>
    </row>
    <row r="207" spans="13:51" s="11" customFormat="1" ht="15.6" customHeight="1" x14ac:dyDescent="0.3">
      <c r="M207" s="20">
        <f t="shared" si="86"/>
        <v>177</v>
      </c>
      <c r="N207" s="21">
        <f t="shared" si="87"/>
        <v>3.0975000000000077</v>
      </c>
      <c r="O207" s="22">
        <f t="shared" ca="1" si="59"/>
        <v>161.49259101407571</v>
      </c>
      <c r="P207" s="23">
        <f t="shared" ca="1" si="60"/>
        <v>-1</v>
      </c>
      <c r="Q207" s="22" t="e">
        <f t="shared" ca="1" si="61"/>
        <v>#VALUE!</v>
      </c>
      <c r="R207" s="23">
        <f t="shared" ca="1" si="62"/>
        <v>-1</v>
      </c>
      <c r="S207" s="24" t="e">
        <f t="shared" ca="1" si="63"/>
        <v>#VALUE!</v>
      </c>
      <c r="T207" s="23">
        <f t="shared" ca="1" si="64"/>
        <v>-1</v>
      </c>
      <c r="U207" s="112">
        <f t="shared" si="75"/>
        <v>2.5857356425430626E-2</v>
      </c>
      <c r="V207" s="109">
        <f t="shared" si="76"/>
        <v>-2.5857356425430626E-2</v>
      </c>
      <c r="W207" s="112">
        <f t="shared" si="77"/>
        <v>2.5857356425430626E-2</v>
      </c>
      <c r="X207" s="113">
        <f t="shared" si="78"/>
        <v>-2.5857356425430626E-2</v>
      </c>
      <c r="Y207" s="32"/>
      <c r="Z207" s="32"/>
      <c r="AA207" s="32"/>
      <c r="AB207" s="32"/>
      <c r="AC207" s="32"/>
      <c r="AD207" s="32"/>
      <c r="AE207" s="32"/>
      <c r="AG207" s="26">
        <f t="shared" si="65"/>
        <v>0</v>
      </c>
      <c r="AH207" s="27">
        <f t="shared" si="66"/>
        <v>6.4814780723195978E-2</v>
      </c>
      <c r="AI207" s="28">
        <f t="shared" si="79"/>
        <v>2.5857356425430626E-2</v>
      </c>
      <c r="AJ207" s="27">
        <f t="shared" si="67"/>
        <v>2.5857356425430626E-2</v>
      </c>
      <c r="AK207" s="28">
        <f t="shared" si="68"/>
        <v>2.9383833878185461E-3</v>
      </c>
      <c r="AL207" s="27">
        <f t="shared" si="69"/>
        <v>2.5857356425430626E-2</v>
      </c>
      <c r="AM207" s="28">
        <f t="shared" si="80"/>
        <v>2.6558345460906185E-2</v>
      </c>
      <c r="AN207" s="27">
        <f t="shared" si="81"/>
        <v>-2.5857356425430626E-2</v>
      </c>
      <c r="AO207" s="28">
        <f t="shared" si="70"/>
        <v>-2.5857356425430626E-2</v>
      </c>
      <c r="AP207" s="27">
        <f t="shared" si="71"/>
        <v>-2.9383833878185461E-3</v>
      </c>
      <c r="AQ207" s="29">
        <f t="shared" si="72"/>
        <v>-2.5857356425430626E-2</v>
      </c>
      <c r="AS207" s="30">
        <f t="shared" si="73"/>
        <v>0.91126184237145835</v>
      </c>
      <c r="AT207" s="21">
        <f t="shared" si="74"/>
        <v>3.6827174408059977</v>
      </c>
      <c r="AU207" s="31">
        <f t="shared" ca="1" si="82"/>
        <v>5.5902856401268686E-4</v>
      </c>
      <c r="AV207" s="109">
        <f t="shared" ca="1" si="83"/>
        <v>5.6142365164957297E-4</v>
      </c>
      <c r="AW207" s="27" t="e">
        <f t="shared" ca="1" si="84"/>
        <v>#VALUE!</v>
      </c>
      <c r="AX207" s="29" t="e">
        <f t="shared" ca="1" si="85"/>
        <v>#VALUE!</v>
      </c>
      <c r="AY207" s="72"/>
    </row>
    <row r="208" spans="13:51" s="11" customFormat="1" ht="15.6" customHeight="1" x14ac:dyDescent="0.3">
      <c r="M208" s="20">
        <f t="shared" si="86"/>
        <v>178</v>
      </c>
      <c r="N208" s="21">
        <f t="shared" si="87"/>
        <v>3.1150000000000078</v>
      </c>
      <c r="O208" s="22">
        <f t="shared" ca="1" si="59"/>
        <v>161.75742746910325</v>
      </c>
      <c r="P208" s="23">
        <f t="shared" ca="1" si="60"/>
        <v>-1</v>
      </c>
      <c r="Q208" s="22" t="e">
        <f t="shared" ca="1" si="61"/>
        <v>#VALUE!</v>
      </c>
      <c r="R208" s="23">
        <f t="shared" ca="1" si="62"/>
        <v>-1</v>
      </c>
      <c r="S208" s="24" t="e">
        <f t="shared" ca="1" si="63"/>
        <v>#VALUE!</v>
      </c>
      <c r="T208" s="23">
        <f t="shared" ca="1" si="64"/>
        <v>-1</v>
      </c>
      <c r="U208" s="112">
        <f t="shared" si="75"/>
        <v>2.5820662709562039E-2</v>
      </c>
      <c r="V208" s="109">
        <f t="shared" si="76"/>
        <v>-2.5820662709562039E-2</v>
      </c>
      <c r="W208" s="112">
        <f t="shared" si="77"/>
        <v>2.5820662709562039E-2</v>
      </c>
      <c r="X208" s="113">
        <f t="shared" si="78"/>
        <v>-2.5820662709562039E-2</v>
      </c>
      <c r="Y208" s="32"/>
      <c r="Z208" s="32"/>
      <c r="AA208" s="32"/>
      <c r="AB208" s="32"/>
      <c r="AC208" s="32"/>
      <c r="AD208" s="32"/>
      <c r="AE208" s="32"/>
      <c r="AG208" s="26">
        <f t="shared" si="65"/>
        <v>0</v>
      </c>
      <c r="AH208" s="27">
        <f t="shared" si="66"/>
        <v>6.4722803217498501E-2</v>
      </c>
      <c r="AI208" s="28">
        <f t="shared" si="79"/>
        <v>2.5820662709562039E-2</v>
      </c>
      <c r="AJ208" s="27">
        <f t="shared" si="67"/>
        <v>2.5820662709562039E-2</v>
      </c>
      <c r="AK208" s="28">
        <f t="shared" si="68"/>
        <v>2.9259597983762264E-3</v>
      </c>
      <c r="AL208" s="27">
        <f t="shared" si="69"/>
        <v>2.5820662709562039E-2</v>
      </c>
      <c r="AM208" s="28">
        <f t="shared" si="80"/>
        <v>2.6558345460906185E-2</v>
      </c>
      <c r="AN208" s="27">
        <f t="shared" si="81"/>
        <v>-2.5820662709562039E-2</v>
      </c>
      <c r="AO208" s="28">
        <f t="shared" si="70"/>
        <v>-2.5820662709562039E-2</v>
      </c>
      <c r="AP208" s="27">
        <f t="shared" si="71"/>
        <v>-2.9259597983762268E-3</v>
      </c>
      <c r="AQ208" s="29">
        <f t="shared" si="72"/>
        <v>-2.5820662709562039E-2</v>
      </c>
      <c r="AS208" s="30">
        <f t="shared" si="73"/>
        <v>0.91078355546551182</v>
      </c>
      <c r="AT208" s="21">
        <f t="shared" si="74"/>
        <v>3.667146780521735</v>
      </c>
      <c r="AU208" s="31">
        <f t="shared" ca="1" si="82"/>
        <v>5.5966906190207943E-4</v>
      </c>
      <c r="AV208" s="109">
        <f t="shared" ca="1" si="83"/>
        <v>5.620605499608855E-4</v>
      </c>
      <c r="AW208" s="27" t="e">
        <f t="shared" ca="1" si="84"/>
        <v>#VALUE!</v>
      </c>
      <c r="AX208" s="29" t="e">
        <f t="shared" ca="1" si="85"/>
        <v>#VALUE!</v>
      </c>
      <c r="AY208" s="72"/>
    </row>
    <row r="209" spans="13:51" s="11" customFormat="1" ht="15.6" customHeight="1" x14ac:dyDescent="0.3">
      <c r="M209" s="20">
        <f t="shared" si="86"/>
        <v>179</v>
      </c>
      <c r="N209" s="21">
        <f t="shared" si="87"/>
        <v>3.1325000000000078</v>
      </c>
      <c r="O209" s="22">
        <f t="shared" ca="1" si="59"/>
        <v>162.02131608124688</v>
      </c>
      <c r="P209" s="23">
        <f t="shared" ca="1" si="60"/>
        <v>-1</v>
      </c>
      <c r="Q209" s="22" t="e">
        <f t="shared" ca="1" si="61"/>
        <v>#VALUE!</v>
      </c>
      <c r="R209" s="23">
        <f t="shared" ca="1" si="62"/>
        <v>-1</v>
      </c>
      <c r="S209" s="24" t="e">
        <f t="shared" ca="1" si="63"/>
        <v>#VALUE!</v>
      </c>
      <c r="T209" s="23">
        <f t="shared" ca="1" si="64"/>
        <v>-1</v>
      </c>
      <c r="U209" s="112">
        <f t="shared" si="75"/>
        <v>2.5783091596294348E-2</v>
      </c>
      <c r="V209" s="109">
        <f t="shared" si="76"/>
        <v>-2.5783091596294348E-2</v>
      </c>
      <c r="W209" s="112">
        <f t="shared" si="77"/>
        <v>2.5783091596294348E-2</v>
      </c>
      <c r="X209" s="113">
        <f t="shared" si="78"/>
        <v>-2.5783091596294348E-2</v>
      </c>
      <c r="Y209" s="32"/>
      <c r="Z209" s="32"/>
      <c r="AA209" s="32"/>
      <c r="AB209" s="32"/>
      <c r="AC209" s="32"/>
      <c r="AD209" s="32"/>
      <c r="AE209" s="32"/>
      <c r="AG209" s="26">
        <f t="shared" si="65"/>
        <v>0</v>
      </c>
      <c r="AH209" s="27">
        <f t="shared" si="66"/>
        <v>6.4628626402672348E-2</v>
      </c>
      <c r="AI209" s="28">
        <f t="shared" si="79"/>
        <v>2.5783091596294348E-2</v>
      </c>
      <c r="AJ209" s="27">
        <f t="shared" si="67"/>
        <v>2.5783091596294348E-2</v>
      </c>
      <c r="AK209" s="28">
        <f t="shared" si="68"/>
        <v>2.9135296848370241E-3</v>
      </c>
      <c r="AL209" s="27">
        <f t="shared" si="69"/>
        <v>2.5783091596294348E-2</v>
      </c>
      <c r="AM209" s="28">
        <f t="shared" si="80"/>
        <v>2.6558345460906185E-2</v>
      </c>
      <c r="AN209" s="27">
        <f t="shared" si="81"/>
        <v>-2.5783091596294348E-2</v>
      </c>
      <c r="AO209" s="28">
        <f t="shared" si="70"/>
        <v>-2.5783091596294348E-2</v>
      </c>
      <c r="AP209" s="27">
        <f t="shared" si="71"/>
        <v>-2.9135296848370241E-3</v>
      </c>
      <c r="AQ209" s="29">
        <f t="shared" si="72"/>
        <v>-2.5783091596294348E-2</v>
      </c>
      <c r="AS209" s="30">
        <f t="shared" si="73"/>
        <v>0.91030551959428851</v>
      </c>
      <c r="AT209" s="21">
        <f t="shared" si="74"/>
        <v>3.6515679434946158</v>
      </c>
      <c r="AU209" s="31">
        <f t="shared" ca="1" si="82"/>
        <v>5.6029345830443944E-4</v>
      </c>
      <c r="AV209" s="109">
        <f t="shared" ca="1" si="83"/>
        <v>5.626813496019123E-4</v>
      </c>
      <c r="AW209" s="27" t="e">
        <f t="shared" ca="1" si="84"/>
        <v>#VALUE!</v>
      </c>
      <c r="AX209" s="29" t="e">
        <f t="shared" ca="1" si="85"/>
        <v>#VALUE!</v>
      </c>
      <c r="AY209" s="72"/>
    </row>
    <row r="210" spans="13:51" s="11" customFormat="1" ht="15.6" customHeight="1" x14ac:dyDescent="0.3">
      <c r="M210" s="20">
        <f t="shared" si="86"/>
        <v>180</v>
      </c>
      <c r="N210" s="21">
        <f t="shared" si="87"/>
        <v>3.1500000000000079</v>
      </c>
      <c r="O210" s="22">
        <f t="shared" ca="1" si="59"/>
        <v>162.2842880266098</v>
      </c>
      <c r="P210" s="23">
        <f t="shared" ca="1" si="60"/>
        <v>-1</v>
      </c>
      <c r="Q210" s="22" t="e">
        <f t="shared" ca="1" si="61"/>
        <v>#VALUE!</v>
      </c>
      <c r="R210" s="23">
        <f t="shared" ca="1" si="62"/>
        <v>-1</v>
      </c>
      <c r="S210" s="24" t="e">
        <f t="shared" ca="1" si="63"/>
        <v>#VALUE!</v>
      </c>
      <c r="T210" s="23">
        <f t="shared" ca="1" si="64"/>
        <v>-1</v>
      </c>
      <c r="U210" s="112">
        <f t="shared" si="75"/>
        <v>2.5744646857751352E-2</v>
      </c>
      <c r="V210" s="109">
        <f t="shared" si="76"/>
        <v>-2.5744646857751352E-2</v>
      </c>
      <c r="W210" s="112">
        <f t="shared" si="77"/>
        <v>2.5744646857751352E-2</v>
      </c>
      <c r="X210" s="113">
        <f t="shared" si="78"/>
        <v>-2.5744646857751352E-2</v>
      </c>
      <c r="Y210" s="32"/>
      <c r="Z210" s="32"/>
      <c r="AA210" s="32"/>
      <c r="AB210" s="32"/>
      <c r="AC210" s="32"/>
      <c r="AD210" s="32"/>
      <c r="AE210" s="32"/>
      <c r="AG210" s="26">
        <f t="shared" si="65"/>
        <v>0</v>
      </c>
      <c r="AH210" s="27">
        <f t="shared" si="66"/>
        <v>6.4532259734029679E-2</v>
      </c>
      <c r="AI210" s="28">
        <f t="shared" si="79"/>
        <v>2.5744646857751352E-2</v>
      </c>
      <c r="AJ210" s="27">
        <f t="shared" si="67"/>
        <v>2.5744646857751352E-2</v>
      </c>
      <c r="AK210" s="28">
        <f t="shared" si="68"/>
        <v>2.9010930437748886E-3</v>
      </c>
      <c r="AL210" s="27">
        <f t="shared" si="69"/>
        <v>2.5744646857751352E-2</v>
      </c>
      <c r="AM210" s="28">
        <f t="shared" si="80"/>
        <v>2.6558345460906185E-2</v>
      </c>
      <c r="AN210" s="27">
        <f t="shared" si="81"/>
        <v>-2.5744646857751352E-2</v>
      </c>
      <c r="AO210" s="28">
        <f t="shared" si="70"/>
        <v>-2.5744646857751352E-2</v>
      </c>
      <c r="AP210" s="27">
        <f t="shared" si="71"/>
        <v>-2.9010930437748886E-3</v>
      </c>
      <c r="AQ210" s="29">
        <f t="shared" si="72"/>
        <v>-2.5744646857751352E-2</v>
      </c>
      <c r="AS210" s="30">
        <f t="shared" si="73"/>
        <v>0.90982773462602973</v>
      </c>
      <c r="AT210" s="21">
        <f t="shared" si="74"/>
        <v>3.6359809254307227</v>
      </c>
      <c r="AU210" s="31">
        <f t="shared" ca="1" si="82"/>
        <v>5.6092371236005079E-4</v>
      </c>
      <c r="AV210" s="109">
        <f t="shared" ca="1" si="83"/>
        <v>5.6330799837556178E-4</v>
      </c>
      <c r="AW210" s="27" t="e">
        <f t="shared" ca="1" si="84"/>
        <v>#VALUE!</v>
      </c>
      <c r="AX210" s="29" t="e">
        <f t="shared" ca="1" si="85"/>
        <v>#VALUE!</v>
      </c>
      <c r="AY210" s="72"/>
    </row>
    <row r="211" spans="13:51" s="11" customFormat="1" ht="15.6" customHeight="1" x14ac:dyDescent="0.3">
      <c r="M211" s="20">
        <f t="shared" si="86"/>
        <v>181</v>
      </c>
      <c r="N211" s="21">
        <f t="shared" si="87"/>
        <v>3.167500000000008</v>
      </c>
      <c r="O211" s="22">
        <f t="shared" ca="1" si="59"/>
        <v>162.54632928300805</v>
      </c>
      <c r="P211" s="23">
        <f t="shared" ca="1" si="60"/>
        <v>-1</v>
      </c>
      <c r="Q211" s="22" t="e">
        <f t="shared" ca="1" si="61"/>
        <v>#VALUE!</v>
      </c>
      <c r="R211" s="23">
        <f t="shared" ca="1" si="62"/>
        <v>-1</v>
      </c>
      <c r="S211" s="24" t="e">
        <f t="shared" ca="1" si="63"/>
        <v>#VALUE!</v>
      </c>
      <c r="T211" s="23">
        <f t="shared" ca="1" si="64"/>
        <v>-1</v>
      </c>
      <c r="U211" s="112">
        <f t="shared" si="75"/>
        <v>2.5705332216081418E-2</v>
      </c>
      <c r="V211" s="109">
        <f t="shared" si="76"/>
        <v>-2.5705332216081418E-2</v>
      </c>
      <c r="W211" s="112">
        <f t="shared" si="77"/>
        <v>2.5705332216081418E-2</v>
      </c>
      <c r="X211" s="113">
        <f t="shared" si="78"/>
        <v>-2.5705332216081418E-2</v>
      </c>
      <c r="Y211" s="32"/>
      <c r="Z211" s="32"/>
      <c r="AA211" s="32"/>
      <c r="AB211" s="32"/>
      <c r="AC211" s="32"/>
      <c r="AD211" s="32"/>
      <c r="AE211" s="32"/>
      <c r="AG211" s="26">
        <f t="shared" si="65"/>
        <v>0</v>
      </c>
      <c r="AH211" s="27">
        <f t="shared" si="66"/>
        <v>6.4433712541612828E-2</v>
      </c>
      <c r="AI211" s="28">
        <f t="shared" si="79"/>
        <v>2.5705332216081418E-2</v>
      </c>
      <c r="AJ211" s="27">
        <f t="shared" si="67"/>
        <v>2.5705332216081418E-2</v>
      </c>
      <c r="AK211" s="28">
        <f t="shared" si="68"/>
        <v>2.8886498717619708E-3</v>
      </c>
      <c r="AL211" s="27">
        <f t="shared" si="69"/>
        <v>2.5705332216081418E-2</v>
      </c>
      <c r="AM211" s="28">
        <f t="shared" si="80"/>
        <v>2.6558345460906185E-2</v>
      </c>
      <c r="AN211" s="27">
        <f t="shared" si="81"/>
        <v>-2.5705332216081418E-2</v>
      </c>
      <c r="AO211" s="28">
        <f t="shared" si="70"/>
        <v>-2.5705332216081418E-2</v>
      </c>
      <c r="AP211" s="27">
        <f t="shared" si="71"/>
        <v>-2.8886498717619713E-3</v>
      </c>
      <c r="AQ211" s="29">
        <f t="shared" si="72"/>
        <v>-2.5705332216081418E-2</v>
      </c>
      <c r="AS211" s="30">
        <f t="shared" si="73"/>
        <v>0.90935020042904613</v>
      </c>
      <c r="AT211" s="21">
        <f t="shared" si="74"/>
        <v>3.6203857220338849</v>
      </c>
      <c r="AU211" s="31">
        <f t="shared" ca="1" si="82"/>
        <v>5.6153823994198326E-4</v>
      </c>
      <c r="AV211" s="109">
        <f t="shared" ca="1" si="83"/>
        <v>5.639189234781794E-4</v>
      </c>
      <c r="AW211" s="27" t="e">
        <f t="shared" ca="1" si="84"/>
        <v>#VALUE!</v>
      </c>
      <c r="AX211" s="29" t="e">
        <f t="shared" ca="1" si="85"/>
        <v>#VALUE!</v>
      </c>
      <c r="AY211" s="72"/>
    </row>
    <row r="212" spans="13:51" s="11" customFormat="1" ht="15.6" customHeight="1" x14ac:dyDescent="0.3">
      <c r="M212" s="20">
        <f t="shared" si="86"/>
        <v>182</v>
      </c>
      <c r="N212" s="21">
        <f t="shared" si="87"/>
        <v>3.185000000000008</v>
      </c>
      <c r="O212" s="22">
        <f t="shared" ca="1" si="59"/>
        <v>162.80744032400605</v>
      </c>
      <c r="P212" s="23">
        <f t="shared" ca="1" si="60"/>
        <v>-1</v>
      </c>
      <c r="Q212" s="22" t="e">
        <f t="shared" ca="1" si="61"/>
        <v>#VALUE!</v>
      </c>
      <c r="R212" s="23">
        <f t="shared" ca="1" si="62"/>
        <v>-1</v>
      </c>
      <c r="S212" s="24" t="e">
        <f t="shared" ca="1" si="63"/>
        <v>#VALUE!</v>
      </c>
      <c r="T212" s="23">
        <f t="shared" ca="1" si="64"/>
        <v>-1</v>
      </c>
      <c r="U212" s="112">
        <f t="shared" si="75"/>
        <v>2.5665151344373478E-2</v>
      </c>
      <c r="V212" s="109">
        <f t="shared" si="76"/>
        <v>-2.5665151344373478E-2</v>
      </c>
      <c r="W212" s="112">
        <f t="shared" si="77"/>
        <v>2.5665151344373478E-2</v>
      </c>
      <c r="X212" s="113">
        <f t="shared" si="78"/>
        <v>-2.5665151344373478E-2</v>
      </c>
      <c r="Y212" s="32"/>
      <c r="Z212" s="32"/>
      <c r="AA212" s="32"/>
      <c r="AB212" s="32"/>
      <c r="AC212" s="32"/>
      <c r="AD212" s="32"/>
      <c r="AE212" s="32"/>
      <c r="AG212" s="26">
        <f t="shared" si="65"/>
        <v>0</v>
      </c>
      <c r="AH212" s="27">
        <f t="shared" si="66"/>
        <v>6.433299403249039E-2</v>
      </c>
      <c r="AI212" s="28">
        <f t="shared" si="79"/>
        <v>2.5665151344373478E-2</v>
      </c>
      <c r="AJ212" s="27">
        <f t="shared" si="67"/>
        <v>2.5665151344373478E-2</v>
      </c>
      <c r="AK212" s="28">
        <f t="shared" si="68"/>
        <v>2.8762001653686222E-3</v>
      </c>
      <c r="AL212" s="27">
        <f t="shared" si="69"/>
        <v>2.5665151344373478E-2</v>
      </c>
      <c r="AM212" s="28">
        <f t="shared" si="80"/>
        <v>2.6558345460906185E-2</v>
      </c>
      <c r="AN212" s="27">
        <f t="shared" si="81"/>
        <v>-2.5665151344373478E-2</v>
      </c>
      <c r="AO212" s="28">
        <f t="shared" si="70"/>
        <v>-2.5665151344373478E-2</v>
      </c>
      <c r="AP212" s="27">
        <f t="shared" si="71"/>
        <v>-2.8762001653686222E-3</v>
      </c>
      <c r="AQ212" s="29">
        <f t="shared" si="72"/>
        <v>-2.5665151344373478E-2</v>
      </c>
      <c r="AS212" s="30">
        <f t="shared" si="73"/>
        <v>0.90887291687171734</v>
      </c>
      <c r="AT212" s="21">
        <f t="shared" si="74"/>
        <v>3.6047823290056735</v>
      </c>
      <c r="AU212" s="31">
        <f t="shared" ca="1" si="82"/>
        <v>5.6214398238751961E-4</v>
      </c>
      <c r="AV212" s="109">
        <f t="shared" ca="1" si="83"/>
        <v>5.645210627465147E-4</v>
      </c>
      <c r="AW212" s="27" t="e">
        <f t="shared" ca="1" si="84"/>
        <v>#VALUE!</v>
      </c>
      <c r="AX212" s="29" t="e">
        <f t="shared" ca="1" si="85"/>
        <v>#VALUE!</v>
      </c>
      <c r="AY212" s="72"/>
    </row>
    <row r="213" spans="13:51" s="11" customFormat="1" ht="15.6" customHeight="1" x14ac:dyDescent="0.3">
      <c r="M213" s="20">
        <f t="shared" si="86"/>
        <v>183</v>
      </c>
      <c r="N213" s="21">
        <f t="shared" si="87"/>
        <v>3.2025000000000081</v>
      </c>
      <c r="O213" s="22">
        <f t="shared" ca="1" si="59"/>
        <v>163.06760710388608</v>
      </c>
      <c r="P213" s="23">
        <f t="shared" ca="1" si="60"/>
        <v>-1</v>
      </c>
      <c r="Q213" s="22" t="e">
        <f t="shared" ca="1" si="61"/>
        <v>#VALUE!</v>
      </c>
      <c r="R213" s="23">
        <f t="shared" ca="1" si="62"/>
        <v>-1</v>
      </c>
      <c r="S213" s="24" t="e">
        <f t="shared" ca="1" si="63"/>
        <v>#VALUE!</v>
      </c>
      <c r="T213" s="23">
        <f t="shared" ca="1" si="64"/>
        <v>-1</v>
      </c>
      <c r="U213" s="112">
        <f t="shared" si="75"/>
        <v>2.562410786755116E-2</v>
      </c>
      <c r="V213" s="109">
        <f t="shared" si="76"/>
        <v>-2.562410786755116E-2</v>
      </c>
      <c r="W213" s="112">
        <f t="shared" si="77"/>
        <v>2.562410786755116E-2</v>
      </c>
      <c r="X213" s="113">
        <f t="shared" si="78"/>
        <v>-2.562410786755116E-2</v>
      </c>
      <c r="Y213" s="32"/>
      <c r="Z213" s="32"/>
      <c r="AA213" s="32"/>
      <c r="AB213" s="32"/>
      <c r="AC213" s="32"/>
      <c r="AD213" s="32"/>
      <c r="AE213" s="32"/>
      <c r="AG213" s="26">
        <f t="shared" si="65"/>
        <v>0</v>
      </c>
      <c r="AH213" s="27">
        <f t="shared" si="66"/>
        <v>6.4230113292998409E-2</v>
      </c>
      <c r="AI213" s="28">
        <f t="shared" si="79"/>
        <v>2.562410786755116E-2</v>
      </c>
      <c r="AJ213" s="27">
        <f t="shared" si="67"/>
        <v>2.562410786755116E-2</v>
      </c>
      <c r="AK213" s="28">
        <f t="shared" si="68"/>
        <v>2.8637439211633884E-3</v>
      </c>
      <c r="AL213" s="27">
        <f t="shared" si="69"/>
        <v>2.562410786755116E-2</v>
      </c>
      <c r="AM213" s="28">
        <f t="shared" si="80"/>
        <v>2.6558345460906185E-2</v>
      </c>
      <c r="AN213" s="27">
        <f t="shared" si="81"/>
        <v>-2.562410786755116E-2</v>
      </c>
      <c r="AO213" s="28">
        <f t="shared" si="70"/>
        <v>-2.562410786755116E-2</v>
      </c>
      <c r="AP213" s="27">
        <f t="shared" si="71"/>
        <v>-2.8637439211633884E-3</v>
      </c>
      <c r="AQ213" s="29">
        <f t="shared" si="72"/>
        <v>-2.562410786755116E-2</v>
      </c>
      <c r="AS213" s="30">
        <f t="shared" si="73"/>
        <v>0.90839588382249192</v>
      </c>
      <c r="AT213" s="21">
        <f t="shared" si="74"/>
        <v>3.5891707420454</v>
      </c>
      <c r="AU213" s="31">
        <f t="shared" ca="1" si="82"/>
        <v>5.6273385787874997E-4</v>
      </c>
      <c r="AV213" s="109">
        <f t="shared" ca="1" si="83"/>
        <v>5.6510733824410853E-4</v>
      </c>
      <c r="AW213" s="27" t="e">
        <f t="shared" ca="1" si="84"/>
        <v>#VALUE!</v>
      </c>
      <c r="AX213" s="29" t="e">
        <f t="shared" ca="1" si="85"/>
        <v>#VALUE!</v>
      </c>
      <c r="AY213" s="72"/>
    </row>
    <row r="214" spans="13:51" s="11" customFormat="1" ht="15.6" customHeight="1" x14ac:dyDescent="0.3">
      <c r="M214" s="20">
        <f t="shared" si="86"/>
        <v>184</v>
      </c>
      <c r="N214" s="21">
        <f t="shared" si="87"/>
        <v>3.2200000000000082</v>
      </c>
      <c r="O214" s="22">
        <f t="shared" ca="1" si="59"/>
        <v>163.3268455458456</v>
      </c>
      <c r="P214" s="23">
        <f t="shared" ca="1" si="60"/>
        <v>-1</v>
      </c>
      <c r="Q214" s="22" t="e">
        <f t="shared" ca="1" si="61"/>
        <v>#VALUE!</v>
      </c>
      <c r="R214" s="23">
        <f t="shared" ca="1" si="62"/>
        <v>-1</v>
      </c>
      <c r="S214" s="24" t="e">
        <f t="shared" ca="1" si="63"/>
        <v>#VALUE!</v>
      </c>
      <c r="T214" s="23">
        <f t="shared" ca="1" si="64"/>
        <v>-1</v>
      </c>
      <c r="U214" s="112">
        <f t="shared" si="75"/>
        <v>2.5582205363245649E-2</v>
      </c>
      <c r="V214" s="109">
        <f t="shared" si="76"/>
        <v>-2.5582205363245649E-2</v>
      </c>
      <c r="W214" s="112">
        <f t="shared" si="77"/>
        <v>2.5582205363245649E-2</v>
      </c>
      <c r="X214" s="113">
        <f t="shared" si="78"/>
        <v>-2.5582205363245649E-2</v>
      </c>
      <c r="Y214" s="32"/>
      <c r="Z214" s="32"/>
      <c r="AA214" s="32"/>
      <c r="AB214" s="32"/>
      <c r="AC214" s="32"/>
      <c r="AD214" s="32"/>
      <c r="AE214" s="32"/>
      <c r="AG214" s="26">
        <f t="shared" si="65"/>
        <v>0</v>
      </c>
      <c r="AH214" s="27">
        <f t="shared" si="66"/>
        <v>6.4125079290928366E-2</v>
      </c>
      <c r="AI214" s="28">
        <f t="shared" si="79"/>
        <v>2.5582205363245649E-2</v>
      </c>
      <c r="AJ214" s="27">
        <f t="shared" si="67"/>
        <v>2.5582205363245649E-2</v>
      </c>
      <c r="AK214" s="28">
        <f t="shared" si="68"/>
        <v>2.8512811357130244E-3</v>
      </c>
      <c r="AL214" s="27">
        <f t="shared" si="69"/>
        <v>2.5582205363245649E-2</v>
      </c>
      <c r="AM214" s="28">
        <f t="shared" si="80"/>
        <v>2.6558345460906185E-2</v>
      </c>
      <c r="AN214" s="27">
        <f t="shared" si="81"/>
        <v>-2.5582205363245649E-2</v>
      </c>
      <c r="AO214" s="28">
        <f t="shared" si="70"/>
        <v>-2.5582205363245649E-2</v>
      </c>
      <c r="AP214" s="27">
        <f t="shared" si="71"/>
        <v>-2.8512811357130244E-3</v>
      </c>
      <c r="AQ214" s="29">
        <f t="shared" si="72"/>
        <v>-2.5582205363245649E-2</v>
      </c>
      <c r="AS214" s="30">
        <f t="shared" si="73"/>
        <v>0.90791910114988783</v>
      </c>
      <c r="AT214" s="21">
        <f t="shared" si="74"/>
        <v>3.5735509568501285</v>
      </c>
      <c r="AU214" s="31">
        <f t="shared" ca="1" si="82"/>
        <v>5.6332248419832531E-4</v>
      </c>
      <c r="AV214" s="109">
        <f t="shared" ca="1" si="83"/>
        <v>5.6569236009618162E-4</v>
      </c>
      <c r="AW214" s="27" t="e">
        <f t="shared" ca="1" si="84"/>
        <v>#VALUE!</v>
      </c>
      <c r="AX214" s="29" t="e">
        <f t="shared" ca="1" si="85"/>
        <v>#VALUE!</v>
      </c>
      <c r="AY214" s="72"/>
    </row>
    <row r="215" spans="13:51" s="11" customFormat="1" ht="15.6" customHeight="1" x14ac:dyDescent="0.3">
      <c r="M215" s="20">
        <f t="shared" si="86"/>
        <v>185</v>
      </c>
      <c r="N215" s="21">
        <f t="shared" si="87"/>
        <v>3.2375000000000083</v>
      </c>
      <c r="O215" s="22">
        <f t="shared" ca="1" si="59"/>
        <v>163.5851715960568</v>
      </c>
      <c r="P215" s="23">
        <f t="shared" ca="1" si="60"/>
        <v>-1</v>
      </c>
      <c r="Q215" s="22" t="e">
        <f t="shared" ca="1" si="61"/>
        <v>#VALUE!</v>
      </c>
      <c r="R215" s="23">
        <f t="shared" ca="1" si="62"/>
        <v>-1</v>
      </c>
      <c r="S215" s="24" t="e">
        <f t="shared" ca="1" si="63"/>
        <v>#VALUE!</v>
      </c>
      <c r="T215" s="23">
        <f t="shared" ca="1" si="64"/>
        <v>-1</v>
      </c>
      <c r="U215" s="112">
        <f t="shared" si="75"/>
        <v>2.553944736264762E-2</v>
      </c>
      <c r="V215" s="109">
        <f t="shared" si="76"/>
        <v>-2.553944736264762E-2</v>
      </c>
      <c r="W215" s="112">
        <f t="shared" si="77"/>
        <v>2.553944736264762E-2</v>
      </c>
      <c r="X215" s="113">
        <f t="shared" si="78"/>
        <v>-2.553944736264762E-2</v>
      </c>
      <c r="Y215" s="32"/>
      <c r="Z215" s="32"/>
      <c r="AA215" s="32"/>
      <c r="AB215" s="32"/>
      <c r="AC215" s="32"/>
      <c r="AD215" s="32"/>
      <c r="AE215" s="32"/>
      <c r="AG215" s="26">
        <f t="shared" si="65"/>
        <v>0</v>
      </c>
      <c r="AH215" s="27">
        <f t="shared" si="66"/>
        <v>6.4017900877662653E-2</v>
      </c>
      <c r="AI215" s="28">
        <f t="shared" si="79"/>
        <v>2.553944736264762E-2</v>
      </c>
      <c r="AJ215" s="27">
        <f t="shared" si="67"/>
        <v>2.553944736264762E-2</v>
      </c>
      <c r="AK215" s="28">
        <f t="shared" si="68"/>
        <v>2.8388118055824698E-3</v>
      </c>
      <c r="AL215" s="27">
        <f t="shared" si="69"/>
        <v>2.553944736264762E-2</v>
      </c>
      <c r="AM215" s="28">
        <f t="shared" si="80"/>
        <v>2.6558345460906185E-2</v>
      </c>
      <c r="AN215" s="27">
        <f t="shared" si="81"/>
        <v>-2.553944736264762E-2</v>
      </c>
      <c r="AO215" s="28">
        <f t="shared" si="70"/>
        <v>-2.553944736264762E-2</v>
      </c>
      <c r="AP215" s="27">
        <f t="shared" si="71"/>
        <v>-2.8388118055824698E-3</v>
      </c>
      <c r="AQ215" s="29">
        <f t="shared" si="72"/>
        <v>-2.553944736264762E-2</v>
      </c>
      <c r="AS215" s="30">
        <f t="shared" si="73"/>
        <v>0.90744256872249163</v>
      </c>
      <c r="AT215" s="21">
        <f t="shared" si="74"/>
        <v>3.5579229691146503</v>
      </c>
      <c r="AU215" s="31">
        <f t="shared" ca="1" si="82"/>
        <v>5.6391004126077338E-4</v>
      </c>
      <c r="AV215" s="109">
        <f t="shared" ca="1" si="83"/>
        <v>5.6627630813443908E-4</v>
      </c>
      <c r="AW215" s="27" t="e">
        <f t="shared" ca="1" si="84"/>
        <v>#VALUE!</v>
      </c>
      <c r="AX215" s="29" t="e">
        <f t="shared" ca="1" si="85"/>
        <v>#VALUE!</v>
      </c>
      <c r="AY215" s="72"/>
    </row>
    <row r="216" spans="13:51" s="11" customFormat="1" ht="15.6" customHeight="1" x14ac:dyDescent="0.3">
      <c r="M216" s="20">
        <f t="shared" si="86"/>
        <v>186</v>
      </c>
      <c r="N216" s="21">
        <f t="shared" si="87"/>
        <v>3.2550000000000083</v>
      </c>
      <c r="O216" s="22">
        <f t="shared" ca="1" si="59"/>
        <v>163.84257117434004</v>
      </c>
      <c r="P216" s="23">
        <f t="shared" ca="1" si="60"/>
        <v>-1</v>
      </c>
      <c r="Q216" s="22" t="e">
        <f t="shared" ca="1" si="61"/>
        <v>#VALUE!</v>
      </c>
      <c r="R216" s="23">
        <f t="shared" ca="1" si="62"/>
        <v>-1</v>
      </c>
      <c r="S216" s="24" t="e">
        <f t="shared" ca="1" si="63"/>
        <v>#VALUE!</v>
      </c>
      <c r="T216" s="23">
        <f t="shared" ca="1" si="64"/>
        <v>-1</v>
      </c>
      <c r="U216" s="112">
        <f t="shared" si="75"/>
        <v>2.5495837351339451E-2</v>
      </c>
      <c r="V216" s="109">
        <f t="shared" si="76"/>
        <v>-2.5495837351339451E-2</v>
      </c>
      <c r="W216" s="112">
        <f t="shared" si="77"/>
        <v>2.5495837351339451E-2</v>
      </c>
      <c r="X216" s="113">
        <f t="shared" si="78"/>
        <v>-2.5495837351339451E-2</v>
      </c>
      <c r="Y216" s="32"/>
      <c r="Z216" s="32"/>
      <c r="AA216" s="32"/>
      <c r="AB216" s="32"/>
      <c r="AC216" s="32"/>
      <c r="AD216" s="32"/>
      <c r="AE216" s="32"/>
      <c r="AG216" s="26">
        <f t="shared" si="65"/>
        <v>0</v>
      </c>
      <c r="AH216" s="27">
        <f t="shared" si="66"/>
        <v>6.3908586790260624E-2</v>
      </c>
      <c r="AI216" s="28">
        <f t="shared" si="79"/>
        <v>2.5495837351339451E-2</v>
      </c>
      <c r="AJ216" s="27">
        <f t="shared" si="67"/>
        <v>2.5495837351339451E-2</v>
      </c>
      <c r="AK216" s="28">
        <f t="shared" si="68"/>
        <v>2.8263359273348648E-3</v>
      </c>
      <c r="AL216" s="27">
        <f t="shared" si="69"/>
        <v>2.5495837351339451E-2</v>
      </c>
      <c r="AM216" s="28">
        <f t="shared" si="80"/>
        <v>2.6558345460906185E-2</v>
      </c>
      <c r="AN216" s="27">
        <f t="shared" si="81"/>
        <v>-2.5495837351339451E-2</v>
      </c>
      <c r="AO216" s="28">
        <f t="shared" si="70"/>
        <v>-2.5495837351339451E-2</v>
      </c>
      <c r="AP216" s="27">
        <f t="shared" si="71"/>
        <v>-2.8263359273348648E-3</v>
      </c>
      <c r="AQ216" s="29">
        <f t="shared" si="72"/>
        <v>-2.5495837351339451E-2</v>
      </c>
      <c r="AS216" s="30">
        <f t="shared" si="73"/>
        <v>0.90696628640895927</v>
      </c>
      <c r="AT216" s="21">
        <f t="shared" si="74"/>
        <v>3.5422867745315001</v>
      </c>
      <c r="AU216" s="31">
        <f t="shared" ca="1" si="82"/>
        <v>5.6448179341939131E-4</v>
      </c>
      <c r="AV216" s="109">
        <f t="shared" ca="1" si="83"/>
        <v>5.6684445471688605E-4</v>
      </c>
      <c r="AW216" s="27" t="e">
        <f t="shared" ca="1" si="84"/>
        <v>#VALUE!</v>
      </c>
      <c r="AX216" s="29" t="e">
        <f t="shared" ca="1" si="85"/>
        <v>#VALUE!</v>
      </c>
      <c r="AY216" s="72"/>
    </row>
    <row r="217" spans="13:51" s="11" customFormat="1" ht="15.6" customHeight="1" x14ac:dyDescent="0.3">
      <c r="M217" s="20">
        <f t="shared" si="86"/>
        <v>187</v>
      </c>
      <c r="N217" s="21">
        <f t="shared" si="87"/>
        <v>3.2725000000000084</v>
      </c>
      <c r="O217" s="22">
        <f t="shared" ca="1" si="59"/>
        <v>164.09902970362953</v>
      </c>
      <c r="P217" s="23">
        <f t="shared" ca="1" si="60"/>
        <v>-1</v>
      </c>
      <c r="Q217" s="22" t="e">
        <f t="shared" ca="1" si="61"/>
        <v>#VALUE!</v>
      </c>
      <c r="R217" s="23">
        <f t="shared" ca="1" si="62"/>
        <v>-1</v>
      </c>
      <c r="S217" s="24" t="e">
        <f t="shared" ca="1" si="63"/>
        <v>#VALUE!</v>
      </c>
      <c r="T217" s="23">
        <f t="shared" ca="1" si="64"/>
        <v>-1</v>
      </c>
      <c r="U217" s="112">
        <f t="shared" si="75"/>
        <v>2.5451378770107731E-2</v>
      </c>
      <c r="V217" s="109">
        <f t="shared" si="76"/>
        <v>-2.5451378770107731E-2</v>
      </c>
      <c r="W217" s="112">
        <f t="shared" si="77"/>
        <v>2.5451378770107731E-2</v>
      </c>
      <c r="X217" s="113">
        <f t="shared" si="78"/>
        <v>-2.5451378770107731E-2</v>
      </c>
      <c r="Y217" s="32"/>
      <c r="Z217" s="32"/>
      <c r="AA217" s="32"/>
      <c r="AB217" s="32"/>
      <c r="AC217" s="32"/>
      <c r="AD217" s="32"/>
      <c r="AE217" s="32"/>
      <c r="AG217" s="26">
        <f t="shared" si="65"/>
        <v>0</v>
      </c>
      <c r="AH217" s="27">
        <f t="shared" si="66"/>
        <v>6.3797145653495216E-2</v>
      </c>
      <c r="AI217" s="28">
        <f t="shared" si="79"/>
        <v>2.5451378770107731E-2</v>
      </c>
      <c r="AJ217" s="27">
        <f t="shared" si="67"/>
        <v>2.5451378770107731E-2</v>
      </c>
      <c r="AK217" s="28">
        <f t="shared" si="68"/>
        <v>2.8138534975315484E-3</v>
      </c>
      <c r="AL217" s="27">
        <f t="shared" si="69"/>
        <v>2.5451378770107731E-2</v>
      </c>
      <c r="AM217" s="28">
        <f t="shared" si="80"/>
        <v>2.6558345460906185E-2</v>
      </c>
      <c r="AN217" s="27">
        <f t="shared" si="81"/>
        <v>-2.5451378770107731E-2</v>
      </c>
      <c r="AO217" s="28">
        <f t="shared" si="70"/>
        <v>-2.5451378770107731E-2</v>
      </c>
      <c r="AP217" s="27">
        <f t="shared" si="71"/>
        <v>-2.8138534975315484E-3</v>
      </c>
      <c r="AQ217" s="29">
        <f t="shared" si="72"/>
        <v>-2.5451378770107731E-2</v>
      </c>
      <c r="AS217" s="30">
        <f t="shared" si="73"/>
        <v>0.90649025407801531</v>
      </c>
      <c r="AT217" s="21">
        <f t="shared" si="74"/>
        <v>3.5266423687909554</v>
      </c>
      <c r="AU217" s="31">
        <f t="shared" ca="1" si="82"/>
        <v>5.6503737710911217E-4</v>
      </c>
      <c r="AV217" s="109">
        <f t="shared" ca="1" si="83"/>
        <v>5.6739643666092743E-4</v>
      </c>
      <c r="AW217" s="27" t="e">
        <f t="shared" ca="1" si="84"/>
        <v>#VALUE!</v>
      </c>
      <c r="AX217" s="29" t="e">
        <f t="shared" ca="1" si="85"/>
        <v>#VALUE!</v>
      </c>
      <c r="AY217" s="72"/>
    </row>
    <row r="218" spans="13:51" s="11" customFormat="1" ht="15.6" customHeight="1" x14ac:dyDescent="0.3">
      <c r="M218" s="20">
        <f t="shared" si="86"/>
        <v>188</v>
      </c>
      <c r="N218" s="21">
        <f t="shared" si="87"/>
        <v>3.2900000000000085</v>
      </c>
      <c r="O218" s="22">
        <f t="shared" ca="1" si="59"/>
        <v>164.35457840553025</v>
      </c>
      <c r="P218" s="23">
        <f t="shared" ca="1" si="60"/>
        <v>-1</v>
      </c>
      <c r="Q218" s="22" t="e">
        <f t="shared" ca="1" si="61"/>
        <v>#VALUE!</v>
      </c>
      <c r="R218" s="23">
        <f t="shared" ca="1" si="62"/>
        <v>-1</v>
      </c>
      <c r="S218" s="24" t="e">
        <f t="shared" ca="1" si="63"/>
        <v>#VALUE!</v>
      </c>
      <c r="T218" s="23">
        <f t="shared" ca="1" si="64"/>
        <v>-1</v>
      </c>
      <c r="U218" s="112">
        <f t="shared" si="75"/>
        <v>2.5406075015736825E-2</v>
      </c>
      <c r="V218" s="109">
        <f t="shared" si="76"/>
        <v>-2.5406075015736825E-2</v>
      </c>
      <c r="W218" s="112">
        <f t="shared" si="77"/>
        <v>2.5406075015736825E-2</v>
      </c>
      <c r="X218" s="113">
        <f t="shared" si="78"/>
        <v>-2.5406075015736825E-2</v>
      </c>
      <c r="Y218" s="32"/>
      <c r="Z218" s="32"/>
      <c r="AA218" s="32"/>
      <c r="AB218" s="32"/>
      <c r="AC218" s="32"/>
      <c r="AD218" s="32"/>
      <c r="AE218" s="32"/>
      <c r="AG218" s="26">
        <f t="shared" si="65"/>
        <v>0</v>
      </c>
      <c r="AH218" s="27">
        <f t="shared" si="66"/>
        <v>6.3683585981842164E-2</v>
      </c>
      <c r="AI218" s="28">
        <f t="shared" si="79"/>
        <v>2.5406075015736825E-2</v>
      </c>
      <c r="AJ218" s="27">
        <f t="shared" si="67"/>
        <v>2.5406075015736825E-2</v>
      </c>
      <c r="AK218" s="28">
        <f t="shared" si="68"/>
        <v>2.8013645127320493E-3</v>
      </c>
      <c r="AL218" s="27">
        <f t="shared" si="69"/>
        <v>2.5406075015736825E-2</v>
      </c>
      <c r="AM218" s="28">
        <f t="shared" si="80"/>
        <v>2.6558345460906185E-2</v>
      </c>
      <c r="AN218" s="27">
        <f t="shared" si="81"/>
        <v>-2.5406075015736825E-2</v>
      </c>
      <c r="AO218" s="28">
        <f t="shared" si="70"/>
        <v>-2.5406075015736825E-2</v>
      </c>
      <c r="AP218" s="27">
        <f t="shared" si="71"/>
        <v>-2.8013645127320493E-3</v>
      </c>
      <c r="AQ218" s="29">
        <f t="shared" si="72"/>
        <v>-2.5406075015736825E-2</v>
      </c>
      <c r="AS218" s="30">
        <f t="shared" si="73"/>
        <v>0.90601447159845339</v>
      </c>
      <c r="AT218" s="21">
        <f t="shared" si="74"/>
        <v>3.5109897475810246</v>
      </c>
      <c r="AU218" s="31">
        <f t="shared" ca="1" si="82"/>
        <v>5.655996211658687E-4</v>
      </c>
      <c r="AV218" s="109">
        <f t="shared" ca="1" si="83"/>
        <v>5.6795507047635585E-4</v>
      </c>
      <c r="AW218" s="27" t="e">
        <f t="shared" ca="1" si="84"/>
        <v>#VALUE!</v>
      </c>
      <c r="AX218" s="29" t="e">
        <f t="shared" ca="1" si="85"/>
        <v>#VALUE!</v>
      </c>
      <c r="AY218" s="72"/>
    </row>
    <row r="219" spans="13:51" s="11" customFormat="1" ht="15.6" customHeight="1" x14ac:dyDescent="0.3">
      <c r="M219" s="20">
        <f t="shared" si="86"/>
        <v>189</v>
      </c>
      <c r="N219" s="21">
        <f t="shared" si="87"/>
        <v>3.3075000000000085</v>
      </c>
      <c r="O219" s="22">
        <f t="shared" ca="1" si="59"/>
        <v>164.60918790761818</v>
      </c>
      <c r="P219" s="23">
        <f t="shared" ca="1" si="60"/>
        <v>-1</v>
      </c>
      <c r="Q219" s="22" t="e">
        <f t="shared" ca="1" si="61"/>
        <v>#VALUE!</v>
      </c>
      <c r="R219" s="23">
        <f t="shared" ca="1" si="62"/>
        <v>-1</v>
      </c>
      <c r="S219" s="24" t="e">
        <f t="shared" ca="1" si="63"/>
        <v>#VALUE!</v>
      </c>
      <c r="T219" s="23">
        <f t="shared" ca="1" si="64"/>
        <v>-1</v>
      </c>
      <c r="U219" s="112">
        <f t="shared" si="75"/>
        <v>2.5359929441784126E-2</v>
      </c>
      <c r="V219" s="109">
        <f t="shared" si="76"/>
        <v>-2.5359929441784126E-2</v>
      </c>
      <c r="W219" s="112">
        <f t="shared" si="77"/>
        <v>2.5359929441784126E-2</v>
      </c>
      <c r="X219" s="113">
        <f t="shared" si="78"/>
        <v>-2.5359929441784126E-2</v>
      </c>
      <c r="Y219" s="32"/>
      <c r="Z219" s="32"/>
      <c r="AA219" s="32"/>
      <c r="AB219" s="32"/>
      <c r="AC219" s="32"/>
      <c r="AD219" s="32"/>
      <c r="AE219" s="32"/>
      <c r="AG219" s="26">
        <f t="shared" si="65"/>
        <v>0</v>
      </c>
      <c r="AH219" s="27">
        <f t="shared" si="66"/>
        <v>6.3567916181423254E-2</v>
      </c>
      <c r="AI219" s="28">
        <f t="shared" si="79"/>
        <v>2.5359929441784126E-2</v>
      </c>
      <c r="AJ219" s="27">
        <f t="shared" si="67"/>
        <v>2.5359929441784126E-2</v>
      </c>
      <c r="AK219" s="28">
        <f t="shared" si="68"/>
        <v>2.7888689694940882E-3</v>
      </c>
      <c r="AL219" s="27">
        <f t="shared" si="69"/>
        <v>2.5359929441784126E-2</v>
      </c>
      <c r="AM219" s="28">
        <f t="shared" si="80"/>
        <v>2.6558345460906185E-2</v>
      </c>
      <c r="AN219" s="27">
        <f t="shared" si="81"/>
        <v>-2.5359929441784126E-2</v>
      </c>
      <c r="AO219" s="28">
        <f t="shared" si="70"/>
        <v>-2.5359929441784126E-2</v>
      </c>
      <c r="AP219" s="27">
        <f t="shared" si="71"/>
        <v>-2.7888689694940886E-3</v>
      </c>
      <c r="AQ219" s="29">
        <f t="shared" si="72"/>
        <v>-2.5359929441784126E-2</v>
      </c>
      <c r="AS219" s="30">
        <f t="shared" si="73"/>
        <v>0.90553893883913583</v>
      </c>
      <c r="AT219" s="21">
        <f t="shared" si="74"/>
        <v>3.4953289065874511</v>
      </c>
      <c r="AU219" s="31">
        <f t="shared" ca="1" si="82"/>
        <v>5.6613833244012479E-4</v>
      </c>
      <c r="AV219" s="109">
        <f t="shared" ca="1" si="83"/>
        <v>5.6849017957583126E-4</v>
      </c>
      <c r="AW219" s="27" t="e">
        <f t="shared" ca="1" si="84"/>
        <v>#VALUE!</v>
      </c>
      <c r="AX219" s="29" t="e">
        <f t="shared" ca="1" si="85"/>
        <v>#VALUE!</v>
      </c>
      <c r="AY219" s="72"/>
    </row>
    <row r="220" spans="13:51" s="11" customFormat="1" ht="15.6" customHeight="1" x14ac:dyDescent="0.3">
      <c r="M220" s="20">
        <f t="shared" si="86"/>
        <v>190</v>
      </c>
      <c r="N220" s="21">
        <f t="shared" si="87"/>
        <v>3.3250000000000086</v>
      </c>
      <c r="O220" s="22">
        <f t="shared" ca="1" si="59"/>
        <v>164.86288942600626</v>
      </c>
      <c r="P220" s="23">
        <f t="shared" ca="1" si="60"/>
        <v>-1</v>
      </c>
      <c r="Q220" s="22" t="e">
        <f t="shared" ca="1" si="61"/>
        <v>#VALUE!</v>
      </c>
      <c r="R220" s="23">
        <f t="shared" ca="1" si="62"/>
        <v>-1</v>
      </c>
      <c r="S220" s="24" t="e">
        <f t="shared" ca="1" si="63"/>
        <v>#VALUE!</v>
      </c>
      <c r="T220" s="23">
        <f t="shared" ca="1" si="64"/>
        <v>-1</v>
      </c>
      <c r="U220" s="112">
        <f t="shared" si="75"/>
        <v>2.5312945359337476E-2</v>
      </c>
      <c r="V220" s="109">
        <f t="shared" si="76"/>
        <v>-2.5312945359337476E-2</v>
      </c>
      <c r="W220" s="112">
        <f t="shared" si="77"/>
        <v>2.5312945359337476E-2</v>
      </c>
      <c r="X220" s="113">
        <f t="shared" si="78"/>
        <v>-2.5312945359337476E-2</v>
      </c>
      <c r="Y220" s="32"/>
      <c r="Z220" s="32"/>
      <c r="AA220" s="32"/>
      <c r="AB220" s="32"/>
      <c r="AC220" s="32"/>
      <c r="AD220" s="32"/>
      <c r="AE220" s="32"/>
      <c r="AG220" s="26">
        <f t="shared" si="65"/>
        <v>0</v>
      </c>
      <c r="AH220" s="27">
        <f t="shared" si="66"/>
        <v>6.3450144551904883E-2</v>
      </c>
      <c r="AI220" s="28">
        <f t="shared" si="79"/>
        <v>2.5312945359337476E-2</v>
      </c>
      <c r="AJ220" s="27">
        <f t="shared" si="67"/>
        <v>2.5312945359337476E-2</v>
      </c>
      <c r="AK220" s="28">
        <f t="shared" si="68"/>
        <v>2.7763668643735859E-3</v>
      </c>
      <c r="AL220" s="27">
        <f t="shared" si="69"/>
        <v>2.5312945359337476E-2</v>
      </c>
      <c r="AM220" s="28">
        <f t="shared" si="80"/>
        <v>2.6558345460906185E-2</v>
      </c>
      <c r="AN220" s="27">
        <f t="shared" si="81"/>
        <v>-2.5312945359337476E-2</v>
      </c>
      <c r="AO220" s="28">
        <f t="shared" si="70"/>
        <v>-2.5312945359337476E-2</v>
      </c>
      <c r="AP220" s="27">
        <f t="shared" si="71"/>
        <v>-2.7763668643735859E-3</v>
      </c>
      <c r="AQ220" s="29">
        <f t="shared" si="72"/>
        <v>-2.5312945359337476E-2</v>
      </c>
      <c r="AS220" s="30">
        <f t="shared" si="73"/>
        <v>0.90506365566899416</v>
      </c>
      <c r="AT220" s="21">
        <f t="shared" si="74"/>
        <v>3.4796598414937208</v>
      </c>
      <c r="AU220" s="31">
        <f t="shared" ca="1" si="82"/>
        <v>5.6668389669523034E-4</v>
      </c>
      <c r="AV220" s="109">
        <f t="shared" ca="1" si="83"/>
        <v>5.6903213316294998E-4</v>
      </c>
      <c r="AW220" s="27" t="e">
        <f t="shared" ca="1" si="84"/>
        <v>#VALUE!</v>
      </c>
      <c r="AX220" s="29" t="e">
        <f t="shared" ca="1" si="85"/>
        <v>#VALUE!</v>
      </c>
      <c r="AY220" s="72"/>
    </row>
    <row r="221" spans="13:51" s="11" customFormat="1" ht="15.6" customHeight="1" x14ac:dyDescent="0.3">
      <c r="M221" s="20">
        <f t="shared" si="86"/>
        <v>191</v>
      </c>
      <c r="N221" s="21">
        <f t="shared" si="87"/>
        <v>3.3425000000000087</v>
      </c>
      <c r="O221" s="22">
        <f t="shared" ca="1" si="59"/>
        <v>165.11566842207284</v>
      </c>
      <c r="P221" s="23">
        <f t="shared" ca="1" si="60"/>
        <v>-1</v>
      </c>
      <c r="Q221" s="22" t="e">
        <f t="shared" ca="1" si="61"/>
        <v>#VALUE!</v>
      </c>
      <c r="R221" s="23">
        <f t="shared" ca="1" si="62"/>
        <v>-1</v>
      </c>
      <c r="S221" s="24" t="e">
        <f t="shared" ca="1" si="63"/>
        <v>#VALUE!</v>
      </c>
      <c r="T221" s="23">
        <f t="shared" ca="1" si="64"/>
        <v>-1</v>
      </c>
      <c r="U221" s="112">
        <f t="shared" si="75"/>
        <v>2.5265126037755069E-2</v>
      </c>
      <c r="V221" s="109">
        <f t="shared" si="76"/>
        <v>-2.5265126037755069E-2</v>
      </c>
      <c r="W221" s="112">
        <f t="shared" si="77"/>
        <v>2.5265126037755069E-2</v>
      </c>
      <c r="X221" s="113">
        <f t="shared" si="78"/>
        <v>-2.5265126037755069E-2</v>
      </c>
      <c r="Y221" s="32"/>
      <c r="Z221" s="32"/>
      <c r="AA221" s="32"/>
      <c r="AB221" s="32"/>
      <c r="AC221" s="32"/>
      <c r="AD221" s="32"/>
      <c r="AE221" s="32"/>
      <c r="AG221" s="26">
        <f t="shared" si="65"/>
        <v>0</v>
      </c>
      <c r="AH221" s="27">
        <f t="shared" si="66"/>
        <v>6.3330279288352748E-2</v>
      </c>
      <c r="AI221" s="28">
        <f t="shared" si="79"/>
        <v>2.5265126037755069E-2</v>
      </c>
      <c r="AJ221" s="27">
        <f t="shared" si="67"/>
        <v>2.5265126037755069E-2</v>
      </c>
      <c r="AK221" s="28">
        <f t="shared" si="68"/>
        <v>2.763858193924649E-3</v>
      </c>
      <c r="AL221" s="27">
        <f t="shared" si="69"/>
        <v>2.5265126037755069E-2</v>
      </c>
      <c r="AM221" s="28">
        <f t="shared" si="80"/>
        <v>2.6558345460906185E-2</v>
      </c>
      <c r="AN221" s="27">
        <f t="shared" si="81"/>
        <v>-2.5265126037755069E-2</v>
      </c>
      <c r="AO221" s="28">
        <f t="shared" si="70"/>
        <v>-2.5265126037755069E-2</v>
      </c>
      <c r="AP221" s="27">
        <f t="shared" si="71"/>
        <v>-2.7638581939246495E-3</v>
      </c>
      <c r="AQ221" s="29">
        <f t="shared" si="72"/>
        <v>-2.5265126037755069E-2</v>
      </c>
      <c r="AS221" s="30">
        <f t="shared" si="73"/>
        <v>0.90458862195702827</v>
      </c>
      <c r="AT221" s="21">
        <f t="shared" si="74"/>
        <v>3.4639825479810482</v>
      </c>
      <c r="AU221" s="31">
        <f t="shared" ca="1" si="82"/>
        <v>5.6721337561160823E-4</v>
      </c>
      <c r="AV221" s="109">
        <f t="shared" ca="1" si="83"/>
        <v>5.6955800561275804E-4</v>
      </c>
      <c r="AW221" s="27" t="e">
        <f t="shared" ca="1" si="84"/>
        <v>#VALUE!</v>
      </c>
      <c r="AX221" s="29" t="e">
        <f t="shared" ca="1" si="85"/>
        <v>#VALUE!</v>
      </c>
      <c r="AY221" s="72"/>
    </row>
    <row r="222" spans="13:51" s="11" customFormat="1" ht="15.6" customHeight="1" x14ac:dyDescent="0.3">
      <c r="M222" s="20">
        <f t="shared" si="86"/>
        <v>192</v>
      </c>
      <c r="N222" s="21">
        <f t="shared" si="87"/>
        <v>3.3600000000000088</v>
      </c>
      <c r="O222" s="22">
        <f t="shared" ref="O222:O285" ca="1" si="88">CubicSpline(OFFSET($B$18,0,0,NumCurvePoints,1),OFFSET($C$18,0,0,NumCurvePoints,1),N222)</f>
        <v>165.36751074973412</v>
      </c>
      <c r="P222" s="23">
        <f t="shared" ref="P222:P285" ca="1" si="89">IF(ISERROR(MATCH(M222,$A$20:$A$27,0)),-1,OFFSET($C$17,MATCH(M222,$A$20:$A$27,0),0,1,1))</f>
        <v>-1</v>
      </c>
      <c r="Q222" s="22" t="e">
        <f t="shared" ref="Q222:Q285" ca="1" si="90">CubicSpline(OFFSET($B$18,0,0,NumCurvePoints2,1),OFFSET($D$18,0,0,NumCurvePoints2,1),N222)</f>
        <v>#VALUE!</v>
      </c>
      <c r="R222" s="23">
        <f t="shared" ref="R222:R285" ca="1" si="91">IF(ISERROR(MATCH(M222,$A$20:$A$27,0)),-1,OFFSET($D$17,MATCH(M222,$A$20:$A$27,0),0,1,1))</f>
        <v>-1</v>
      </c>
      <c r="S222" s="24" t="e">
        <f t="shared" ref="S222:S285" ca="1" si="92">CubicSpline(OFFSET($B$18,0,0,NumCurvePoints3,1),OFFSET($E$18,0,0,NumCurvePoints3,1),N222)</f>
        <v>#VALUE!</v>
      </c>
      <c r="T222" s="23">
        <f t="shared" ref="T222:T285" ca="1" si="93">IF(ISERROR(MATCH(M222,$A$20:$A$27,0)),-1,OFFSET($E$17,MATCH(M222,$A$20:$A$27,0),0,1,1))</f>
        <v>-1</v>
      </c>
      <c r="U222" s="112">
        <f t="shared" si="75"/>
        <v>2.5216474705388511E-2</v>
      </c>
      <c r="V222" s="109">
        <f t="shared" si="76"/>
        <v>-2.5216474705388511E-2</v>
      </c>
      <c r="W222" s="112">
        <f t="shared" si="77"/>
        <v>2.5216474705388511E-2</v>
      </c>
      <c r="X222" s="113">
        <f t="shared" si="78"/>
        <v>-2.5216474705388511E-2</v>
      </c>
      <c r="Y222" s="32"/>
      <c r="Z222" s="32"/>
      <c r="AA222" s="32"/>
      <c r="AB222" s="32"/>
      <c r="AC222" s="32"/>
      <c r="AD222" s="32"/>
      <c r="AE222" s="32"/>
      <c r="AG222" s="26">
        <f t="shared" ref="AG222:AG285" si="94">(SwapRate1-InterestRate)*AT222</f>
        <v>0</v>
      </c>
      <c r="AH222" s="27">
        <f t="shared" ref="AH222:AH285" si="95">MAX(0.0000000001,SQRT(N222)*AT222*IRVol)</f>
        <v>6.3208328483044265E-2</v>
      </c>
      <c r="AI222" s="28">
        <f t="shared" si="79"/>
        <v>2.5216474705388511E-2</v>
      </c>
      <c r="AJ222" s="27">
        <f t="shared" ref="AJ222:AJ285" si="96">AI222-IF(ThresholdB="",0,1)*IF((ThresholdB-AG222)/AH222&gt;6,0,(1-NORMSDIST((ThresholdB-AG222)/AH222))*(AG222+AH222*NORMDIST(((ThresholdB-AG222)/AH222),0,1,FALSE)/(1-NORMSDIST((ThresholdB-AG222)/AH222))-ThresholdB))</f>
        <v>2.5216474705388511E-2</v>
      </c>
      <c r="AK222" s="28">
        <f t="shared" ref="AK222:AK285" si="97">-InitialMargin2*NORMSDIST(-InitialMargin2/(IRVol*SQRT(MPR/250)*AT222))+(IRVol*SQRT(MPR/250)*AT222)*NORMDIST(-InitialMargin2/(IRVol*SQRT(MPR/250)*AT222),0,1,FALSE)</f>
        <v>2.7513429546995702E-3</v>
      </c>
      <c r="AL222" s="27">
        <f t="shared" ref="AL222:AL285" si="98">IF(OR(BreakMat="",BreakMat=0,BreakMat&gt;N222),IF(AND(ThresholdB="",ThresholdA=0,ThresholdA&lt;&gt;""),AJ222+AK222,IF(AND(ThresholdB=0,ThresholdB&lt;&gt;""),AK222,IF(ThresholdB&gt;0,MAX(AJ222,AK222),AJ222))))</f>
        <v>2.5216474705388511E-2</v>
      </c>
      <c r="AM222" s="28">
        <f t="shared" si="80"/>
        <v>2.6558345460906185E-2</v>
      </c>
      <c r="AN222" s="27">
        <f t="shared" si="81"/>
        <v>-2.5216474705388511E-2</v>
      </c>
      <c r="AO222" s="28">
        <f t="shared" ref="AO222:AO285" si="99">AN222+IF(AND(ThresholdA&lt;&gt;"",(ThresholdA+AG222)/AH222&lt;6),(1-NORMSDIST((ThresholdA+AG222)/AH222))*(-AG222+AH222*NORMDIST(((ThresholdA+AG222)/AH222),0,1,FALSE)/(1-NORMSDIST((ThresholdA+AG222)/AH222))-ThresholdA))</f>
        <v>-2.5216474705388511E-2</v>
      </c>
      <c r="AP222" s="27">
        <f t="shared" ref="AP222:AP285" si="100">InitialMargin1*NORMSDIST(-InitialMargin1/(IRVol*AT222*SQRT(MPR/250)))-(IRVol*AT222*SQRT(MPR/250))*NORMDIST(-InitialMargin1/(IRVol*AT222*SQRT(MPR/250)),0,1,FALSE)</f>
        <v>-2.7513429546995706E-3</v>
      </c>
      <c r="AQ222" s="29">
        <f t="shared" ref="AQ222:AQ285" si="101">IF(OR(BreakMat="",BreakMat=0,BreakMat&gt;N222),IF(AND(ThresholdA="",ThresholdB=0,ThresholdB&lt;&gt;""),AO222+AP222,IF(AND(ThresholdA=0,ThresholdA&lt;&gt;""),AP222,MIN(AO222,AP222))))</f>
        <v>-2.5216474705388511E-2</v>
      </c>
      <c r="AS222" s="30">
        <f t="shared" ref="AS222:AS285" si="102">EXP(-InterestRate*N222)</f>
        <v>0.90411383757230701</v>
      </c>
      <c r="AT222" s="21">
        <f t="shared" ref="AT222:AT285" si="103">MAX((1-EXP(-(Maturity1-N222)*InterestRate))/InterestRate,0)</f>
        <v>3.4482970217283713</v>
      </c>
      <c r="AU222" s="31">
        <f t="shared" ca="1" si="82"/>
        <v>5.6772685068717799E-4</v>
      </c>
      <c r="AV222" s="109">
        <f t="shared" ca="1" si="83"/>
        <v>5.7006787856606067E-4</v>
      </c>
      <c r="AW222" s="27" t="e">
        <f t="shared" ca="1" si="84"/>
        <v>#VALUE!</v>
      </c>
      <c r="AX222" s="29" t="e">
        <f t="shared" ca="1" si="85"/>
        <v>#VALUE!</v>
      </c>
      <c r="AY222" s="72"/>
    </row>
    <row r="223" spans="13:51" s="11" customFormat="1" ht="15.6" customHeight="1" x14ac:dyDescent="0.3">
      <c r="M223" s="20">
        <f t="shared" si="86"/>
        <v>193</v>
      </c>
      <c r="N223" s="21">
        <f t="shared" si="87"/>
        <v>3.3775000000000088</v>
      </c>
      <c r="O223" s="22">
        <f t="shared" ca="1" si="88"/>
        <v>165.61843238262227</v>
      </c>
      <c r="P223" s="23">
        <f t="shared" ca="1" si="89"/>
        <v>-1</v>
      </c>
      <c r="Q223" s="22" t="e">
        <f t="shared" ca="1" si="90"/>
        <v>#VALUE!</v>
      </c>
      <c r="R223" s="23">
        <f t="shared" ca="1" si="91"/>
        <v>-1</v>
      </c>
      <c r="S223" s="24" t="e">
        <f t="shared" ca="1" si="92"/>
        <v>#VALUE!</v>
      </c>
      <c r="T223" s="23">
        <f t="shared" ca="1" si="93"/>
        <v>-1</v>
      </c>
      <c r="U223" s="112">
        <f t="shared" ref="U223:U286" si="104">AI223</f>
        <v>2.5166994550289794E-2</v>
      </c>
      <c r="V223" s="109">
        <f t="shared" ref="V223:V286" si="105">AN223</f>
        <v>-2.5166994550289794E-2</v>
      </c>
      <c r="W223" s="112">
        <f t="shared" ref="W223:W286" si="106">AL223</f>
        <v>2.5166994550289794E-2</v>
      </c>
      <c r="X223" s="113">
        <f t="shared" ref="X223:X286" si="107">AQ223</f>
        <v>-2.5166994550289794E-2</v>
      </c>
      <c r="Y223" s="32"/>
      <c r="Z223" s="32"/>
      <c r="AA223" s="32"/>
      <c r="AB223" s="32"/>
      <c r="AC223" s="32"/>
      <c r="AD223" s="32"/>
      <c r="AE223" s="32"/>
      <c r="AG223" s="26">
        <f t="shared" si="94"/>
        <v>0</v>
      </c>
      <c r="AH223" s="27">
        <f t="shared" si="95"/>
        <v>6.30843001272407E-2</v>
      </c>
      <c r="AI223" s="28">
        <f t="shared" ref="AI223:AI286" si="108">(AG223*NORMSDIST(AG223/AH223)+AH223*NORMDIST(AG223/AH223,0,1,FALSE))</f>
        <v>2.5166994550289794E-2</v>
      </c>
      <c r="AJ223" s="27">
        <f t="shared" si="96"/>
        <v>2.5166994550289794E-2</v>
      </c>
      <c r="AK223" s="28">
        <f t="shared" si="97"/>
        <v>2.7388211432488444E-3</v>
      </c>
      <c r="AL223" s="27">
        <f t="shared" si="98"/>
        <v>2.5166994550289794E-2</v>
      </c>
      <c r="AM223" s="28">
        <f t="shared" ref="AM223:AM286" si="109">MAX(AL223,AM222)</f>
        <v>2.6558345460906185E-2</v>
      </c>
      <c r="AN223" s="27">
        <f t="shared" ref="AN223:AN286" si="110">(AG223*NORMSDIST(-AG223/AH223)-AH223*NORMDIST(-AG223/AH223,0,1,FALSE))</f>
        <v>-2.5166994550289794E-2</v>
      </c>
      <c r="AO223" s="28">
        <f t="shared" si="99"/>
        <v>-2.5166994550289794E-2</v>
      </c>
      <c r="AP223" s="27">
        <f t="shared" si="100"/>
        <v>-2.7388211432488444E-3</v>
      </c>
      <c r="AQ223" s="29">
        <f t="shared" si="101"/>
        <v>-2.5166994550289794E-2</v>
      </c>
      <c r="AS223" s="30">
        <f t="shared" si="102"/>
        <v>0.90363930238396795</v>
      </c>
      <c r="AT223" s="21">
        <f t="shared" si="103"/>
        <v>3.4326032584123776</v>
      </c>
      <c r="AU223" s="31">
        <f t="shared" ref="AU223:AU286" ca="1" si="111">EXP(-N222*O222/CntrptyLGD/10000)-EXP(-N223*O223/CntrptyLGD/10000)</f>
        <v>5.6823965292829293E-4</v>
      </c>
      <c r="AV223" s="109">
        <f t="shared" ref="AV223:AV286" ca="1" si="112">EXP(-N222*(O222+1)/CntrptyLGD/10000)-EXP(-N223*(O223+1)/CntrptyLGD/10000)</f>
        <v>5.7057707458729734E-4</v>
      </c>
      <c r="AW223" s="27" t="e">
        <f t="shared" ref="AW223:AW286" ca="1" si="113">EXP(-N222*Q222/OwnLGD/10000)-EXP(-N223*Q223/OwnLGD/10000)</f>
        <v>#VALUE!</v>
      </c>
      <c r="AX223" s="29" t="e">
        <f t="shared" ref="AX223:AX286" ca="1" si="114">EXP(-N222*S222/10000)-EXP(-N223*S223/10000)</f>
        <v>#VALUE!</v>
      </c>
      <c r="AY223" s="72"/>
    </row>
    <row r="224" spans="13:51" s="11" customFormat="1" ht="15.6" customHeight="1" x14ac:dyDescent="0.3">
      <c r="M224" s="20">
        <f t="shared" ref="M224:M287" si="115">M223+1</f>
        <v>194</v>
      </c>
      <c r="N224" s="21">
        <f t="shared" ref="N224:N287" si="116">N223+Maturity1/400</f>
        <v>3.3950000000000089</v>
      </c>
      <c r="O224" s="22">
        <f t="shared" ca="1" si="88"/>
        <v>165.86844931533105</v>
      </c>
      <c r="P224" s="23">
        <f t="shared" ca="1" si="89"/>
        <v>-1</v>
      </c>
      <c r="Q224" s="22" t="e">
        <f t="shared" ca="1" si="90"/>
        <v>#VALUE!</v>
      </c>
      <c r="R224" s="23">
        <f t="shared" ca="1" si="91"/>
        <v>-1</v>
      </c>
      <c r="S224" s="24" t="e">
        <f t="shared" ca="1" si="92"/>
        <v>#VALUE!</v>
      </c>
      <c r="T224" s="23">
        <f t="shared" ca="1" si="93"/>
        <v>-1</v>
      </c>
      <c r="U224" s="112">
        <f t="shared" si="104"/>
        <v>2.511668872090175E-2</v>
      </c>
      <c r="V224" s="109">
        <f t="shared" si="105"/>
        <v>-2.511668872090175E-2</v>
      </c>
      <c r="W224" s="112">
        <f t="shared" si="106"/>
        <v>2.511668872090175E-2</v>
      </c>
      <c r="X224" s="113">
        <f t="shared" si="107"/>
        <v>-2.511668872090175E-2</v>
      </c>
      <c r="Y224" s="32"/>
      <c r="Z224" s="32"/>
      <c r="AA224" s="32"/>
      <c r="AB224" s="32"/>
      <c r="AC224" s="32"/>
      <c r="AD224" s="32"/>
      <c r="AE224" s="32"/>
      <c r="AG224" s="26">
        <f t="shared" si="94"/>
        <v>0</v>
      </c>
      <c r="AH224" s="27">
        <f t="shared" si="95"/>
        <v>6.295820211291786E-2</v>
      </c>
      <c r="AI224" s="28">
        <f t="shared" si="108"/>
        <v>2.511668872090175E-2</v>
      </c>
      <c r="AJ224" s="27">
        <f t="shared" si="96"/>
        <v>2.511668872090175E-2</v>
      </c>
      <c r="AK224" s="28">
        <f t="shared" si="97"/>
        <v>2.7262927561211405E-3</v>
      </c>
      <c r="AL224" s="27">
        <f t="shared" si="98"/>
        <v>2.511668872090175E-2</v>
      </c>
      <c r="AM224" s="28">
        <f t="shared" si="109"/>
        <v>2.6558345460906185E-2</v>
      </c>
      <c r="AN224" s="27">
        <f t="shared" si="110"/>
        <v>-2.511668872090175E-2</v>
      </c>
      <c r="AO224" s="28">
        <f t="shared" si="99"/>
        <v>-2.511668872090175E-2</v>
      </c>
      <c r="AP224" s="27">
        <f t="shared" si="100"/>
        <v>-2.7262927561211405E-3</v>
      </c>
      <c r="AQ224" s="29">
        <f t="shared" si="101"/>
        <v>-2.511668872090175E-2</v>
      </c>
      <c r="AS224" s="30">
        <f t="shared" si="102"/>
        <v>0.90316501626121737</v>
      </c>
      <c r="AT224" s="21">
        <f t="shared" si="103"/>
        <v>3.4169012537074646</v>
      </c>
      <c r="AU224" s="31">
        <f t="shared" ca="1" si="111"/>
        <v>5.6875196039796183E-4</v>
      </c>
      <c r="AV224" s="109">
        <f t="shared" ca="1" si="112"/>
        <v>5.7108577164699525E-4</v>
      </c>
      <c r="AW224" s="27" t="e">
        <f t="shared" ca="1" si="113"/>
        <v>#VALUE!</v>
      </c>
      <c r="AX224" s="29" t="e">
        <f t="shared" ca="1" si="114"/>
        <v>#VALUE!</v>
      </c>
      <c r="AY224" s="72"/>
    </row>
    <row r="225" spans="13:51" s="11" customFormat="1" ht="15.6" customHeight="1" x14ac:dyDescent="0.3">
      <c r="M225" s="20">
        <f t="shared" si="115"/>
        <v>195</v>
      </c>
      <c r="N225" s="21">
        <f t="shared" si="116"/>
        <v>3.412500000000009</v>
      </c>
      <c r="O225" s="22">
        <f t="shared" ca="1" si="88"/>
        <v>166.11754737033434</v>
      </c>
      <c r="P225" s="23">
        <f t="shared" ca="1" si="89"/>
        <v>-1</v>
      </c>
      <c r="Q225" s="22" t="e">
        <f t="shared" ca="1" si="90"/>
        <v>#VALUE!</v>
      </c>
      <c r="R225" s="23">
        <f t="shared" ca="1" si="91"/>
        <v>-1</v>
      </c>
      <c r="S225" s="24" t="e">
        <f t="shared" ca="1" si="92"/>
        <v>#VALUE!</v>
      </c>
      <c r="T225" s="23">
        <f t="shared" ca="1" si="93"/>
        <v>-1</v>
      </c>
      <c r="U225" s="112">
        <f t="shared" si="104"/>
        <v>2.5065560326733551E-2</v>
      </c>
      <c r="V225" s="109">
        <f t="shared" si="105"/>
        <v>-2.5065560326733551E-2</v>
      </c>
      <c r="W225" s="112">
        <f t="shared" si="106"/>
        <v>2.5065560326733551E-2</v>
      </c>
      <c r="X225" s="113">
        <f t="shared" si="107"/>
        <v>-2.5065560326733551E-2</v>
      </c>
      <c r="Y225" s="32"/>
      <c r="Z225" s="32"/>
      <c r="AA225" s="32"/>
      <c r="AB225" s="32"/>
      <c r="AC225" s="32"/>
      <c r="AD225" s="32"/>
      <c r="AE225" s="32"/>
      <c r="AG225" s="26">
        <f t="shared" si="94"/>
        <v>0</v>
      </c>
      <c r="AH225" s="27">
        <f t="shared" si="95"/>
        <v>6.2830042234459371E-2</v>
      </c>
      <c r="AI225" s="28">
        <f t="shared" si="108"/>
        <v>2.5065560326733551E-2</v>
      </c>
      <c r="AJ225" s="27">
        <f t="shared" si="96"/>
        <v>2.5065560326733551E-2</v>
      </c>
      <c r="AK225" s="28">
        <f t="shared" si="97"/>
        <v>2.7137577898633221E-3</v>
      </c>
      <c r="AL225" s="27">
        <f t="shared" si="98"/>
        <v>2.5065560326733551E-2</v>
      </c>
      <c r="AM225" s="28">
        <f t="shared" si="109"/>
        <v>2.6558345460906185E-2</v>
      </c>
      <c r="AN225" s="27">
        <f t="shared" si="110"/>
        <v>-2.5065560326733551E-2</v>
      </c>
      <c r="AO225" s="28">
        <f t="shared" si="99"/>
        <v>-2.5065560326733551E-2</v>
      </c>
      <c r="AP225" s="27">
        <f t="shared" si="100"/>
        <v>-2.7137577898633226E-3</v>
      </c>
      <c r="AQ225" s="29">
        <f t="shared" si="101"/>
        <v>-2.5065560326733551E-2</v>
      </c>
      <c r="AS225" s="30">
        <f t="shared" si="102"/>
        <v>0.90269097907333007</v>
      </c>
      <c r="AT225" s="21">
        <f t="shared" si="103"/>
        <v>3.401191003285768</v>
      </c>
      <c r="AU225" s="31">
        <f t="shared" ca="1" si="111"/>
        <v>5.6924832670435244E-4</v>
      </c>
      <c r="AV225" s="109">
        <f t="shared" ca="1" si="112"/>
        <v>5.7157853214184762E-4</v>
      </c>
      <c r="AW225" s="27" t="e">
        <f t="shared" ca="1" si="113"/>
        <v>#VALUE!</v>
      </c>
      <c r="AX225" s="29" t="e">
        <f t="shared" ca="1" si="114"/>
        <v>#VALUE!</v>
      </c>
      <c r="AY225" s="72"/>
    </row>
    <row r="226" spans="13:51" s="11" customFormat="1" ht="15.6" customHeight="1" x14ac:dyDescent="0.3">
      <c r="M226" s="20">
        <f t="shared" si="115"/>
        <v>196</v>
      </c>
      <c r="N226" s="21">
        <f t="shared" si="116"/>
        <v>3.430000000000009</v>
      </c>
      <c r="O226" s="22">
        <f t="shared" ca="1" si="88"/>
        <v>166.36572717497293</v>
      </c>
      <c r="P226" s="23">
        <f t="shared" ca="1" si="89"/>
        <v>-1</v>
      </c>
      <c r="Q226" s="22" t="e">
        <f t="shared" ca="1" si="90"/>
        <v>#VALUE!</v>
      </c>
      <c r="R226" s="23">
        <f t="shared" ca="1" si="91"/>
        <v>-1</v>
      </c>
      <c r="S226" s="24" t="e">
        <f t="shared" ca="1" si="92"/>
        <v>#VALUE!</v>
      </c>
      <c r="T226" s="23">
        <f t="shared" ca="1" si="93"/>
        <v>-1</v>
      </c>
      <c r="U226" s="112">
        <f t="shared" si="104"/>
        <v>2.5013612439020845E-2</v>
      </c>
      <c r="V226" s="109">
        <f t="shared" si="105"/>
        <v>-2.5013612439020845E-2</v>
      </c>
      <c r="W226" s="112">
        <f t="shared" si="106"/>
        <v>2.5013612439020845E-2</v>
      </c>
      <c r="X226" s="113">
        <f t="shared" si="107"/>
        <v>-2.5013612439020845E-2</v>
      </c>
      <c r="Y226" s="32"/>
      <c r="Z226" s="32"/>
      <c r="AA226" s="32"/>
      <c r="AB226" s="32"/>
      <c r="AC226" s="32"/>
      <c r="AD226" s="32"/>
      <c r="AE226" s="32"/>
      <c r="AG226" s="26">
        <f t="shared" si="94"/>
        <v>0</v>
      </c>
      <c r="AH226" s="27">
        <f t="shared" si="95"/>
        <v>6.2699828190311349E-2</v>
      </c>
      <c r="AI226" s="28">
        <f t="shared" si="108"/>
        <v>2.5013612439020845E-2</v>
      </c>
      <c r="AJ226" s="27">
        <f t="shared" si="96"/>
        <v>2.5013612439020845E-2</v>
      </c>
      <c r="AK226" s="28">
        <f t="shared" si="97"/>
        <v>2.7012162410204434E-3</v>
      </c>
      <c r="AL226" s="27">
        <f t="shared" si="98"/>
        <v>2.5013612439020845E-2</v>
      </c>
      <c r="AM226" s="28">
        <f t="shared" si="109"/>
        <v>2.6558345460906185E-2</v>
      </c>
      <c r="AN226" s="27">
        <f t="shared" si="110"/>
        <v>-2.5013612439020845E-2</v>
      </c>
      <c r="AO226" s="28">
        <f t="shared" si="99"/>
        <v>-2.5013612439020845E-2</v>
      </c>
      <c r="AP226" s="27">
        <f t="shared" si="100"/>
        <v>-2.7012162410204434E-3</v>
      </c>
      <c r="AQ226" s="29">
        <f t="shared" si="101"/>
        <v>-2.5013612439020845E-2</v>
      </c>
      <c r="AS226" s="30">
        <f t="shared" si="102"/>
        <v>0.90221719068964956</v>
      </c>
      <c r="AT226" s="21">
        <f t="shared" si="103"/>
        <v>3.3854725028171551</v>
      </c>
      <c r="AU226" s="31">
        <f t="shared" ca="1" si="111"/>
        <v>5.6973633290169357E-4</v>
      </c>
      <c r="AV226" s="109">
        <f t="shared" ca="1" si="112"/>
        <v>5.7206293297928923E-4</v>
      </c>
      <c r="AW226" s="27" t="e">
        <f t="shared" ca="1" si="113"/>
        <v>#VALUE!</v>
      </c>
      <c r="AX226" s="29" t="e">
        <f t="shared" ca="1" si="114"/>
        <v>#VALUE!</v>
      </c>
      <c r="AY226" s="72"/>
    </row>
    <row r="227" spans="13:51" s="11" customFormat="1" ht="15.6" customHeight="1" x14ac:dyDescent="0.3">
      <c r="M227" s="20">
        <f t="shared" si="115"/>
        <v>197</v>
      </c>
      <c r="N227" s="21">
        <f t="shared" si="116"/>
        <v>3.4475000000000091</v>
      </c>
      <c r="O227" s="22">
        <f t="shared" ca="1" si="88"/>
        <v>166.61297453131849</v>
      </c>
      <c r="P227" s="23">
        <f t="shared" ca="1" si="89"/>
        <v>-1</v>
      </c>
      <c r="Q227" s="22" t="e">
        <f t="shared" ca="1" si="90"/>
        <v>#VALUE!</v>
      </c>
      <c r="R227" s="23">
        <f t="shared" ca="1" si="91"/>
        <v>-1</v>
      </c>
      <c r="S227" s="24" t="e">
        <f t="shared" ca="1" si="92"/>
        <v>#VALUE!</v>
      </c>
      <c r="T227" s="23">
        <f t="shared" ca="1" si="93"/>
        <v>-1</v>
      </c>
      <c r="U227" s="112">
        <f t="shared" si="104"/>
        <v>2.4960848091371245E-2</v>
      </c>
      <c r="V227" s="109">
        <f t="shared" si="105"/>
        <v>-2.4960848091371245E-2</v>
      </c>
      <c r="W227" s="112">
        <f t="shared" si="106"/>
        <v>2.4960848091371245E-2</v>
      </c>
      <c r="X227" s="113">
        <f t="shared" si="107"/>
        <v>-2.4960848091371245E-2</v>
      </c>
      <c r="Y227" s="32"/>
      <c r="Z227" s="32"/>
      <c r="AA227" s="32"/>
      <c r="AB227" s="32"/>
      <c r="AC227" s="32"/>
      <c r="AD227" s="32"/>
      <c r="AE227" s="32"/>
      <c r="AG227" s="26">
        <f t="shared" si="94"/>
        <v>0</v>
      </c>
      <c r="AH227" s="27">
        <f t="shared" si="95"/>
        <v>6.25675675846004E-2</v>
      </c>
      <c r="AI227" s="28">
        <f t="shared" si="108"/>
        <v>2.4960848091371245E-2</v>
      </c>
      <c r="AJ227" s="27">
        <f t="shared" si="96"/>
        <v>2.4960848091371245E-2</v>
      </c>
      <c r="AK227" s="28">
        <f t="shared" si="97"/>
        <v>2.6886681061357369E-3</v>
      </c>
      <c r="AL227" s="27">
        <f t="shared" si="98"/>
        <v>2.4960848091371245E-2</v>
      </c>
      <c r="AM227" s="28">
        <f t="shared" si="109"/>
        <v>2.6558345460906185E-2</v>
      </c>
      <c r="AN227" s="27">
        <f t="shared" si="110"/>
        <v>-2.4960848091371245E-2</v>
      </c>
      <c r="AO227" s="28">
        <f t="shared" si="99"/>
        <v>-2.4960848091371245E-2</v>
      </c>
      <c r="AP227" s="27">
        <f t="shared" si="100"/>
        <v>-2.6886681061357369E-3</v>
      </c>
      <c r="AQ227" s="29">
        <f t="shared" si="101"/>
        <v>-2.4960848091371245E-2</v>
      </c>
      <c r="AS227" s="30">
        <f t="shared" si="102"/>
        <v>0.90174365097958809</v>
      </c>
      <c r="AT227" s="21">
        <f t="shared" si="103"/>
        <v>3.3697457479692106</v>
      </c>
      <c r="AU227" s="31">
        <f t="shared" ca="1" si="111"/>
        <v>5.7020826195053331E-4</v>
      </c>
      <c r="AV227" s="109">
        <f t="shared" ca="1" si="112"/>
        <v>5.7253126165013324E-4</v>
      </c>
      <c r="AW227" s="27" t="e">
        <f t="shared" ca="1" si="113"/>
        <v>#VALUE!</v>
      </c>
      <c r="AX227" s="29" t="e">
        <f t="shared" ca="1" si="114"/>
        <v>#VALUE!</v>
      </c>
      <c r="AY227" s="72"/>
    </row>
    <row r="228" spans="13:51" s="11" customFormat="1" ht="15.6" customHeight="1" x14ac:dyDescent="0.3">
      <c r="M228" s="20">
        <f t="shared" si="115"/>
        <v>198</v>
      </c>
      <c r="N228" s="21">
        <f t="shared" si="116"/>
        <v>3.4650000000000092</v>
      </c>
      <c r="O228" s="22">
        <f t="shared" ca="1" si="88"/>
        <v>166.85931306845978</v>
      </c>
      <c r="P228" s="23">
        <f t="shared" ca="1" si="89"/>
        <v>-1</v>
      </c>
      <c r="Q228" s="22" t="e">
        <f t="shared" ca="1" si="90"/>
        <v>#VALUE!</v>
      </c>
      <c r="R228" s="23">
        <f t="shared" ca="1" si="91"/>
        <v>-1</v>
      </c>
      <c r="S228" s="24" t="e">
        <f t="shared" ca="1" si="92"/>
        <v>#VALUE!</v>
      </c>
      <c r="T228" s="23">
        <f t="shared" ca="1" si="93"/>
        <v>-1</v>
      </c>
      <c r="U228" s="112">
        <f t="shared" si="104"/>
        <v>2.4907270280395653E-2</v>
      </c>
      <c r="V228" s="109">
        <f t="shared" si="105"/>
        <v>-2.4907270280395653E-2</v>
      </c>
      <c r="W228" s="112">
        <f t="shared" si="106"/>
        <v>2.4907270280395653E-2</v>
      </c>
      <c r="X228" s="113">
        <f t="shared" si="107"/>
        <v>-2.4907270280395653E-2</v>
      </c>
      <c r="Y228" s="32"/>
      <c r="Z228" s="32"/>
      <c r="AA228" s="32"/>
      <c r="AB228" s="32"/>
      <c r="AC228" s="32"/>
      <c r="AD228" s="32"/>
      <c r="AE228" s="32"/>
      <c r="AG228" s="26">
        <f t="shared" si="94"/>
        <v>0</v>
      </c>
      <c r="AH228" s="27">
        <f t="shared" si="95"/>
        <v>6.2433267928716146E-2</v>
      </c>
      <c r="AI228" s="28">
        <f t="shared" si="108"/>
        <v>2.4907270280395653E-2</v>
      </c>
      <c r="AJ228" s="27">
        <f t="shared" si="96"/>
        <v>2.4907270280395653E-2</v>
      </c>
      <c r="AK228" s="28">
        <f t="shared" si="97"/>
        <v>2.6761133817506219E-3</v>
      </c>
      <c r="AL228" s="27">
        <f t="shared" si="98"/>
        <v>2.4907270280395653E-2</v>
      </c>
      <c r="AM228" s="28">
        <f t="shared" si="109"/>
        <v>2.6558345460906185E-2</v>
      </c>
      <c r="AN228" s="27">
        <f t="shared" si="110"/>
        <v>-2.4907270280395653E-2</v>
      </c>
      <c r="AO228" s="28">
        <f t="shared" si="99"/>
        <v>-2.4907270280395653E-2</v>
      </c>
      <c r="AP228" s="27">
        <f t="shared" si="100"/>
        <v>-2.6761133817506219E-3</v>
      </c>
      <c r="AQ228" s="29">
        <f t="shared" si="101"/>
        <v>-2.4907270280395653E-2</v>
      </c>
      <c r="AS228" s="30">
        <f t="shared" si="102"/>
        <v>0.90127035981262593</v>
      </c>
      <c r="AT228" s="21">
        <f t="shared" si="103"/>
        <v>3.3540107344072463</v>
      </c>
      <c r="AU228" s="31">
        <f t="shared" ca="1" si="111"/>
        <v>5.7068383820924051E-4</v>
      </c>
      <c r="AV228" s="109">
        <f t="shared" ca="1" si="112"/>
        <v>5.7300323131270758E-4</v>
      </c>
      <c r="AW228" s="27" t="e">
        <f t="shared" ca="1" si="113"/>
        <v>#VALUE!</v>
      </c>
      <c r="AX228" s="29" t="e">
        <f t="shared" ca="1" si="114"/>
        <v>#VALUE!</v>
      </c>
      <c r="AY228" s="72"/>
    </row>
    <row r="229" spans="13:51" s="11" customFormat="1" ht="15.6" customHeight="1" x14ac:dyDescent="0.3">
      <c r="M229" s="20">
        <f t="shared" si="115"/>
        <v>199</v>
      </c>
      <c r="N229" s="21">
        <f t="shared" si="116"/>
        <v>3.4825000000000093</v>
      </c>
      <c r="O229" s="22">
        <f t="shared" ca="1" si="88"/>
        <v>167.1047435471452</v>
      </c>
      <c r="P229" s="23">
        <f t="shared" ca="1" si="89"/>
        <v>-1</v>
      </c>
      <c r="Q229" s="22" t="e">
        <f t="shared" ca="1" si="90"/>
        <v>#VALUE!</v>
      </c>
      <c r="R229" s="23">
        <f t="shared" ca="1" si="91"/>
        <v>-1</v>
      </c>
      <c r="S229" s="24" t="e">
        <f t="shared" ca="1" si="92"/>
        <v>#VALUE!</v>
      </c>
      <c r="T229" s="23">
        <f t="shared" ca="1" si="93"/>
        <v>-1</v>
      </c>
      <c r="U229" s="112">
        <f t="shared" si="104"/>
        <v>2.4852881966325697E-2</v>
      </c>
      <c r="V229" s="109">
        <f t="shared" si="105"/>
        <v>-2.4852881966325697E-2</v>
      </c>
      <c r="W229" s="112">
        <f t="shared" si="106"/>
        <v>2.4852881966325697E-2</v>
      </c>
      <c r="X229" s="113">
        <f t="shared" si="107"/>
        <v>-2.4852881966325697E-2</v>
      </c>
      <c r="Y229" s="32"/>
      <c r="Z229" s="32"/>
      <c r="AA229" s="32"/>
      <c r="AB229" s="32"/>
      <c r="AC229" s="32"/>
      <c r="AD229" s="32"/>
      <c r="AE229" s="32"/>
      <c r="AG229" s="26">
        <f t="shared" si="94"/>
        <v>0</v>
      </c>
      <c r="AH229" s="27">
        <f t="shared" si="95"/>
        <v>6.2296936642858881E-2</v>
      </c>
      <c r="AI229" s="28">
        <f t="shared" si="108"/>
        <v>2.4852881966325697E-2</v>
      </c>
      <c r="AJ229" s="27">
        <f t="shared" si="96"/>
        <v>2.4852881966325697E-2</v>
      </c>
      <c r="AK229" s="28">
        <f t="shared" si="97"/>
        <v>2.6635520644047068E-3</v>
      </c>
      <c r="AL229" s="27">
        <f t="shared" si="98"/>
        <v>2.4852881966325697E-2</v>
      </c>
      <c r="AM229" s="28">
        <f t="shared" si="109"/>
        <v>2.6558345460906185E-2</v>
      </c>
      <c r="AN229" s="27">
        <f t="shared" si="110"/>
        <v>-2.4852881966325697E-2</v>
      </c>
      <c r="AO229" s="28">
        <f t="shared" si="99"/>
        <v>-2.4852881966325697E-2</v>
      </c>
      <c r="AP229" s="27">
        <f t="shared" si="100"/>
        <v>-2.6635520644047068E-3</v>
      </c>
      <c r="AQ229" s="29">
        <f t="shared" si="101"/>
        <v>-2.4852881966325697E-2</v>
      </c>
      <c r="AS229" s="30">
        <f t="shared" si="102"/>
        <v>0.90079731705831256</v>
      </c>
      <c r="AT229" s="21">
        <f t="shared" si="103"/>
        <v>3.3382674577943048</v>
      </c>
      <c r="AU229" s="31">
        <f t="shared" ca="1" si="111"/>
        <v>5.7115125262729993E-4</v>
      </c>
      <c r="AV229" s="109">
        <f t="shared" ca="1" si="112"/>
        <v>5.73467039726272E-4</v>
      </c>
      <c r="AW229" s="27" t="e">
        <f t="shared" ca="1" si="113"/>
        <v>#VALUE!</v>
      </c>
      <c r="AX229" s="29" t="e">
        <f t="shared" ca="1" si="114"/>
        <v>#VALUE!</v>
      </c>
      <c r="AY229" s="72"/>
    </row>
    <row r="230" spans="13:51" s="11" customFormat="1" ht="15.6" customHeight="1" x14ac:dyDescent="0.3">
      <c r="M230" s="20">
        <f t="shared" si="115"/>
        <v>200</v>
      </c>
      <c r="N230" s="21">
        <f t="shared" si="116"/>
        <v>3.5000000000000093</v>
      </c>
      <c r="O230" s="22">
        <f t="shared" ca="1" si="88"/>
        <v>167.34925173968162</v>
      </c>
      <c r="P230" s="23">
        <f t="shared" ca="1" si="89"/>
        <v>-1</v>
      </c>
      <c r="Q230" s="22" t="e">
        <f t="shared" ca="1" si="90"/>
        <v>#VALUE!</v>
      </c>
      <c r="R230" s="23">
        <f t="shared" ca="1" si="91"/>
        <v>-1</v>
      </c>
      <c r="S230" s="24" t="e">
        <f t="shared" ca="1" si="92"/>
        <v>#VALUE!</v>
      </c>
      <c r="T230" s="23">
        <f t="shared" ca="1" si="93"/>
        <v>-1</v>
      </c>
      <c r="U230" s="112">
        <f t="shared" si="104"/>
        <v>2.47976860736175E-2</v>
      </c>
      <c r="V230" s="109">
        <f t="shared" si="105"/>
        <v>-2.47976860736175E-2</v>
      </c>
      <c r="W230" s="112">
        <f t="shared" si="106"/>
        <v>2.47976860736175E-2</v>
      </c>
      <c r="X230" s="113">
        <f t="shared" si="107"/>
        <v>-2.47976860736175E-2</v>
      </c>
      <c r="Y230" s="32"/>
      <c r="Z230" s="32"/>
      <c r="AA230" s="32"/>
      <c r="AB230" s="32"/>
      <c r="AC230" s="32"/>
      <c r="AD230" s="32"/>
      <c r="AE230" s="32"/>
      <c r="AG230" s="26">
        <f t="shared" si="94"/>
        <v>0</v>
      </c>
      <c r="AH230" s="27">
        <f t="shared" si="95"/>
        <v>6.2158581057553022E-2</v>
      </c>
      <c r="AI230" s="28">
        <f t="shared" si="108"/>
        <v>2.47976860736175E-2</v>
      </c>
      <c r="AJ230" s="27">
        <f t="shared" si="96"/>
        <v>2.47976860736175E-2</v>
      </c>
      <c r="AK230" s="28">
        <f t="shared" si="97"/>
        <v>2.6509841506357741E-3</v>
      </c>
      <c r="AL230" s="27">
        <f t="shared" si="98"/>
        <v>2.47976860736175E-2</v>
      </c>
      <c r="AM230" s="28">
        <f t="shared" si="109"/>
        <v>2.6558345460906185E-2</v>
      </c>
      <c r="AN230" s="27">
        <f t="shared" si="110"/>
        <v>-2.47976860736175E-2</v>
      </c>
      <c r="AO230" s="28">
        <f t="shared" si="99"/>
        <v>-2.47976860736175E-2</v>
      </c>
      <c r="AP230" s="27">
        <f t="shared" si="100"/>
        <v>-2.6509841506357746E-3</v>
      </c>
      <c r="AQ230" s="29">
        <f t="shared" si="101"/>
        <v>-2.47976860736175E-2</v>
      </c>
      <c r="AS230" s="30">
        <f t="shared" si="102"/>
        <v>0.90032452258626539</v>
      </c>
      <c r="AT230" s="21">
        <f t="shared" si="103"/>
        <v>3.3225159137911393</v>
      </c>
      <c r="AU230" s="31">
        <f t="shared" ca="1" si="111"/>
        <v>5.7160259989375017E-4</v>
      </c>
      <c r="AV230" s="109">
        <f t="shared" ca="1" si="112"/>
        <v>5.7391478628499026E-4</v>
      </c>
      <c r="AW230" s="27" t="e">
        <f t="shared" ca="1" si="113"/>
        <v>#VALUE!</v>
      </c>
      <c r="AX230" s="29" t="e">
        <f t="shared" ca="1" si="114"/>
        <v>#VALUE!</v>
      </c>
      <c r="AY230" s="72"/>
    </row>
    <row r="231" spans="13:51" s="11" customFormat="1" ht="15.6" customHeight="1" x14ac:dyDescent="0.3">
      <c r="M231" s="20">
        <f t="shared" si="115"/>
        <v>201</v>
      </c>
      <c r="N231" s="21">
        <f t="shared" si="116"/>
        <v>3.5175000000000094</v>
      </c>
      <c r="O231" s="22">
        <f t="shared" ca="1" si="88"/>
        <v>167.59284603133509</v>
      </c>
      <c r="P231" s="23">
        <f t="shared" ca="1" si="89"/>
        <v>-1</v>
      </c>
      <c r="Q231" s="22" t="e">
        <f t="shared" ca="1" si="90"/>
        <v>#VALUE!</v>
      </c>
      <c r="R231" s="23">
        <f t="shared" ca="1" si="91"/>
        <v>-1</v>
      </c>
      <c r="S231" s="24" t="e">
        <f t="shared" ca="1" si="92"/>
        <v>#VALUE!</v>
      </c>
      <c r="T231" s="23">
        <f t="shared" ca="1" si="93"/>
        <v>-1</v>
      </c>
      <c r="U231" s="112">
        <f t="shared" si="104"/>
        <v>2.4741685491542594E-2</v>
      </c>
      <c r="V231" s="109">
        <f t="shared" si="105"/>
        <v>-2.4741685491542594E-2</v>
      </c>
      <c r="W231" s="112">
        <f t="shared" si="106"/>
        <v>2.4741685491542594E-2</v>
      </c>
      <c r="X231" s="113">
        <f t="shared" si="107"/>
        <v>-2.4741685491542594E-2</v>
      </c>
      <c r="Y231" s="32"/>
      <c r="Z231" s="32"/>
      <c r="AA231" s="32"/>
      <c r="AB231" s="32"/>
      <c r="AC231" s="32"/>
      <c r="AD231" s="32"/>
      <c r="AE231" s="32"/>
      <c r="AG231" s="26">
        <f t="shared" si="94"/>
        <v>0</v>
      </c>
      <c r="AH231" s="27">
        <f t="shared" si="95"/>
        <v>6.201820841512827E-2</v>
      </c>
      <c r="AI231" s="28">
        <f t="shared" si="108"/>
        <v>2.4741685491542594E-2</v>
      </c>
      <c r="AJ231" s="27">
        <f t="shared" si="96"/>
        <v>2.4741685491542594E-2</v>
      </c>
      <c r="AK231" s="28">
        <f t="shared" si="97"/>
        <v>2.6384096369797914E-3</v>
      </c>
      <c r="AL231" s="27">
        <f t="shared" si="98"/>
        <v>2.4741685491542594E-2</v>
      </c>
      <c r="AM231" s="28">
        <f t="shared" si="109"/>
        <v>2.6558345460906185E-2</v>
      </c>
      <c r="AN231" s="27">
        <f t="shared" si="110"/>
        <v>-2.4741685491542594E-2</v>
      </c>
      <c r="AO231" s="28">
        <f t="shared" si="99"/>
        <v>-2.4741685491542594E-2</v>
      </c>
      <c r="AP231" s="27">
        <f t="shared" si="100"/>
        <v>-2.6384096369797914E-3</v>
      </c>
      <c r="AQ231" s="29">
        <f t="shared" si="101"/>
        <v>-2.4741685491542594E-2</v>
      </c>
      <c r="AS231" s="30">
        <f t="shared" si="102"/>
        <v>0.89985197626617042</v>
      </c>
      <c r="AT231" s="21">
        <f t="shared" si="103"/>
        <v>3.3067560980562294</v>
      </c>
      <c r="AU231" s="31">
        <f t="shared" ca="1" si="111"/>
        <v>5.7204978257741068E-4</v>
      </c>
      <c r="AV231" s="109">
        <f t="shared" ca="1" si="112"/>
        <v>5.7435836676944518E-4</v>
      </c>
      <c r="AW231" s="27" t="e">
        <f t="shared" ca="1" si="113"/>
        <v>#VALUE!</v>
      </c>
      <c r="AX231" s="29" t="e">
        <f t="shared" ca="1" si="114"/>
        <v>#VALUE!</v>
      </c>
      <c r="AY231" s="72"/>
    </row>
    <row r="232" spans="13:51" s="11" customFormat="1" ht="15.6" customHeight="1" x14ac:dyDescent="0.3">
      <c r="M232" s="20">
        <f t="shared" si="115"/>
        <v>202</v>
      </c>
      <c r="N232" s="21">
        <f t="shared" si="116"/>
        <v>3.5350000000000095</v>
      </c>
      <c r="O232" s="22">
        <f t="shared" ca="1" si="88"/>
        <v>167.83553482654361</v>
      </c>
      <c r="P232" s="23">
        <f t="shared" ca="1" si="89"/>
        <v>-1</v>
      </c>
      <c r="Q232" s="22" t="e">
        <f t="shared" ca="1" si="90"/>
        <v>#VALUE!</v>
      </c>
      <c r="R232" s="23">
        <f t="shared" ca="1" si="91"/>
        <v>-1</v>
      </c>
      <c r="S232" s="24" t="e">
        <f t="shared" ca="1" si="92"/>
        <v>#VALUE!</v>
      </c>
      <c r="T232" s="23">
        <f t="shared" ca="1" si="93"/>
        <v>-1</v>
      </c>
      <c r="U232" s="112">
        <f t="shared" si="104"/>
        <v>2.4684883074765903E-2</v>
      </c>
      <c r="V232" s="109">
        <f t="shared" si="105"/>
        <v>-2.4684883074765903E-2</v>
      </c>
      <c r="W232" s="112">
        <f t="shared" si="106"/>
        <v>2.4684883074765903E-2</v>
      </c>
      <c r="X232" s="113">
        <f t="shared" si="107"/>
        <v>-2.4684883074765903E-2</v>
      </c>
      <c r="Y232" s="32"/>
      <c r="Z232" s="32"/>
      <c r="AA232" s="32"/>
      <c r="AB232" s="32"/>
      <c r="AC232" s="32"/>
      <c r="AD232" s="32"/>
      <c r="AE232" s="32"/>
      <c r="AG232" s="26">
        <f t="shared" si="94"/>
        <v>0</v>
      </c>
      <c r="AH232" s="27">
        <f t="shared" si="95"/>
        <v>6.1875825871168438E-2</v>
      </c>
      <c r="AI232" s="28">
        <f t="shared" si="108"/>
        <v>2.4684883074765903E-2</v>
      </c>
      <c r="AJ232" s="27">
        <f t="shared" si="96"/>
        <v>2.4684883074765903E-2</v>
      </c>
      <c r="AK232" s="28">
        <f t="shared" si="97"/>
        <v>2.625828519970915E-3</v>
      </c>
      <c r="AL232" s="27">
        <f t="shared" si="98"/>
        <v>2.4684883074765903E-2</v>
      </c>
      <c r="AM232" s="28">
        <f t="shared" si="109"/>
        <v>2.6558345460906185E-2</v>
      </c>
      <c r="AN232" s="27">
        <f t="shared" si="110"/>
        <v>-2.4684883074765903E-2</v>
      </c>
      <c r="AO232" s="28">
        <f t="shared" si="99"/>
        <v>-2.4684883074765903E-2</v>
      </c>
      <c r="AP232" s="27">
        <f t="shared" si="100"/>
        <v>-2.625828519970915E-3</v>
      </c>
      <c r="AQ232" s="29">
        <f t="shared" si="101"/>
        <v>-2.4684883074765903E-2</v>
      </c>
      <c r="AS232" s="30">
        <f t="shared" si="102"/>
        <v>0.89937967796778207</v>
      </c>
      <c r="AT232" s="21">
        <f t="shared" si="103"/>
        <v>3.2909880062457839</v>
      </c>
      <c r="AU232" s="31">
        <f t="shared" ca="1" si="111"/>
        <v>5.7249290636762762E-4</v>
      </c>
      <c r="AV232" s="109">
        <f t="shared" ca="1" si="112"/>
        <v>5.7479788685499411E-4</v>
      </c>
      <c r="AW232" s="27" t="e">
        <f t="shared" ca="1" si="113"/>
        <v>#VALUE!</v>
      </c>
      <c r="AX232" s="29" t="e">
        <f t="shared" ca="1" si="114"/>
        <v>#VALUE!</v>
      </c>
      <c r="AY232" s="72"/>
    </row>
    <row r="233" spans="13:51" s="11" customFormat="1" ht="15.6" customHeight="1" x14ac:dyDescent="0.3">
      <c r="M233" s="20">
        <f t="shared" si="115"/>
        <v>203</v>
      </c>
      <c r="N233" s="21">
        <f t="shared" si="116"/>
        <v>3.5525000000000095</v>
      </c>
      <c r="O233" s="22">
        <f t="shared" ca="1" si="88"/>
        <v>168.07730386885601</v>
      </c>
      <c r="P233" s="23">
        <f t="shared" ca="1" si="89"/>
        <v>-1</v>
      </c>
      <c r="Q233" s="22" t="e">
        <f t="shared" ca="1" si="90"/>
        <v>#VALUE!</v>
      </c>
      <c r="R233" s="23">
        <f t="shared" ca="1" si="91"/>
        <v>-1</v>
      </c>
      <c r="S233" s="24" t="e">
        <f t="shared" ca="1" si="92"/>
        <v>#VALUE!</v>
      </c>
      <c r="T233" s="23">
        <f t="shared" ca="1" si="93"/>
        <v>-1</v>
      </c>
      <c r="U233" s="112">
        <f t="shared" si="104"/>
        <v>2.4627281643911116E-2</v>
      </c>
      <c r="V233" s="109">
        <f t="shared" si="105"/>
        <v>-2.4627281643911116E-2</v>
      </c>
      <c r="W233" s="112">
        <f t="shared" si="106"/>
        <v>2.4627281643911116E-2</v>
      </c>
      <c r="X233" s="113">
        <f t="shared" si="107"/>
        <v>-2.4627281643911116E-2</v>
      </c>
      <c r="Y233" s="32"/>
      <c r="Z233" s="32"/>
      <c r="AA233" s="32"/>
      <c r="AB233" s="32"/>
      <c r="AC233" s="32"/>
      <c r="AD233" s="32"/>
      <c r="AE233" s="32"/>
      <c r="AG233" s="26">
        <f t="shared" si="94"/>
        <v>0</v>
      </c>
      <c r="AH233" s="27">
        <f t="shared" si="95"/>
        <v>6.173144049592863E-2</v>
      </c>
      <c r="AI233" s="28">
        <f t="shared" si="108"/>
        <v>2.4627281643911116E-2</v>
      </c>
      <c r="AJ233" s="27">
        <f t="shared" si="96"/>
        <v>2.4627281643911116E-2</v>
      </c>
      <c r="AK233" s="28">
        <f t="shared" si="97"/>
        <v>2.6132407961414689E-3</v>
      </c>
      <c r="AL233" s="27">
        <f t="shared" si="98"/>
        <v>2.4627281643911116E-2</v>
      </c>
      <c r="AM233" s="28">
        <f t="shared" si="109"/>
        <v>2.6558345460906185E-2</v>
      </c>
      <c r="AN233" s="27">
        <f t="shared" si="110"/>
        <v>-2.4627281643911116E-2</v>
      </c>
      <c r="AO233" s="28">
        <f t="shared" si="99"/>
        <v>-2.4627281643911116E-2</v>
      </c>
      <c r="AP233" s="27">
        <f t="shared" si="100"/>
        <v>-2.6132407961414689E-3</v>
      </c>
      <c r="AQ233" s="29">
        <f t="shared" si="101"/>
        <v>-2.4627281643911116E-2</v>
      </c>
      <c r="AS233" s="30">
        <f t="shared" si="102"/>
        <v>0.89890762756092324</v>
      </c>
      <c r="AT233" s="21">
        <f t="shared" si="103"/>
        <v>3.2752116340137158</v>
      </c>
      <c r="AU233" s="31">
        <f t="shared" ca="1" si="111"/>
        <v>5.7291992043084772E-4</v>
      </c>
      <c r="AV233" s="109">
        <f t="shared" ca="1" si="112"/>
        <v>5.7522130288878426E-4</v>
      </c>
      <c r="AW233" s="27" t="e">
        <f t="shared" ca="1" si="113"/>
        <v>#VALUE!</v>
      </c>
      <c r="AX233" s="29" t="e">
        <f t="shared" ca="1" si="114"/>
        <v>#VALUE!</v>
      </c>
      <c r="AY233" s="72"/>
    </row>
    <row r="234" spans="13:51" s="11" customFormat="1" ht="15.6" customHeight="1" x14ac:dyDescent="0.3">
      <c r="M234" s="20">
        <f t="shared" si="115"/>
        <v>204</v>
      </c>
      <c r="N234" s="21">
        <f t="shared" si="116"/>
        <v>3.5700000000000096</v>
      </c>
      <c r="O234" s="22">
        <f t="shared" ca="1" si="88"/>
        <v>168.31815392860659</v>
      </c>
      <c r="P234" s="23">
        <f t="shared" ca="1" si="89"/>
        <v>-1</v>
      </c>
      <c r="Q234" s="22" t="e">
        <f t="shared" ca="1" si="90"/>
        <v>#VALUE!</v>
      </c>
      <c r="R234" s="23">
        <f t="shared" ca="1" si="91"/>
        <v>-1</v>
      </c>
      <c r="S234" s="24" t="e">
        <f t="shared" ca="1" si="92"/>
        <v>#VALUE!</v>
      </c>
      <c r="T234" s="23">
        <f t="shared" ca="1" si="93"/>
        <v>-1</v>
      </c>
      <c r="U234" s="112">
        <f t="shared" si="104"/>
        <v>2.4568883986114273E-2</v>
      </c>
      <c r="V234" s="109">
        <f t="shared" si="105"/>
        <v>-2.4568883986114273E-2</v>
      </c>
      <c r="W234" s="112">
        <f t="shared" si="106"/>
        <v>2.4568883986114273E-2</v>
      </c>
      <c r="X234" s="113">
        <f t="shared" si="107"/>
        <v>-2.4568883986114273E-2</v>
      </c>
      <c r="Y234" s="32"/>
      <c r="Z234" s="32"/>
      <c r="AA234" s="32"/>
      <c r="AB234" s="32"/>
      <c r="AC234" s="32"/>
      <c r="AD234" s="32"/>
      <c r="AE234" s="32"/>
      <c r="AG234" s="26">
        <f t="shared" si="94"/>
        <v>0</v>
      </c>
      <c r="AH234" s="27">
        <f t="shared" si="95"/>
        <v>6.1585059275722838E-2</v>
      </c>
      <c r="AI234" s="28">
        <f t="shared" si="108"/>
        <v>2.4568883986114273E-2</v>
      </c>
      <c r="AJ234" s="27">
        <f t="shared" si="96"/>
        <v>2.4568883986114273E-2</v>
      </c>
      <c r="AK234" s="28">
        <f t="shared" si="97"/>
        <v>2.6006464620219622E-3</v>
      </c>
      <c r="AL234" s="27">
        <f t="shared" si="98"/>
        <v>2.4568883986114273E-2</v>
      </c>
      <c r="AM234" s="28">
        <f t="shared" si="109"/>
        <v>2.6558345460906185E-2</v>
      </c>
      <c r="AN234" s="27">
        <f t="shared" si="110"/>
        <v>-2.4568883986114273E-2</v>
      </c>
      <c r="AO234" s="28">
        <f t="shared" si="99"/>
        <v>-2.4568883986114273E-2</v>
      </c>
      <c r="AP234" s="27">
        <f t="shared" si="100"/>
        <v>-2.6006464620219626E-3</v>
      </c>
      <c r="AQ234" s="29">
        <f t="shared" si="101"/>
        <v>-2.4568883986114273E-2</v>
      </c>
      <c r="AS234" s="30">
        <f t="shared" si="102"/>
        <v>0.8984358249154849</v>
      </c>
      <c r="AT234" s="21">
        <f t="shared" si="103"/>
        <v>3.2594269770116631</v>
      </c>
      <c r="AU234" s="31">
        <f t="shared" ca="1" si="111"/>
        <v>5.7333880035170814E-4</v>
      </c>
      <c r="AV234" s="109">
        <f t="shared" ca="1" si="112"/>
        <v>5.7563658589887545E-4</v>
      </c>
      <c r="AW234" s="27" t="e">
        <f t="shared" ca="1" si="113"/>
        <v>#VALUE!</v>
      </c>
      <c r="AX234" s="29" t="e">
        <f t="shared" ca="1" si="114"/>
        <v>#VALUE!</v>
      </c>
      <c r="AY234" s="72"/>
    </row>
    <row r="235" spans="13:51" s="11" customFormat="1" ht="15.6" customHeight="1" x14ac:dyDescent="0.3">
      <c r="M235" s="20">
        <f t="shared" si="115"/>
        <v>205</v>
      </c>
      <c r="N235" s="21">
        <f t="shared" si="116"/>
        <v>3.5875000000000097</v>
      </c>
      <c r="O235" s="22">
        <f t="shared" ca="1" si="88"/>
        <v>168.55810868281466</v>
      </c>
      <c r="P235" s="23">
        <f t="shared" ca="1" si="89"/>
        <v>-1</v>
      </c>
      <c r="Q235" s="22" t="e">
        <f t="shared" ca="1" si="90"/>
        <v>#VALUE!</v>
      </c>
      <c r="R235" s="23">
        <f t="shared" ca="1" si="91"/>
        <v>-1</v>
      </c>
      <c r="S235" s="24" t="e">
        <f t="shared" ca="1" si="92"/>
        <v>#VALUE!</v>
      </c>
      <c r="T235" s="23">
        <f t="shared" ca="1" si="93"/>
        <v>-1</v>
      </c>
      <c r="U235" s="112">
        <f t="shared" si="104"/>
        <v>2.4509692855565344E-2</v>
      </c>
      <c r="V235" s="109">
        <f t="shared" si="105"/>
        <v>-2.4509692855565344E-2</v>
      </c>
      <c r="W235" s="112">
        <f t="shared" si="106"/>
        <v>2.4509692855565344E-2</v>
      </c>
      <c r="X235" s="113">
        <f t="shared" si="107"/>
        <v>-2.4509692855565344E-2</v>
      </c>
      <c r="Y235" s="32"/>
      <c r="Z235" s="32"/>
      <c r="AA235" s="32"/>
      <c r="AB235" s="32"/>
      <c r="AC235" s="32"/>
      <c r="AD235" s="32"/>
      <c r="AE235" s="32"/>
      <c r="AG235" s="26">
        <f t="shared" si="94"/>
        <v>0</v>
      </c>
      <c r="AH235" s="27">
        <f t="shared" si="95"/>
        <v>6.1436689114281511E-2</v>
      </c>
      <c r="AI235" s="28">
        <f t="shared" si="108"/>
        <v>2.4509692855565344E-2</v>
      </c>
      <c r="AJ235" s="27">
        <f t="shared" si="96"/>
        <v>2.4509692855565344E-2</v>
      </c>
      <c r="AK235" s="28">
        <f t="shared" si="97"/>
        <v>2.5880455141410815E-3</v>
      </c>
      <c r="AL235" s="27">
        <f t="shared" si="98"/>
        <v>2.4509692855565344E-2</v>
      </c>
      <c r="AM235" s="28">
        <f t="shared" si="109"/>
        <v>2.6558345460906185E-2</v>
      </c>
      <c r="AN235" s="27">
        <f t="shared" si="110"/>
        <v>-2.4509692855565344E-2</v>
      </c>
      <c r="AO235" s="28">
        <f t="shared" si="99"/>
        <v>-2.4509692855565344E-2</v>
      </c>
      <c r="AP235" s="27">
        <f t="shared" si="100"/>
        <v>-2.5880455141410815E-3</v>
      </c>
      <c r="AQ235" s="29">
        <f t="shared" si="101"/>
        <v>-2.4509692855565344E-2</v>
      </c>
      <c r="AS235" s="30">
        <f t="shared" si="102"/>
        <v>0.89796426990142642</v>
      </c>
      <c r="AT235" s="21">
        <f t="shared" si="103"/>
        <v>3.2436340308889795</v>
      </c>
      <c r="AU235" s="31">
        <f t="shared" ca="1" si="111"/>
        <v>5.7376195457037316E-4</v>
      </c>
      <c r="AV235" s="109">
        <f t="shared" ca="1" si="112"/>
        <v>5.7605613700373315E-4</v>
      </c>
      <c r="AW235" s="27" t="e">
        <f t="shared" ca="1" si="113"/>
        <v>#VALUE!</v>
      </c>
      <c r="AX235" s="29" t="e">
        <f t="shared" ca="1" si="114"/>
        <v>#VALUE!</v>
      </c>
      <c r="AY235" s="72"/>
    </row>
    <row r="236" spans="13:51" s="11" customFormat="1" ht="15.6" customHeight="1" x14ac:dyDescent="0.3">
      <c r="M236" s="20">
        <f t="shared" si="115"/>
        <v>206</v>
      </c>
      <c r="N236" s="21">
        <f t="shared" si="116"/>
        <v>3.6050000000000098</v>
      </c>
      <c r="O236" s="22">
        <f t="shared" ca="1" si="88"/>
        <v>168.79714621788253</v>
      </c>
      <c r="P236" s="23">
        <f t="shared" ca="1" si="89"/>
        <v>-1</v>
      </c>
      <c r="Q236" s="22" t="e">
        <f t="shared" ca="1" si="90"/>
        <v>#VALUE!</v>
      </c>
      <c r="R236" s="23">
        <f t="shared" ca="1" si="91"/>
        <v>-1</v>
      </c>
      <c r="S236" s="24" t="e">
        <f t="shared" ca="1" si="92"/>
        <v>#VALUE!</v>
      </c>
      <c r="T236" s="23">
        <f t="shared" ca="1" si="93"/>
        <v>-1</v>
      </c>
      <c r="U236" s="112">
        <f t="shared" si="104"/>
        <v>2.4449710974038377E-2</v>
      </c>
      <c r="V236" s="109">
        <f t="shared" si="105"/>
        <v>-2.4449710974038377E-2</v>
      </c>
      <c r="W236" s="112">
        <f t="shared" si="106"/>
        <v>2.4449710974038377E-2</v>
      </c>
      <c r="X236" s="113">
        <f t="shared" si="107"/>
        <v>-2.4449710974038377E-2</v>
      </c>
      <c r="Y236" s="32"/>
      <c r="Z236" s="32"/>
      <c r="AA236" s="32"/>
      <c r="AB236" s="32"/>
      <c r="AC236" s="32"/>
      <c r="AD236" s="32"/>
      <c r="AE236" s="32"/>
      <c r="AG236" s="26">
        <f t="shared" si="94"/>
        <v>0</v>
      </c>
      <c r="AH236" s="27">
        <f t="shared" si="95"/>
        <v>6.1286336834080454E-2</v>
      </c>
      <c r="AI236" s="28">
        <f t="shared" si="108"/>
        <v>2.4449710974038377E-2</v>
      </c>
      <c r="AJ236" s="27">
        <f t="shared" si="96"/>
        <v>2.4449710974038377E-2</v>
      </c>
      <c r="AK236" s="28">
        <f t="shared" si="97"/>
        <v>2.5754379490256947E-3</v>
      </c>
      <c r="AL236" s="27">
        <f t="shared" si="98"/>
        <v>2.4449710974038377E-2</v>
      </c>
      <c r="AM236" s="28">
        <f t="shared" si="109"/>
        <v>2.6558345460906185E-2</v>
      </c>
      <c r="AN236" s="27">
        <f t="shared" si="110"/>
        <v>-2.4449710974038377E-2</v>
      </c>
      <c r="AO236" s="28">
        <f t="shared" si="99"/>
        <v>-2.4449710974038377E-2</v>
      </c>
      <c r="AP236" s="27">
        <f t="shared" si="100"/>
        <v>-2.5754379490256947E-3</v>
      </c>
      <c r="AQ236" s="29">
        <f t="shared" si="101"/>
        <v>-2.4449710974038377E-2</v>
      </c>
      <c r="AS236" s="30">
        <f t="shared" si="102"/>
        <v>0.89749296238877563</v>
      </c>
      <c r="AT236" s="21">
        <f t="shared" si="103"/>
        <v>3.2278327912927396</v>
      </c>
      <c r="AU236" s="31">
        <f t="shared" ca="1" si="111"/>
        <v>5.7416486785577536E-4</v>
      </c>
      <c r="AV236" s="109">
        <f t="shared" ca="1" si="112"/>
        <v>5.7645545564699585E-4</v>
      </c>
      <c r="AW236" s="27" t="e">
        <f t="shared" ca="1" si="113"/>
        <v>#VALUE!</v>
      </c>
      <c r="AX236" s="29" t="e">
        <f t="shared" ca="1" si="114"/>
        <v>#VALUE!</v>
      </c>
      <c r="AY236" s="72"/>
    </row>
    <row r="237" spans="13:51" s="11" customFormat="1" ht="15.6" customHeight="1" x14ac:dyDescent="0.3">
      <c r="M237" s="20">
        <f t="shared" si="115"/>
        <v>207</v>
      </c>
      <c r="N237" s="21">
        <f t="shared" si="116"/>
        <v>3.6225000000000098</v>
      </c>
      <c r="O237" s="22">
        <f t="shared" ca="1" si="88"/>
        <v>169.03528252538695</v>
      </c>
      <c r="P237" s="23">
        <f t="shared" ca="1" si="89"/>
        <v>-1</v>
      </c>
      <c r="Q237" s="22" t="e">
        <f t="shared" ca="1" si="90"/>
        <v>#VALUE!</v>
      </c>
      <c r="R237" s="23">
        <f t="shared" ca="1" si="91"/>
        <v>-1</v>
      </c>
      <c r="S237" s="24" t="e">
        <f t="shared" ca="1" si="92"/>
        <v>#VALUE!</v>
      </c>
      <c r="T237" s="23">
        <f t="shared" ca="1" si="93"/>
        <v>-1</v>
      </c>
      <c r="U237" s="112">
        <f t="shared" si="104"/>
        <v>2.4388941031410351E-2</v>
      </c>
      <c r="V237" s="109">
        <f t="shared" si="105"/>
        <v>-2.4388941031410351E-2</v>
      </c>
      <c r="W237" s="112">
        <f t="shared" si="106"/>
        <v>2.4388941031410351E-2</v>
      </c>
      <c r="X237" s="113">
        <f t="shared" si="107"/>
        <v>-2.4388941031410351E-2</v>
      </c>
      <c r="Y237" s="32"/>
      <c r="Z237" s="32"/>
      <c r="AA237" s="32"/>
      <c r="AB237" s="32"/>
      <c r="AC237" s="32"/>
      <c r="AD237" s="32"/>
      <c r="AE237" s="32"/>
      <c r="AG237" s="26">
        <f t="shared" si="94"/>
        <v>0</v>
      </c>
      <c r="AH237" s="27">
        <f t="shared" si="95"/>
        <v>6.1134009177641335E-2</v>
      </c>
      <c r="AI237" s="28">
        <f t="shared" si="108"/>
        <v>2.4388941031410351E-2</v>
      </c>
      <c r="AJ237" s="27">
        <f t="shared" si="96"/>
        <v>2.4388941031410351E-2</v>
      </c>
      <c r="AK237" s="28">
        <f t="shared" si="97"/>
        <v>2.5628237632008338E-3</v>
      </c>
      <c r="AL237" s="27">
        <f t="shared" si="98"/>
        <v>2.4388941031410351E-2</v>
      </c>
      <c r="AM237" s="28">
        <f t="shared" si="109"/>
        <v>2.6558345460906185E-2</v>
      </c>
      <c r="AN237" s="27">
        <f t="shared" si="110"/>
        <v>-2.4388941031410351E-2</v>
      </c>
      <c r="AO237" s="28">
        <f t="shared" si="99"/>
        <v>-2.4388941031410351E-2</v>
      </c>
      <c r="AP237" s="27">
        <f t="shared" si="100"/>
        <v>-2.5628237632008342E-3</v>
      </c>
      <c r="AQ237" s="29">
        <f t="shared" si="101"/>
        <v>-2.4388941031410351E-2</v>
      </c>
      <c r="AS237" s="30">
        <f t="shared" si="102"/>
        <v>0.89702190224762823</v>
      </c>
      <c r="AT237" s="21">
        <f t="shared" si="103"/>
        <v>3.2120232538677169</v>
      </c>
      <c r="AU237" s="31">
        <f t="shared" ca="1" si="111"/>
        <v>5.7456802224009618E-4</v>
      </c>
      <c r="AV237" s="109">
        <f t="shared" ca="1" si="112"/>
        <v>5.7685501173521114E-4</v>
      </c>
      <c r="AW237" s="27" t="e">
        <f t="shared" ca="1" si="113"/>
        <v>#VALUE!</v>
      </c>
      <c r="AX237" s="29" t="e">
        <f t="shared" ca="1" si="114"/>
        <v>#VALUE!</v>
      </c>
      <c r="AY237" s="72"/>
    </row>
    <row r="238" spans="13:51" s="11" customFormat="1" ht="15.6" customHeight="1" x14ac:dyDescent="0.3">
      <c r="M238" s="20">
        <f t="shared" si="115"/>
        <v>208</v>
      </c>
      <c r="N238" s="21">
        <f t="shared" si="116"/>
        <v>3.6400000000000099</v>
      </c>
      <c r="O238" s="22">
        <f t="shared" ca="1" si="88"/>
        <v>169.27250330318284</v>
      </c>
      <c r="P238" s="23">
        <f t="shared" ca="1" si="89"/>
        <v>-1</v>
      </c>
      <c r="Q238" s="22" t="e">
        <f t="shared" ca="1" si="90"/>
        <v>#VALUE!</v>
      </c>
      <c r="R238" s="23">
        <f t="shared" ca="1" si="91"/>
        <v>-1</v>
      </c>
      <c r="S238" s="24" t="e">
        <f t="shared" ca="1" si="92"/>
        <v>#VALUE!</v>
      </c>
      <c r="T238" s="23">
        <f t="shared" ca="1" si="93"/>
        <v>-1</v>
      </c>
      <c r="U238" s="112">
        <f t="shared" si="104"/>
        <v>2.4327385686169444E-2</v>
      </c>
      <c r="V238" s="109">
        <f t="shared" si="105"/>
        <v>-2.4327385686169444E-2</v>
      </c>
      <c r="W238" s="112">
        <f t="shared" si="106"/>
        <v>2.4327385686169444E-2</v>
      </c>
      <c r="X238" s="113">
        <f t="shared" si="107"/>
        <v>-2.4327385686169444E-2</v>
      </c>
      <c r="Y238" s="32"/>
      <c r="Z238" s="32"/>
      <c r="AA238" s="32"/>
      <c r="AB238" s="32"/>
      <c r="AC238" s="32"/>
      <c r="AD238" s="32"/>
      <c r="AE238" s="32"/>
      <c r="AG238" s="26">
        <f t="shared" si="94"/>
        <v>0</v>
      </c>
      <c r="AH238" s="27">
        <f t="shared" si="95"/>
        <v>6.0979712808805805E-2</v>
      </c>
      <c r="AI238" s="28">
        <f t="shared" si="108"/>
        <v>2.4327385686169444E-2</v>
      </c>
      <c r="AJ238" s="27">
        <f t="shared" si="96"/>
        <v>2.4327385686169444E-2</v>
      </c>
      <c r="AK238" s="28">
        <f t="shared" si="97"/>
        <v>2.550202953189723E-3</v>
      </c>
      <c r="AL238" s="27">
        <f t="shared" si="98"/>
        <v>2.4327385686169444E-2</v>
      </c>
      <c r="AM238" s="28">
        <f t="shared" si="109"/>
        <v>2.6558345460906185E-2</v>
      </c>
      <c r="AN238" s="27">
        <f t="shared" si="110"/>
        <v>-2.4327385686169444E-2</v>
      </c>
      <c r="AO238" s="28">
        <f t="shared" si="99"/>
        <v>-2.4327385686169444E-2</v>
      </c>
      <c r="AP238" s="27">
        <f t="shared" si="100"/>
        <v>-2.550202953189723E-3</v>
      </c>
      <c r="AQ238" s="29">
        <f t="shared" si="101"/>
        <v>-2.4327385686169444E-2</v>
      </c>
      <c r="AS238" s="30">
        <f t="shared" si="102"/>
        <v>0.89655108934814831</v>
      </c>
      <c r="AT238" s="21">
        <f t="shared" si="103"/>
        <v>3.1962054142564185</v>
      </c>
      <c r="AU238" s="31">
        <f t="shared" ca="1" si="111"/>
        <v>5.7495499752646673E-4</v>
      </c>
      <c r="AV238" s="109">
        <f t="shared" ca="1" si="112"/>
        <v>5.7723839502699104E-4</v>
      </c>
      <c r="AW238" s="27" t="e">
        <f t="shared" ca="1" si="113"/>
        <v>#VALUE!</v>
      </c>
      <c r="AX238" s="29" t="e">
        <f t="shared" ca="1" si="114"/>
        <v>#VALUE!</v>
      </c>
      <c r="AY238" s="72"/>
    </row>
    <row r="239" spans="13:51" s="11" customFormat="1" ht="15.6" customHeight="1" x14ac:dyDescent="0.3">
      <c r="M239" s="20">
        <f t="shared" si="115"/>
        <v>209</v>
      </c>
      <c r="N239" s="21">
        <f t="shared" si="116"/>
        <v>3.65750000000001</v>
      </c>
      <c r="O239" s="22">
        <f t="shared" ca="1" si="88"/>
        <v>169.50880934459138</v>
      </c>
      <c r="P239" s="23">
        <f t="shared" ca="1" si="89"/>
        <v>-1</v>
      </c>
      <c r="Q239" s="22" t="e">
        <f t="shared" ca="1" si="90"/>
        <v>#VALUE!</v>
      </c>
      <c r="R239" s="23">
        <f t="shared" ca="1" si="91"/>
        <v>-1</v>
      </c>
      <c r="S239" s="24" t="e">
        <f t="shared" ca="1" si="92"/>
        <v>#VALUE!</v>
      </c>
      <c r="T239" s="23">
        <f t="shared" ca="1" si="93"/>
        <v>-1</v>
      </c>
      <c r="U239" s="112">
        <f t="shared" si="104"/>
        <v>2.426504756591219E-2</v>
      </c>
      <c r="V239" s="109">
        <f t="shared" si="105"/>
        <v>-2.426504756591219E-2</v>
      </c>
      <c r="W239" s="112">
        <f t="shared" si="106"/>
        <v>2.426504756591219E-2</v>
      </c>
      <c r="X239" s="113">
        <f t="shared" si="107"/>
        <v>-2.426504756591219E-2</v>
      </c>
      <c r="Y239" s="32"/>
      <c r="Z239" s="32"/>
      <c r="AA239" s="32"/>
      <c r="AB239" s="32"/>
      <c r="AC239" s="32"/>
      <c r="AD239" s="32"/>
      <c r="AE239" s="32"/>
      <c r="AG239" s="26">
        <f t="shared" si="94"/>
        <v>0</v>
      </c>
      <c r="AH239" s="27">
        <f t="shared" si="95"/>
        <v>6.0823454313981624E-2</v>
      </c>
      <c r="AI239" s="28">
        <f t="shared" si="108"/>
        <v>2.426504756591219E-2</v>
      </c>
      <c r="AJ239" s="27">
        <f t="shared" si="96"/>
        <v>2.426504756591219E-2</v>
      </c>
      <c r="AK239" s="28">
        <f t="shared" si="97"/>
        <v>2.5375755155137435E-3</v>
      </c>
      <c r="AL239" s="27">
        <f t="shared" si="98"/>
        <v>2.426504756591219E-2</v>
      </c>
      <c r="AM239" s="28">
        <f t="shared" si="109"/>
        <v>2.6558345460906185E-2</v>
      </c>
      <c r="AN239" s="27">
        <f t="shared" si="110"/>
        <v>-2.426504756591219E-2</v>
      </c>
      <c r="AO239" s="28">
        <f t="shared" si="99"/>
        <v>-2.426504756591219E-2</v>
      </c>
      <c r="AP239" s="27">
        <f t="shared" si="100"/>
        <v>-2.5375755155137435E-3</v>
      </c>
      <c r="AQ239" s="29">
        <f t="shared" si="101"/>
        <v>-2.426504756591219E-2</v>
      </c>
      <c r="AS239" s="30">
        <f t="shared" si="102"/>
        <v>0.89608052356056811</v>
      </c>
      <c r="AT239" s="21">
        <f t="shared" si="103"/>
        <v>3.1803792680990428</v>
      </c>
      <c r="AU239" s="31">
        <f t="shared" ca="1" si="111"/>
        <v>5.7533397969922184E-4</v>
      </c>
      <c r="AV239" s="109">
        <f t="shared" ca="1" si="112"/>
        <v>5.7761378670684316E-4</v>
      </c>
      <c r="AW239" s="27" t="e">
        <f t="shared" ca="1" si="113"/>
        <v>#VALUE!</v>
      </c>
      <c r="AX239" s="29" t="e">
        <f t="shared" ca="1" si="114"/>
        <v>#VALUE!</v>
      </c>
      <c r="AY239" s="72"/>
    </row>
    <row r="240" spans="13:51" s="11" customFormat="1" ht="15.6" customHeight="1" x14ac:dyDescent="0.3">
      <c r="M240" s="20">
        <f t="shared" si="115"/>
        <v>210</v>
      </c>
      <c r="N240" s="21">
        <f t="shared" si="116"/>
        <v>3.67500000000001</v>
      </c>
      <c r="O240" s="22">
        <f t="shared" ca="1" si="88"/>
        <v>169.74422434849984</v>
      </c>
      <c r="P240" s="23">
        <f t="shared" ca="1" si="89"/>
        <v>-1</v>
      </c>
      <c r="Q240" s="22" t="e">
        <f t="shared" ca="1" si="90"/>
        <v>#VALUE!</v>
      </c>
      <c r="R240" s="23">
        <f t="shared" ca="1" si="91"/>
        <v>-1</v>
      </c>
      <c r="S240" s="24" t="e">
        <f t="shared" ca="1" si="92"/>
        <v>#VALUE!</v>
      </c>
      <c r="T240" s="23">
        <f t="shared" ca="1" si="93"/>
        <v>-1</v>
      </c>
      <c r="U240" s="112">
        <f t="shared" si="104"/>
        <v>2.4201929267830841E-2</v>
      </c>
      <c r="V240" s="109">
        <f t="shared" si="105"/>
        <v>-2.4201929267830841E-2</v>
      </c>
      <c r="W240" s="112">
        <f t="shared" si="106"/>
        <v>2.4201929267830841E-2</v>
      </c>
      <c r="X240" s="113">
        <f t="shared" si="107"/>
        <v>-2.4201929267830841E-2</v>
      </c>
      <c r="Y240" s="32"/>
      <c r="Z240" s="32"/>
      <c r="AA240" s="32"/>
      <c r="AB240" s="32"/>
      <c r="AC240" s="32"/>
      <c r="AD240" s="32"/>
      <c r="AE240" s="32"/>
      <c r="AG240" s="26">
        <f t="shared" si="94"/>
        <v>0</v>
      </c>
      <c r="AH240" s="27">
        <f t="shared" si="95"/>
        <v>6.0665240203364335E-2</v>
      </c>
      <c r="AI240" s="28">
        <f t="shared" si="108"/>
        <v>2.4201929267830841E-2</v>
      </c>
      <c r="AJ240" s="27">
        <f t="shared" si="96"/>
        <v>2.4201929267830841E-2</v>
      </c>
      <c r="AK240" s="28">
        <f t="shared" si="97"/>
        <v>2.5249414466924614E-3</v>
      </c>
      <c r="AL240" s="27">
        <f t="shared" si="98"/>
        <v>2.4201929267830841E-2</v>
      </c>
      <c r="AM240" s="28">
        <f t="shared" si="109"/>
        <v>2.6558345460906185E-2</v>
      </c>
      <c r="AN240" s="27">
        <f t="shared" si="110"/>
        <v>-2.4201929267830841E-2</v>
      </c>
      <c r="AO240" s="28">
        <f t="shared" si="99"/>
        <v>-2.4201929267830841E-2</v>
      </c>
      <c r="AP240" s="27">
        <f t="shared" si="100"/>
        <v>-2.5249414466924618E-3</v>
      </c>
      <c r="AQ240" s="29">
        <f t="shared" si="101"/>
        <v>-2.4201929267830841E-2</v>
      </c>
      <c r="AS240" s="30">
        <f t="shared" si="102"/>
        <v>0.89561020475518782</v>
      </c>
      <c r="AT240" s="21">
        <f t="shared" si="103"/>
        <v>3.1645448110335135</v>
      </c>
      <c r="AU240" s="31">
        <f t="shared" ca="1" si="111"/>
        <v>5.7571763852126701E-4</v>
      </c>
      <c r="AV240" s="109">
        <f t="shared" ca="1" si="112"/>
        <v>5.7799384887291527E-4</v>
      </c>
      <c r="AW240" s="27" t="e">
        <f t="shared" ca="1" si="113"/>
        <v>#VALUE!</v>
      </c>
      <c r="AX240" s="29" t="e">
        <f t="shared" ca="1" si="114"/>
        <v>#VALUE!</v>
      </c>
      <c r="AY240" s="72"/>
    </row>
    <row r="241" spans="13:51" s="11" customFormat="1" ht="15.6" customHeight="1" x14ac:dyDescent="0.3">
      <c r="M241" s="20">
        <f t="shared" si="115"/>
        <v>211</v>
      </c>
      <c r="N241" s="21">
        <f t="shared" si="116"/>
        <v>3.6925000000000101</v>
      </c>
      <c r="O241" s="22">
        <f t="shared" ca="1" si="88"/>
        <v>169.9787263572947</v>
      </c>
      <c r="P241" s="23">
        <f t="shared" ca="1" si="89"/>
        <v>-1</v>
      </c>
      <c r="Q241" s="22" t="e">
        <f t="shared" ca="1" si="90"/>
        <v>#VALUE!</v>
      </c>
      <c r="R241" s="23">
        <f t="shared" ca="1" si="91"/>
        <v>-1</v>
      </c>
      <c r="S241" s="24" t="e">
        <f t="shared" ca="1" si="92"/>
        <v>#VALUE!</v>
      </c>
      <c r="T241" s="23">
        <f t="shared" ca="1" si="93"/>
        <v>-1</v>
      </c>
      <c r="U241" s="112">
        <f t="shared" si="104"/>
        <v>2.4138033359190195E-2</v>
      </c>
      <c r="V241" s="109">
        <f t="shared" si="105"/>
        <v>-2.4138033359190195E-2</v>
      </c>
      <c r="W241" s="112">
        <f t="shared" si="106"/>
        <v>2.4138033359190195E-2</v>
      </c>
      <c r="X241" s="113">
        <f t="shared" si="107"/>
        <v>-2.4138033359190195E-2</v>
      </c>
      <c r="Y241" s="32"/>
      <c r="Z241" s="32"/>
      <c r="AA241" s="32"/>
      <c r="AB241" s="32"/>
      <c r="AC241" s="32"/>
      <c r="AD241" s="32"/>
      <c r="AE241" s="32"/>
      <c r="AG241" s="26">
        <f t="shared" si="94"/>
        <v>0</v>
      </c>
      <c r="AH241" s="27">
        <f t="shared" si="95"/>
        <v>6.0505076912132444E-2</v>
      </c>
      <c r="AI241" s="28">
        <f t="shared" si="108"/>
        <v>2.4138033359190195E-2</v>
      </c>
      <c r="AJ241" s="27">
        <f t="shared" si="96"/>
        <v>2.4138033359190195E-2</v>
      </c>
      <c r="AK241" s="28">
        <f t="shared" si="97"/>
        <v>2.5123007432436093E-3</v>
      </c>
      <c r="AL241" s="27">
        <f t="shared" si="98"/>
        <v>2.4138033359190195E-2</v>
      </c>
      <c r="AM241" s="28">
        <f t="shared" si="109"/>
        <v>2.6558345460906185E-2</v>
      </c>
      <c r="AN241" s="27">
        <f t="shared" si="110"/>
        <v>-2.4138033359190195E-2</v>
      </c>
      <c r="AO241" s="28">
        <f t="shared" si="99"/>
        <v>-2.4138033359190195E-2</v>
      </c>
      <c r="AP241" s="27">
        <f t="shared" si="100"/>
        <v>-2.5123007432436097E-3</v>
      </c>
      <c r="AQ241" s="29">
        <f t="shared" si="101"/>
        <v>-2.4138033359190195E-2</v>
      </c>
      <c r="AS241" s="30">
        <f t="shared" si="102"/>
        <v>0.89514013280237592</v>
      </c>
      <c r="AT241" s="21">
        <f t="shared" si="103"/>
        <v>3.1487020386954541</v>
      </c>
      <c r="AU241" s="31">
        <f t="shared" ca="1" si="111"/>
        <v>5.7608090080019103E-4</v>
      </c>
      <c r="AV241" s="109">
        <f t="shared" ca="1" si="112"/>
        <v>5.7835352370427806E-4</v>
      </c>
      <c r="AW241" s="27" t="e">
        <f t="shared" ca="1" si="113"/>
        <v>#VALUE!</v>
      </c>
      <c r="AX241" s="29" t="e">
        <f t="shared" ca="1" si="114"/>
        <v>#VALUE!</v>
      </c>
      <c r="AY241" s="72"/>
    </row>
    <row r="242" spans="13:51" s="11" customFormat="1" ht="15.6" customHeight="1" x14ac:dyDescent="0.3">
      <c r="M242" s="20">
        <f t="shared" si="115"/>
        <v>212</v>
      </c>
      <c r="N242" s="21">
        <f t="shared" si="116"/>
        <v>3.7100000000000102</v>
      </c>
      <c r="O242" s="22">
        <f t="shared" ca="1" si="88"/>
        <v>170.21232380681246</v>
      </c>
      <c r="P242" s="23">
        <f t="shared" ca="1" si="89"/>
        <v>-1</v>
      </c>
      <c r="Q242" s="22" t="e">
        <f t="shared" ca="1" si="90"/>
        <v>#VALUE!</v>
      </c>
      <c r="R242" s="23">
        <f t="shared" ca="1" si="91"/>
        <v>-1</v>
      </c>
      <c r="S242" s="24" t="e">
        <f t="shared" ca="1" si="92"/>
        <v>#VALUE!</v>
      </c>
      <c r="T242" s="23">
        <f t="shared" ca="1" si="93"/>
        <v>-1</v>
      </c>
      <c r="U242" s="112">
        <f t="shared" si="104"/>
        <v>2.4073362377794918E-2</v>
      </c>
      <c r="V242" s="109">
        <f t="shared" si="105"/>
        <v>-2.4073362377794918E-2</v>
      </c>
      <c r="W242" s="112">
        <f t="shared" si="106"/>
        <v>2.4073362377794918E-2</v>
      </c>
      <c r="X242" s="113">
        <f t="shared" si="107"/>
        <v>-2.4073362377794918E-2</v>
      </c>
      <c r="Y242" s="32"/>
      <c r="Z242" s="32"/>
      <c r="AA242" s="32"/>
      <c r="AB242" s="32"/>
      <c r="AC242" s="32"/>
      <c r="AD242" s="32"/>
      <c r="AE242" s="32"/>
      <c r="AG242" s="26">
        <f t="shared" si="94"/>
        <v>0</v>
      </c>
      <c r="AH242" s="27">
        <f t="shared" si="95"/>
        <v>6.0342970801618913E-2</v>
      </c>
      <c r="AI242" s="28">
        <f t="shared" si="108"/>
        <v>2.4073362377794918E-2</v>
      </c>
      <c r="AJ242" s="27">
        <f t="shared" si="96"/>
        <v>2.4073362377794918E-2</v>
      </c>
      <c r="AK242" s="28">
        <f t="shared" si="97"/>
        <v>2.4996534016830971E-3</v>
      </c>
      <c r="AL242" s="27">
        <f t="shared" si="98"/>
        <v>2.4073362377794918E-2</v>
      </c>
      <c r="AM242" s="28">
        <f t="shared" si="109"/>
        <v>2.6558345460906185E-2</v>
      </c>
      <c r="AN242" s="27">
        <f t="shared" si="110"/>
        <v>-2.4073362377794918E-2</v>
      </c>
      <c r="AO242" s="28">
        <f t="shared" si="99"/>
        <v>-2.4073362377794918E-2</v>
      </c>
      <c r="AP242" s="27">
        <f t="shared" si="100"/>
        <v>-2.4996534016830971E-3</v>
      </c>
      <c r="AQ242" s="29">
        <f t="shared" si="101"/>
        <v>-2.4073362377794918E-2</v>
      </c>
      <c r="AS242" s="30">
        <f t="shared" si="102"/>
        <v>0.89467030757256882</v>
      </c>
      <c r="AT242" s="21">
        <f t="shared" si="103"/>
        <v>3.132850946718206</v>
      </c>
      <c r="AU242" s="31">
        <f t="shared" ca="1" si="111"/>
        <v>5.7644050076366415E-4</v>
      </c>
      <c r="AV242" s="109">
        <f t="shared" ca="1" si="112"/>
        <v>5.7870953532201952E-4</v>
      </c>
      <c r="AW242" s="27" t="e">
        <f t="shared" ca="1" si="113"/>
        <v>#VALUE!</v>
      </c>
      <c r="AX242" s="29" t="e">
        <f t="shared" ca="1" si="114"/>
        <v>#VALUE!</v>
      </c>
      <c r="AY242" s="72"/>
    </row>
    <row r="243" spans="13:51" s="11" customFormat="1" ht="15.6" customHeight="1" x14ac:dyDescent="0.3">
      <c r="M243" s="20">
        <f t="shared" si="115"/>
        <v>213</v>
      </c>
      <c r="N243" s="21">
        <f t="shared" si="116"/>
        <v>3.7275000000000102</v>
      </c>
      <c r="O243" s="22">
        <f t="shared" ca="1" si="88"/>
        <v>170.44502514960135</v>
      </c>
      <c r="P243" s="23">
        <f t="shared" ca="1" si="89"/>
        <v>-1</v>
      </c>
      <c r="Q243" s="22" t="e">
        <f t="shared" ca="1" si="90"/>
        <v>#VALUE!</v>
      </c>
      <c r="R243" s="23">
        <f t="shared" ca="1" si="91"/>
        <v>-1</v>
      </c>
      <c r="S243" s="24" t="e">
        <f t="shared" ca="1" si="92"/>
        <v>#VALUE!</v>
      </c>
      <c r="T243" s="23">
        <f t="shared" ca="1" si="93"/>
        <v>-1</v>
      </c>
      <c r="U243" s="112">
        <f t="shared" si="104"/>
        <v>2.4007918832447048E-2</v>
      </c>
      <c r="V243" s="109">
        <f t="shared" si="105"/>
        <v>-2.4007918832447048E-2</v>
      </c>
      <c r="W243" s="112">
        <f t="shared" si="106"/>
        <v>2.4007918832447048E-2</v>
      </c>
      <c r="X243" s="113">
        <f t="shared" si="107"/>
        <v>-2.4007918832447048E-2</v>
      </c>
      <c r="Y243" s="32"/>
      <c r="Z243" s="32"/>
      <c r="AA243" s="32"/>
      <c r="AB243" s="32"/>
      <c r="AC243" s="32"/>
      <c r="AD243" s="32"/>
      <c r="AE243" s="32"/>
      <c r="AG243" s="26">
        <f t="shared" si="94"/>
        <v>0</v>
      </c>
      <c r="AH243" s="27">
        <f t="shared" si="95"/>
        <v>6.0178928160457848E-2</v>
      </c>
      <c r="AI243" s="28">
        <f t="shared" si="108"/>
        <v>2.4007918832447048E-2</v>
      </c>
      <c r="AJ243" s="27">
        <f t="shared" si="96"/>
        <v>2.4007918832447048E-2</v>
      </c>
      <c r="AK243" s="28">
        <f t="shared" si="97"/>
        <v>2.4869994185249978E-3</v>
      </c>
      <c r="AL243" s="27">
        <f t="shared" si="98"/>
        <v>2.4007918832447048E-2</v>
      </c>
      <c r="AM243" s="28">
        <f t="shared" si="109"/>
        <v>2.6558345460906185E-2</v>
      </c>
      <c r="AN243" s="27">
        <f t="shared" si="110"/>
        <v>-2.4007918832447048E-2</v>
      </c>
      <c r="AO243" s="28">
        <f t="shared" si="99"/>
        <v>-2.4007918832447048E-2</v>
      </c>
      <c r="AP243" s="27">
        <f t="shared" si="100"/>
        <v>-2.4869994185249982E-3</v>
      </c>
      <c r="AQ243" s="29">
        <f t="shared" si="101"/>
        <v>-2.4007918832447048E-2</v>
      </c>
      <c r="AS243" s="30">
        <f t="shared" si="102"/>
        <v>0.89420072893627089</v>
      </c>
      <c r="AT243" s="21">
        <f t="shared" si="103"/>
        <v>3.1169915307328084</v>
      </c>
      <c r="AU243" s="31">
        <f t="shared" ca="1" si="111"/>
        <v>5.7679654254227941E-4</v>
      </c>
      <c r="AV243" s="109">
        <f t="shared" ca="1" si="112"/>
        <v>5.7906198783497231E-4</v>
      </c>
      <c r="AW243" s="27" t="e">
        <f t="shared" ca="1" si="113"/>
        <v>#VALUE!</v>
      </c>
      <c r="AX243" s="29" t="e">
        <f t="shared" ca="1" si="114"/>
        <v>#VALUE!</v>
      </c>
      <c r="AY243" s="72"/>
    </row>
    <row r="244" spans="13:51" s="11" customFormat="1" ht="15.6" customHeight="1" x14ac:dyDescent="0.3">
      <c r="M244" s="20">
        <f t="shared" si="115"/>
        <v>214</v>
      </c>
      <c r="N244" s="21">
        <f t="shared" si="116"/>
        <v>3.7450000000000103</v>
      </c>
      <c r="O244" s="22">
        <f t="shared" ca="1" si="88"/>
        <v>170.67681603237477</v>
      </c>
      <c r="P244" s="23">
        <f t="shared" ca="1" si="89"/>
        <v>-1</v>
      </c>
      <c r="Q244" s="22" t="e">
        <f t="shared" ca="1" si="90"/>
        <v>#VALUE!</v>
      </c>
      <c r="R244" s="23">
        <f t="shared" ca="1" si="91"/>
        <v>-1</v>
      </c>
      <c r="S244" s="24" t="e">
        <f t="shared" ca="1" si="92"/>
        <v>#VALUE!</v>
      </c>
      <c r="T244" s="23">
        <f t="shared" ca="1" si="93"/>
        <v>-1</v>
      </c>
      <c r="U244" s="112">
        <f t="shared" si="104"/>
        <v>2.3941705203394337E-2</v>
      </c>
      <c r="V244" s="109">
        <f t="shared" si="105"/>
        <v>-2.3941705203394337E-2</v>
      </c>
      <c r="W244" s="112">
        <f t="shared" si="106"/>
        <v>2.3941705203394337E-2</v>
      </c>
      <c r="X244" s="113">
        <f t="shared" si="107"/>
        <v>-2.3941705203394337E-2</v>
      </c>
      <c r="Y244" s="32"/>
      <c r="Z244" s="32"/>
      <c r="AA244" s="32"/>
      <c r="AB244" s="32"/>
      <c r="AC244" s="32"/>
      <c r="AD244" s="32"/>
      <c r="AE244" s="32"/>
      <c r="AG244" s="26">
        <f t="shared" si="94"/>
        <v>0</v>
      </c>
      <c r="AH244" s="27">
        <f t="shared" si="95"/>
        <v>6.0012955205708388E-2</v>
      </c>
      <c r="AI244" s="28">
        <f t="shared" si="108"/>
        <v>2.3941705203394337E-2</v>
      </c>
      <c r="AJ244" s="27">
        <f t="shared" si="96"/>
        <v>2.3941705203394337E-2</v>
      </c>
      <c r="AK244" s="28">
        <f t="shared" si="97"/>
        <v>2.4743387902815554E-3</v>
      </c>
      <c r="AL244" s="27">
        <f t="shared" si="98"/>
        <v>2.3941705203394337E-2</v>
      </c>
      <c r="AM244" s="28">
        <f t="shared" si="109"/>
        <v>2.6558345460906185E-2</v>
      </c>
      <c r="AN244" s="27">
        <f t="shared" si="110"/>
        <v>-2.3941705203394337E-2</v>
      </c>
      <c r="AO244" s="28">
        <f t="shared" si="99"/>
        <v>-2.3941705203394337E-2</v>
      </c>
      <c r="AP244" s="27">
        <f t="shared" si="100"/>
        <v>-2.4743387902815554E-3</v>
      </c>
      <c r="AQ244" s="29">
        <f t="shared" si="101"/>
        <v>-2.3941705203394337E-2</v>
      </c>
      <c r="AS244" s="30">
        <f t="shared" si="102"/>
        <v>0.89373139676405444</v>
      </c>
      <c r="AT244" s="21">
        <f t="shared" si="103"/>
        <v>3.1011237863680061</v>
      </c>
      <c r="AU244" s="31">
        <f t="shared" ca="1" si="111"/>
        <v>5.7713632461453557E-4</v>
      </c>
      <c r="AV244" s="109">
        <f t="shared" ca="1" si="112"/>
        <v>5.7939818768848461E-4</v>
      </c>
      <c r="AW244" s="27" t="e">
        <f t="shared" ca="1" si="113"/>
        <v>#VALUE!</v>
      </c>
      <c r="AX244" s="29" t="e">
        <f t="shared" ca="1" si="114"/>
        <v>#VALUE!</v>
      </c>
      <c r="AY244" s="72"/>
    </row>
    <row r="245" spans="13:51" s="11" customFormat="1" ht="15.6" customHeight="1" x14ac:dyDescent="0.3">
      <c r="M245" s="20">
        <f t="shared" si="115"/>
        <v>215</v>
      </c>
      <c r="N245" s="21">
        <f t="shared" si="116"/>
        <v>3.7625000000000104</v>
      </c>
      <c r="O245" s="22">
        <f t="shared" ca="1" si="88"/>
        <v>170.90770490358688</v>
      </c>
      <c r="P245" s="23">
        <f t="shared" ca="1" si="89"/>
        <v>-1</v>
      </c>
      <c r="Q245" s="22" t="e">
        <f t="shared" ca="1" si="90"/>
        <v>#VALUE!</v>
      </c>
      <c r="R245" s="23">
        <f t="shared" ca="1" si="91"/>
        <v>-1</v>
      </c>
      <c r="S245" s="24" t="e">
        <f t="shared" ca="1" si="92"/>
        <v>#VALUE!</v>
      </c>
      <c r="T245" s="23">
        <f t="shared" ca="1" si="93"/>
        <v>-1</v>
      </c>
      <c r="U245" s="112">
        <f t="shared" si="104"/>
        <v>2.3874723942769526E-2</v>
      </c>
      <c r="V245" s="109">
        <f t="shared" si="105"/>
        <v>-2.3874723942769526E-2</v>
      </c>
      <c r="W245" s="112">
        <f t="shared" si="106"/>
        <v>2.3874723942769526E-2</v>
      </c>
      <c r="X245" s="113">
        <f t="shared" si="107"/>
        <v>-2.3874723942769526E-2</v>
      </c>
      <c r="Y245" s="32"/>
      <c r="Z245" s="32"/>
      <c r="AA245" s="32"/>
      <c r="AB245" s="32"/>
      <c r="AC245" s="32"/>
      <c r="AD245" s="32"/>
      <c r="AE245" s="32"/>
      <c r="AG245" s="26">
        <f t="shared" si="94"/>
        <v>0</v>
      </c>
      <c r="AH245" s="27">
        <f t="shared" si="95"/>
        <v>5.9845058083955814E-2</v>
      </c>
      <c r="AI245" s="28">
        <f t="shared" si="108"/>
        <v>2.3874723942769526E-2</v>
      </c>
      <c r="AJ245" s="27">
        <f t="shared" si="96"/>
        <v>2.3874723942769526E-2</v>
      </c>
      <c r="AK245" s="28">
        <f t="shared" si="97"/>
        <v>2.4616715134631907E-3</v>
      </c>
      <c r="AL245" s="27">
        <f t="shared" si="98"/>
        <v>2.3874723942769526E-2</v>
      </c>
      <c r="AM245" s="28">
        <f t="shared" si="109"/>
        <v>2.6558345460906185E-2</v>
      </c>
      <c r="AN245" s="27">
        <f t="shared" si="110"/>
        <v>-2.3874723942769526E-2</v>
      </c>
      <c r="AO245" s="28">
        <f t="shared" si="99"/>
        <v>-2.3874723942769526E-2</v>
      </c>
      <c r="AP245" s="27">
        <f t="shared" si="100"/>
        <v>-2.4616715134631907E-3</v>
      </c>
      <c r="AQ245" s="29">
        <f t="shared" si="101"/>
        <v>-2.3874723942769526E-2</v>
      </c>
      <c r="AS245" s="30">
        <f t="shared" si="102"/>
        <v>0.89326231092656005</v>
      </c>
      <c r="AT245" s="21">
        <f t="shared" si="103"/>
        <v>3.0852477092502606</v>
      </c>
      <c r="AU245" s="31">
        <f t="shared" ca="1" si="111"/>
        <v>5.774725806592107E-4</v>
      </c>
      <c r="AV245" s="109">
        <f t="shared" ca="1" si="112"/>
        <v>5.7973086076823499E-4</v>
      </c>
      <c r="AW245" s="27" t="e">
        <f t="shared" ca="1" si="113"/>
        <v>#VALUE!</v>
      </c>
      <c r="AX245" s="29" t="e">
        <f t="shared" ca="1" si="114"/>
        <v>#VALUE!</v>
      </c>
      <c r="AY245" s="72"/>
    </row>
    <row r="246" spans="13:51" s="11" customFormat="1" ht="15.6" customHeight="1" x14ac:dyDescent="0.3">
      <c r="M246" s="20">
        <f t="shared" si="115"/>
        <v>216</v>
      </c>
      <c r="N246" s="21">
        <f t="shared" si="116"/>
        <v>3.7800000000000105</v>
      </c>
      <c r="O246" s="22">
        <f t="shared" ca="1" si="88"/>
        <v>171.13770022773247</v>
      </c>
      <c r="P246" s="23">
        <f t="shared" ca="1" si="89"/>
        <v>-1</v>
      </c>
      <c r="Q246" s="22" t="e">
        <f t="shared" ca="1" si="90"/>
        <v>#VALUE!</v>
      </c>
      <c r="R246" s="23">
        <f t="shared" ca="1" si="91"/>
        <v>-1</v>
      </c>
      <c r="S246" s="24" t="e">
        <f t="shared" ca="1" si="92"/>
        <v>#VALUE!</v>
      </c>
      <c r="T246" s="23">
        <f t="shared" ca="1" si="93"/>
        <v>-1</v>
      </c>
      <c r="U246" s="112">
        <f t="shared" si="104"/>
        <v>2.3806977475020506E-2</v>
      </c>
      <c r="V246" s="109">
        <f t="shared" si="105"/>
        <v>-2.3806977475020506E-2</v>
      </c>
      <c r="W246" s="112">
        <f t="shared" si="106"/>
        <v>2.3806977475020506E-2</v>
      </c>
      <c r="X246" s="113">
        <f t="shared" si="107"/>
        <v>-2.3806977475020506E-2</v>
      </c>
      <c r="Y246" s="32"/>
      <c r="Z246" s="32"/>
      <c r="AA246" s="32"/>
      <c r="AB246" s="32"/>
      <c r="AC246" s="32"/>
      <c r="AD246" s="32"/>
      <c r="AE246" s="32"/>
      <c r="AG246" s="26">
        <f t="shared" si="94"/>
        <v>0</v>
      </c>
      <c r="AH246" s="27">
        <f t="shared" si="95"/>
        <v>5.967524287238974E-2</v>
      </c>
      <c r="AI246" s="28">
        <f t="shared" si="108"/>
        <v>2.3806977475020506E-2</v>
      </c>
      <c r="AJ246" s="27">
        <f t="shared" si="96"/>
        <v>2.3806977475020506E-2</v>
      </c>
      <c r="AK246" s="28">
        <f t="shared" si="97"/>
        <v>2.4489975845784825E-3</v>
      </c>
      <c r="AL246" s="27">
        <f t="shared" si="98"/>
        <v>2.3806977475020506E-2</v>
      </c>
      <c r="AM246" s="28">
        <f t="shared" si="109"/>
        <v>2.6558345460906185E-2</v>
      </c>
      <c r="AN246" s="27">
        <f t="shared" si="110"/>
        <v>-2.3806977475020506E-2</v>
      </c>
      <c r="AO246" s="28">
        <f t="shared" si="99"/>
        <v>-2.3806977475020506E-2</v>
      </c>
      <c r="AP246" s="27">
        <f t="shared" si="100"/>
        <v>-2.4489975845784825E-3</v>
      </c>
      <c r="AQ246" s="29">
        <f t="shared" si="101"/>
        <v>-2.3806977475020506E-2</v>
      </c>
      <c r="AS246" s="30">
        <f t="shared" si="102"/>
        <v>0.89279347129449571</v>
      </c>
      <c r="AT246" s="21">
        <f t="shared" si="103"/>
        <v>3.0693632950037242</v>
      </c>
      <c r="AU246" s="31">
        <f t="shared" ca="1" si="111"/>
        <v>5.7780541433116728E-4</v>
      </c>
      <c r="AV246" s="109">
        <f t="shared" ca="1" si="112"/>
        <v>5.8006011070499408E-4</v>
      </c>
      <c r="AW246" s="27" t="e">
        <f t="shared" ca="1" si="113"/>
        <v>#VALUE!</v>
      </c>
      <c r="AX246" s="29" t="e">
        <f t="shared" ca="1" si="114"/>
        <v>#VALUE!</v>
      </c>
      <c r="AY246" s="72"/>
    </row>
    <row r="247" spans="13:51" s="11" customFormat="1" ht="15.6" customHeight="1" x14ac:dyDescent="0.3">
      <c r="M247" s="20">
        <f t="shared" si="115"/>
        <v>217</v>
      </c>
      <c r="N247" s="21">
        <f t="shared" si="116"/>
        <v>3.7975000000000105</v>
      </c>
      <c r="O247" s="22">
        <f t="shared" ca="1" si="88"/>
        <v>171.36677999806949</v>
      </c>
      <c r="P247" s="23">
        <f t="shared" ca="1" si="89"/>
        <v>-1</v>
      </c>
      <c r="Q247" s="22" t="e">
        <f t="shared" ca="1" si="90"/>
        <v>#VALUE!</v>
      </c>
      <c r="R247" s="23">
        <f t="shared" ca="1" si="91"/>
        <v>-1</v>
      </c>
      <c r="S247" s="24" t="e">
        <f t="shared" ca="1" si="92"/>
        <v>#VALUE!</v>
      </c>
      <c r="T247" s="23">
        <f t="shared" ca="1" si="93"/>
        <v>-1</v>
      </c>
      <c r="U247" s="112">
        <f t="shared" si="104"/>
        <v>2.3738468197332045E-2</v>
      </c>
      <c r="V247" s="109">
        <f t="shared" si="105"/>
        <v>-2.3738468197332045E-2</v>
      </c>
      <c r="W247" s="112">
        <f t="shared" si="106"/>
        <v>2.3738468197332045E-2</v>
      </c>
      <c r="X247" s="113">
        <f t="shared" si="107"/>
        <v>-2.3738468197332045E-2</v>
      </c>
      <c r="Y247" s="32"/>
      <c r="Z247" s="32"/>
      <c r="AA247" s="32"/>
      <c r="AB247" s="32"/>
      <c r="AC247" s="32"/>
      <c r="AD247" s="32"/>
      <c r="AE247" s="32"/>
      <c r="AG247" s="26">
        <f t="shared" si="94"/>
        <v>0</v>
      </c>
      <c r="AH247" s="27">
        <f t="shared" si="95"/>
        <v>5.9503515579861298E-2</v>
      </c>
      <c r="AI247" s="28">
        <f t="shared" si="108"/>
        <v>2.3738468197332045E-2</v>
      </c>
      <c r="AJ247" s="27">
        <f t="shared" si="96"/>
        <v>2.3738468197332045E-2</v>
      </c>
      <c r="AK247" s="28">
        <f t="shared" si="97"/>
        <v>2.4363170001341751E-3</v>
      </c>
      <c r="AL247" s="27">
        <f t="shared" si="98"/>
        <v>2.3738468197332045E-2</v>
      </c>
      <c r="AM247" s="28">
        <f t="shared" si="109"/>
        <v>2.6558345460906185E-2</v>
      </c>
      <c r="AN247" s="27">
        <f t="shared" si="110"/>
        <v>-2.3738468197332045E-2</v>
      </c>
      <c r="AO247" s="28">
        <f t="shared" si="99"/>
        <v>-2.3738468197332045E-2</v>
      </c>
      <c r="AP247" s="27">
        <f t="shared" si="100"/>
        <v>-2.4363170001341751E-3</v>
      </c>
      <c r="AQ247" s="29">
        <f t="shared" si="101"/>
        <v>-2.3738468197332045E-2</v>
      </c>
      <c r="AS247" s="30">
        <f t="shared" si="102"/>
        <v>0.89232487773863745</v>
      </c>
      <c r="AT247" s="21">
        <f t="shared" si="103"/>
        <v>3.053470539250251</v>
      </c>
      <c r="AU247" s="31">
        <f t="shared" ca="1" si="111"/>
        <v>5.7811761663661976E-4</v>
      </c>
      <c r="AV247" s="109">
        <f t="shared" ca="1" si="112"/>
        <v>5.8036873943367873E-4</v>
      </c>
      <c r="AW247" s="27" t="e">
        <f t="shared" ca="1" si="113"/>
        <v>#VALUE!</v>
      </c>
      <c r="AX247" s="29" t="e">
        <f t="shared" ca="1" si="114"/>
        <v>#VALUE!</v>
      </c>
      <c r="AY247" s="72"/>
    </row>
    <row r="248" spans="13:51" s="11" customFormat="1" ht="15.6" customHeight="1" x14ac:dyDescent="0.3">
      <c r="M248" s="20">
        <f t="shared" si="115"/>
        <v>218</v>
      </c>
      <c r="N248" s="21">
        <f t="shared" si="116"/>
        <v>3.8150000000000106</v>
      </c>
      <c r="O248" s="22">
        <f t="shared" ca="1" si="88"/>
        <v>171.59496793395553</v>
      </c>
      <c r="P248" s="23">
        <f t="shared" ca="1" si="89"/>
        <v>-1</v>
      </c>
      <c r="Q248" s="22" t="e">
        <f t="shared" ca="1" si="90"/>
        <v>#VALUE!</v>
      </c>
      <c r="R248" s="23">
        <f t="shared" ca="1" si="91"/>
        <v>-1</v>
      </c>
      <c r="S248" s="24" t="e">
        <f t="shared" ca="1" si="92"/>
        <v>#VALUE!</v>
      </c>
      <c r="T248" s="23">
        <f t="shared" ca="1" si="93"/>
        <v>-1</v>
      </c>
      <c r="U248" s="112">
        <f t="shared" si="104"/>
        <v>2.3669198480039118E-2</v>
      </c>
      <c r="V248" s="109">
        <f t="shared" si="105"/>
        <v>-2.3669198480039118E-2</v>
      </c>
      <c r="W248" s="112">
        <f t="shared" si="106"/>
        <v>2.3669198480039118E-2</v>
      </c>
      <c r="X248" s="113">
        <f t="shared" si="107"/>
        <v>-2.3669198480039118E-2</v>
      </c>
      <c r="Y248" s="32"/>
      <c r="Z248" s="32"/>
      <c r="AA248" s="32"/>
      <c r="AB248" s="32"/>
      <c r="AC248" s="32"/>
      <c r="AD248" s="32"/>
      <c r="AE248" s="32"/>
      <c r="AG248" s="26">
        <f t="shared" si="94"/>
        <v>0</v>
      </c>
      <c r="AH248" s="27">
        <f t="shared" si="95"/>
        <v>5.932988214791915E-2</v>
      </c>
      <c r="AI248" s="28">
        <f t="shared" si="108"/>
        <v>2.3669198480039118E-2</v>
      </c>
      <c r="AJ248" s="27">
        <f t="shared" si="96"/>
        <v>2.3669198480039118E-2</v>
      </c>
      <c r="AK248" s="28">
        <f t="shared" si="97"/>
        <v>2.423629756635189E-3</v>
      </c>
      <c r="AL248" s="27">
        <f t="shared" si="98"/>
        <v>2.3669198480039118E-2</v>
      </c>
      <c r="AM248" s="28">
        <f t="shared" si="109"/>
        <v>2.6558345460906185E-2</v>
      </c>
      <c r="AN248" s="27">
        <f t="shared" si="110"/>
        <v>-2.3669198480039118E-2</v>
      </c>
      <c r="AO248" s="28">
        <f t="shared" si="99"/>
        <v>-2.3669198480039118E-2</v>
      </c>
      <c r="AP248" s="27">
        <f t="shared" si="100"/>
        <v>-2.423629756635189E-3</v>
      </c>
      <c r="AQ248" s="29">
        <f t="shared" si="101"/>
        <v>-2.3669198480039118E-2</v>
      </c>
      <c r="AS248" s="30">
        <f t="shared" si="102"/>
        <v>0.89185653012982935</v>
      </c>
      <c r="AT248" s="21">
        <f t="shared" si="103"/>
        <v>3.0375694376094073</v>
      </c>
      <c r="AU248" s="31">
        <f t="shared" ca="1" si="111"/>
        <v>5.7843507656896165E-4</v>
      </c>
      <c r="AV248" s="109">
        <f t="shared" ca="1" si="112"/>
        <v>5.8068261973165392E-4</v>
      </c>
      <c r="AW248" s="27" t="e">
        <f t="shared" ca="1" si="113"/>
        <v>#VALUE!</v>
      </c>
      <c r="AX248" s="29" t="e">
        <f t="shared" ca="1" si="114"/>
        <v>#VALUE!</v>
      </c>
      <c r="AY248" s="72"/>
    </row>
    <row r="249" spans="13:51" s="11" customFormat="1" ht="15.6" customHeight="1" x14ac:dyDescent="0.3">
      <c r="M249" s="20">
        <f t="shared" si="115"/>
        <v>219</v>
      </c>
      <c r="N249" s="21">
        <f t="shared" si="116"/>
        <v>3.8325000000000107</v>
      </c>
      <c r="O249" s="22">
        <f t="shared" ca="1" si="88"/>
        <v>171.82226488193422</v>
      </c>
      <c r="P249" s="23">
        <f t="shared" ca="1" si="89"/>
        <v>-1</v>
      </c>
      <c r="Q249" s="22" t="e">
        <f t="shared" ca="1" si="90"/>
        <v>#VALUE!</v>
      </c>
      <c r="R249" s="23">
        <f t="shared" ca="1" si="91"/>
        <v>-1</v>
      </c>
      <c r="S249" s="24" t="e">
        <f t="shared" ca="1" si="92"/>
        <v>#VALUE!</v>
      </c>
      <c r="T249" s="23">
        <f t="shared" ca="1" si="93"/>
        <v>-1</v>
      </c>
      <c r="U249" s="112">
        <f t="shared" si="104"/>
        <v>2.3599170667031724E-2</v>
      </c>
      <c r="V249" s="109">
        <f t="shared" si="105"/>
        <v>-2.3599170667031724E-2</v>
      </c>
      <c r="W249" s="112">
        <f t="shared" si="106"/>
        <v>2.3599170667031724E-2</v>
      </c>
      <c r="X249" s="113">
        <f t="shared" si="107"/>
        <v>-2.3599170667031724E-2</v>
      </c>
      <c r="Y249" s="32"/>
      <c r="Z249" s="32"/>
      <c r="AA249" s="32"/>
      <c r="AB249" s="32"/>
      <c r="AC249" s="32"/>
      <c r="AD249" s="32"/>
      <c r="AE249" s="32"/>
      <c r="AG249" s="26">
        <f t="shared" si="94"/>
        <v>0</v>
      </c>
      <c r="AH249" s="27">
        <f t="shared" si="95"/>
        <v>5.915434845182424E-2</v>
      </c>
      <c r="AI249" s="28">
        <f t="shared" si="108"/>
        <v>2.3599170667031724E-2</v>
      </c>
      <c r="AJ249" s="27">
        <f t="shared" si="96"/>
        <v>2.3599170667031724E-2</v>
      </c>
      <c r="AK249" s="28">
        <f t="shared" si="97"/>
        <v>2.4109358505845953E-3</v>
      </c>
      <c r="AL249" s="27">
        <f t="shared" si="98"/>
        <v>2.3599170667031724E-2</v>
      </c>
      <c r="AM249" s="28">
        <f t="shared" si="109"/>
        <v>2.6558345460906185E-2</v>
      </c>
      <c r="AN249" s="27">
        <f t="shared" si="110"/>
        <v>-2.3599170667031724E-2</v>
      </c>
      <c r="AO249" s="28">
        <f t="shared" si="99"/>
        <v>-2.3599170667031724E-2</v>
      </c>
      <c r="AP249" s="27">
        <f t="shared" si="100"/>
        <v>-2.4109358505845957E-3</v>
      </c>
      <c r="AQ249" s="29">
        <f t="shared" si="101"/>
        <v>-2.3599170667031724E-2</v>
      </c>
      <c r="AS249" s="30">
        <f t="shared" si="102"/>
        <v>0.89138842833898302</v>
      </c>
      <c r="AT249" s="21">
        <f t="shared" si="103"/>
        <v>3.0216599856984439</v>
      </c>
      <c r="AU249" s="31">
        <f t="shared" ca="1" si="111"/>
        <v>5.7874493430953855E-4</v>
      </c>
      <c r="AV249" s="109">
        <f t="shared" ca="1" si="112"/>
        <v>5.8098889993118963E-4</v>
      </c>
      <c r="AW249" s="27" t="e">
        <f t="shared" ca="1" si="113"/>
        <v>#VALUE!</v>
      </c>
      <c r="AX249" s="29" t="e">
        <f t="shared" ca="1" si="114"/>
        <v>#VALUE!</v>
      </c>
      <c r="AY249" s="72"/>
    </row>
    <row r="250" spans="13:51" s="11" customFormat="1" ht="15.6" customHeight="1" x14ac:dyDescent="0.3">
      <c r="M250" s="20">
        <f t="shared" si="115"/>
        <v>220</v>
      </c>
      <c r="N250" s="21">
        <f t="shared" si="116"/>
        <v>3.8500000000000107</v>
      </c>
      <c r="O250" s="22">
        <f t="shared" ca="1" si="88"/>
        <v>172.0486564416035</v>
      </c>
      <c r="P250" s="23">
        <f t="shared" ca="1" si="89"/>
        <v>-1</v>
      </c>
      <c r="Q250" s="22" t="e">
        <f t="shared" ca="1" si="90"/>
        <v>#VALUE!</v>
      </c>
      <c r="R250" s="23">
        <f t="shared" ca="1" si="91"/>
        <v>-1</v>
      </c>
      <c r="S250" s="24" t="e">
        <f t="shared" ca="1" si="92"/>
        <v>#VALUE!</v>
      </c>
      <c r="T250" s="23">
        <f t="shared" ca="1" si="93"/>
        <v>-1</v>
      </c>
      <c r="U250" s="112">
        <f t="shared" si="104"/>
        <v>2.3528387076152069E-2</v>
      </c>
      <c r="V250" s="109">
        <f t="shared" si="105"/>
        <v>-2.3528387076152069E-2</v>
      </c>
      <c r="W250" s="112">
        <f t="shared" si="106"/>
        <v>2.3528387076152069E-2</v>
      </c>
      <c r="X250" s="113">
        <f t="shared" si="107"/>
        <v>-2.3528387076152069E-2</v>
      </c>
      <c r="Y250" s="32"/>
      <c r="Z250" s="32"/>
      <c r="AA250" s="32"/>
      <c r="AB250" s="32"/>
      <c r="AC250" s="32"/>
      <c r="AD250" s="32"/>
      <c r="AE250" s="32"/>
      <c r="AG250" s="26">
        <f t="shared" si="94"/>
        <v>0</v>
      </c>
      <c r="AH250" s="27">
        <f t="shared" si="95"/>
        <v>5.8976920301545388E-2</v>
      </c>
      <c r="AI250" s="28">
        <f t="shared" si="108"/>
        <v>2.3528387076152069E-2</v>
      </c>
      <c r="AJ250" s="27">
        <f t="shared" si="96"/>
        <v>2.3528387076152069E-2</v>
      </c>
      <c r="AK250" s="28">
        <f t="shared" si="97"/>
        <v>2.3982352784836423E-3</v>
      </c>
      <c r="AL250" s="27">
        <f t="shared" si="98"/>
        <v>2.3528387076152069E-2</v>
      </c>
      <c r="AM250" s="28">
        <f t="shared" si="109"/>
        <v>2.6558345460906185E-2</v>
      </c>
      <c r="AN250" s="27">
        <f t="shared" si="110"/>
        <v>-2.3528387076152069E-2</v>
      </c>
      <c r="AO250" s="28">
        <f t="shared" si="99"/>
        <v>-2.3528387076152069E-2</v>
      </c>
      <c r="AP250" s="27">
        <f t="shared" si="100"/>
        <v>-2.3982352784836423E-3</v>
      </c>
      <c r="AQ250" s="29">
        <f t="shared" si="101"/>
        <v>-2.3528387076152069E-2</v>
      </c>
      <c r="AS250" s="30">
        <f t="shared" si="102"/>
        <v>0.89092057223707788</v>
      </c>
      <c r="AT250" s="21">
        <f t="shared" si="103"/>
        <v>3.0057421791323242</v>
      </c>
      <c r="AU250" s="31">
        <f t="shared" ca="1" si="111"/>
        <v>5.790384546324745E-4</v>
      </c>
      <c r="AV250" s="109">
        <f t="shared" ca="1" si="112"/>
        <v>5.8127885049819028E-4</v>
      </c>
      <c r="AW250" s="27" t="e">
        <f t="shared" ca="1" si="113"/>
        <v>#VALUE!</v>
      </c>
      <c r="AX250" s="29" t="e">
        <f t="shared" ca="1" si="114"/>
        <v>#VALUE!</v>
      </c>
      <c r="AY250" s="72"/>
    </row>
    <row r="251" spans="13:51" s="11" customFormat="1" ht="15.6" customHeight="1" x14ac:dyDescent="0.3">
      <c r="M251" s="20">
        <f t="shared" si="115"/>
        <v>221</v>
      </c>
      <c r="N251" s="21">
        <f t="shared" si="116"/>
        <v>3.8675000000000108</v>
      </c>
      <c r="O251" s="22">
        <f t="shared" ca="1" si="88"/>
        <v>172.2741587191733</v>
      </c>
      <c r="P251" s="23">
        <f t="shared" ca="1" si="89"/>
        <v>-1</v>
      </c>
      <c r="Q251" s="22" t="e">
        <f t="shared" ca="1" si="90"/>
        <v>#VALUE!</v>
      </c>
      <c r="R251" s="23">
        <f t="shared" ca="1" si="91"/>
        <v>-1</v>
      </c>
      <c r="S251" s="24" t="e">
        <f t="shared" ca="1" si="92"/>
        <v>#VALUE!</v>
      </c>
      <c r="T251" s="23">
        <f t="shared" ca="1" si="93"/>
        <v>-1</v>
      </c>
      <c r="U251" s="112">
        <f t="shared" si="104"/>
        <v>2.3456849999583539E-2</v>
      </c>
      <c r="V251" s="109">
        <f t="shared" si="105"/>
        <v>-2.3456849999583539E-2</v>
      </c>
      <c r="W251" s="112">
        <f t="shared" si="106"/>
        <v>2.3456849999583539E-2</v>
      </c>
      <c r="X251" s="113">
        <f t="shared" si="107"/>
        <v>-2.3456849999583539E-2</v>
      </c>
      <c r="Y251" s="32"/>
      <c r="Z251" s="32"/>
      <c r="AA251" s="32"/>
      <c r="AB251" s="32"/>
      <c r="AC251" s="32"/>
      <c r="AD251" s="32"/>
      <c r="AE251" s="32"/>
      <c r="AG251" s="26">
        <f t="shared" si="94"/>
        <v>0</v>
      </c>
      <c r="AH251" s="27">
        <f t="shared" si="95"/>
        <v>5.879760344273427E-2</v>
      </c>
      <c r="AI251" s="28">
        <f t="shared" si="108"/>
        <v>2.3456849999583539E-2</v>
      </c>
      <c r="AJ251" s="27">
        <f t="shared" si="96"/>
        <v>2.3456849999583539E-2</v>
      </c>
      <c r="AK251" s="28">
        <f t="shared" si="97"/>
        <v>2.3855280368317326E-3</v>
      </c>
      <c r="AL251" s="27">
        <f t="shared" si="98"/>
        <v>2.3456849999583539E-2</v>
      </c>
      <c r="AM251" s="28">
        <f t="shared" si="109"/>
        <v>2.6558345460906185E-2</v>
      </c>
      <c r="AN251" s="27">
        <f t="shared" si="110"/>
        <v>-2.3456849999583539E-2</v>
      </c>
      <c r="AO251" s="28">
        <f t="shared" si="99"/>
        <v>-2.3456849999583539E-2</v>
      </c>
      <c r="AP251" s="27">
        <f t="shared" si="100"/>
        <v>-2.3855280368317326E-3</v>
      </c>
      <c r="AQ251" s="29">
        <f t="shared" si="101"/>
        <v>-2.3456849999583539E-2</v>
      </c>
      <c r="AS251" s="30">
        <f t="shared" si="102"/>
        <v>0.89045296169516108</v>
      </c>
      <c r="AT251" s="21">
        <f t="shared" si="103"/>
        <v>2.9898160135237015</v>
      </c>
      <c r="AU251" s="31">
        <f t="shared" ca="1" si="111"/>
        <v>5.793331239942745E-4</v>
      </c>
      <c r="AV251" s="109">
        <f t="shared" ca="1" si="112"/>
        <v>5.8156994681168861E-4</v>
      </c>
      <c r="AW251" s="27" t="e">
        <f t="shared" ca="1" si="113"/>
        <v>#VALUE!</v>
      </c>
      <c r="AX251" s="29" t="e">
        <f t="shared" ca="1" si="114"/>
        <v>#VALUE!</v>
      </c>
      <c r="AY251" s="72"/>
    </row>
    <row r="252" spans="13:51" s="11" customFormat="1" ht="15.6" customHeight="1" x14ac:dyDescent="0.3">
      <c r="M252" s="20">
        <f t="shared" si="115"/>
        <v>222</v>
      </c>
      <c r="N252" s="21">
        <f t="shared" si="116"/>
        <v>3.8850000000000109</v>
      </c>
      <c r="O252" s="22">
        <f t="shared" ca="1" si="88"/>
        <v>172.49874967003657</v>
      </c>
      <c r="P252" s="23">
        <f t="shared" ca="1" si="89"/>
        <v>-1</v>
      </c>
      <c r="Q252" s="22" t="e">
        <f t="shared" ca="1" si="90"/>
        <v>#VALUE!</v>
      </c>
      <c r="R252" s="23">
        <f t="shared" ca="1" si="91"/>
        <v>-1</v>
      </c>
      <c r="S252" s="24" t="e">
        <f t="shared" ca="1" si="92"/>
        <v>#VALUE!</v>
      </c>
      <c r="T252" s="23">
        <f t="shared" ca="1" si="93"/>
        <v>-1</v>
      </c>
      <c r="U252" s="112">
        <f t="shared" si="104"/>
        <v>2.3384561704232282E-2</v>
      </c>
      <c r="V252" s="109">
        <f t="shared" si="105"/>
        <v>-2.3384561704232282E-2</v>
      </c>
      <c r="W252" s="112">
        <f t="shared" si="106"/>
        <v>2.3384561704232282E-2</v>
      </c>
      <c r="X252" s="113">
        <f t="shared" si="107"/>
        <v>-2.3384561704232282E-2</v>
      </c>
      <c r="Y252" s="32"/>
      <c r="Z252" s="32"/>
      <c r="AA252" s="32"/>
      <c r="AB252" s="32"/>
      <c r="AC252" s="32"/>
      <c r="AD252" s="32"/>
      <c r="AE252" s="32"/>
      <c r="AG252" s="26">
        <f t="shared" si="94"/>
        <v>0</v>
      </c>
      <c r="AH252" s="27">
        <f t="shared" si="95"/>
        <v>5.8616403557681933E-2</v>
      </c>
      <c r="AI252" s="28">
        <f t="shared" si="108"/>
        <v>2.3384561704232282E-2</v>
      </c>
      <c r="AJ252" s="27">
        <f t="shared" si="96"/>
        <v>2.3384561704232282E-2</v>
      </c>
      <c r="AK252" s="28">
        <f t="shared" si="97"/>
        <v>2.3728141221264318E-3</v>
      </c>
      <c r="AL252" s="27">
        <f t="shared" si="98"/>
        <v>2.3384561704232282E-2</v>
      </c>
      <c r="AM252" s="28">
        <f t="shared" si="109"/>
        <v>2.6558345460906185E-2</v>
      </c>
      <c r="AN252" s="27">
        <f t="shared" si="110"/>
        <v>-2.3384561704232282E-2</v>
      </c>
      <c r="AO252" s="28">
        <f t="shared" si="99"/>
        <v>-2.3384561704232282E-2</v>
      </c>
      <c r="AP252" s="27">
        <f t="shared" si="100"/>
        <v>-2.3728141221264322E-3</v>
      </c>
      <c r="AQ252" s="29">
        <f t="shared" si="101"/>
        <v>-2.3384561704232282E-2</v>
      </c>
      <c r="AS252" s="30">
        <f t="shared" si="102"/>
        <v>0.8899855965843475</v>
      </c>
      <c r="AT252" s="21">
        <f t="shared" si="103"/>
        <v>2.9738814844829249</v>
      </c>
      <c r="AU252" s="31">
        <f t="shared" ca="1" si="111"/>
        <v>5.7960701271841941E-4</v>
      </c>
      <c r="AV252" s="109">
        <f t="shared" ca="1" si="112"/>
        <v>5.8184027337659927E-4</v>
      </c>
      <c r="AW252" s="27" t="e">
        <f t="shared" ca="1" si="113"/>
        <v>#VALUE!</v>
      </c>
      <c r="AX252" s="29" t="e">
        <f t="shared" ca="1" si="114"/>
        <v>#VALUE!</v>
      </c>
      <c r="AY252" s="72"/>
    </row>
    <row r="253" spans="13:51" s="11" customFormat="1" ht="15.6" customHeight="1" x14ac:dyDescent="0.3">
      <c r="M253" s="20">
        <f t="shared" si="115"/>
        <v>223</v>
      </c>
      <c r="N253" s="21">
        <f t="shared" si="116"/>
        <v>3.902500000000011</v>
      </c>
      <c r="O253" s="22">
        <f t="shared" ca="1" si="88"/>
        <v>172.72245303262318</v>
      </c>
      <c r="P253" s="23">
        <f t="shared" ca="1" si="89"/>
        <v>-1</v>
      </c>
      <c r="Q253" s="22" t="e">
        <f t="shared" ca="1" si="90"/>
        <v>#VALUE!</v>
      </c>
      <c r="R253" s="23">
        <f t="shared" ca="1" si="91"/>
        <v>-1</v>
      </c>
      <c r="S253" s="24" t="e">
        <f t="shared" ca="1" si="92"/>
        <v>#VALUE!</v>
      </c>
      <c r="T253" s="23">
        <f t="shared" ca="1" si="93"/>
        <v>-1</v>
      </c>
      <c r="U253" s="112">
        <f t="shared" si="104"/>
        <v>2.3311524432101213E-2</v>
      </c>
      <c r="V253" s="109">
        <f t="shared" si="105"/>
        <v>-2.3311524432101213E-2</v>
      </c>
      <c r="W253" s="112">
        <f t="shared" si="106"/>
        <v>2.3311524432101213E-2</v>
      </c>
      <c r="X253" s="113">
        <f t="shared" si="107"/>
        <v>-2.3311524432101213E-2</v>
      </c>
      <c r="Y253" s="32"/>
      <c r="Z253" s="32"/>
      <c r="AA253" s="32"/>
      <c r="AB253" s="32"/>
      <c r="AC253" s="32"/>
      <c r="AD253" s="32"/>
      <c r="AE253" s="32"/>
      <c r="AG253" s="26">
        <f t="shared" si="94"/>
        <v>0</v>
      </c>
      <c r="AH253" s="27">
        <f t="shared" si="95"/>
        <v>5.8433326266256275E-2</v>
      </c>
      <c r="AI253" s="28">
        <f t="shared" si="108"/>
        <v>2.3311524432101213E-2</v>
      </c>
      <c r="AJ253" s="27">
        <f t="shared" si="96"/>
        <v>2.3311524432101213E-2</v>
      </c>
      <c r="AK253" s="28">
        <f t="shared" si="97"/>
        <v>2.3600935308634649E-3</v>
      </c>
      <c r="AL253" s="27">
        <f t="shared" si="98"/>
        <v>2.3311524432101213E-2</v>
      </c>
      <c r="AM253" s="28">
        <f t="shared" si="109"/>
        <v>2.6558345460906185E-2</v>
      </c>
      <c r="AN253" s="27">
        <f t="shared" si="110"/>
        <v>-2.3311524432101213E-2</v>
      </c>
      <c r="AO253" s="28">
        <f t="shared" si="99"/>
        <v>-2.3311524432101213E-2</v>
      </c>
      <c r="AP253" s="27">
        <f t="shared" si="100"/>
        <v>-2.3600935308634649E-3</v>
      </c>
      <c r="AQ253" s="29">
        <f t="shared" si="101"/>
        <v>-2.3311524432101213E-2</v>
      </c>
      <c r="AS253" s="30">
        <f t="shared" si="102"/>
        <v>0.88951847677581963</v>
      </c>
      <c r="AT253" s="21">
        <f t="shared" si="103"/>
        <v>2.9579385876180364</v>
      </c>
      <c r="AU253" s="31">
        <f t="shared" ca="1" si="111"/>
        <v>5.7988655593388394E-4</v>
      </c>
      <c r="AV253" s="109">
        <f t="shared" ca="1" si="112"/>
        <v>5.8211624837645193E-4</v>
      </c>
      <c r="AW253" s="27" t="e">
        <f t="shared" ca="1" si="113"/>
        <v>#VALUE!</v>
      </c>
      <c r="AX253" s="29" t="e">
        <f t="shared" ca="1" si="114"/>
        <v>#VALUE!</v>
      </c>
      <c r="AY253" s="72"/>
    </row>
    <row r="254" spans="13:51" s="11" customFormat="1" ht="15.6" customHeight="1" x14ac:dyDescent="0.3">
      <c r="M254" s="20">
        <f t="shared" si="115"/>
        <v>224</v>
      </c>
      <c r="N254" s="21">
        <f t="shared" si="116"/>
        <v>3.920000000000011</v>
      </c>
      <c r="O254" s="22">
        <f t="shared" ca="1" si="88"/>
        <v>172.94526967143068</v>
      </c>
      <c r="P254" s="23">
        <f t="shared" ca="1" si="89"/>
        <v>-1</v>
      </c>
      <c r="Q254" s="22" t="e">
        <f t="shared" ca="1" si="90"/>
        <v>#VALUE!</v>
      </c>
      <c r="R254" s="23">
        <f t="shared" ca="1" si="91"/>
        <v>-1</v>
      </c>
      <c r="S254" s="24" t="e">
        <f t="shared" ca="1" si="92"/>
        <v>#VALUE!</v>
      </c>
      <c r="T254" s="23">
        <f t="shared" ca="1" si="93"/>
        <v>-1</v>
      </c>
      <c r="U254" s="112">
        <f t="shared" si="104"/>
        <v>2.3237740400656924E-2</v>
      </c>
      <c r="V254" s="109">
        <f t="shared" si="105"/>
        <v>-2.3237740400656924E-2</v>
      </c>
      <c r="W254" s="112">
        <f t="shared" si="106"/>
        <v>2.3237740400656924E-2</v>
      </c>
      <c r="X254" s="113">
        <f t="shared" si="107"/>
        <v>-2.3237740400656924E-2</v>
      </c>
      <c r="Y254" s="32"/>
      <c r="Z254" s="32"/>
      <c r="AA254" s="32"/>
      <c r="AB254" s="32"/>
      <c r="AC254" s="32"/>
      <c r="AD254" s="32"/>
      <c r="AE254" s="32"/>
      <c r="AG254" s="26">
        <f t="shared" si="94"/>
        <v>0</v>
      </c>
      <c r="AH254" s="27">
        <f t="shared" si="95"/>
        <v>5.8248377126821758E-2</v>
      </c>
      <c r="AI254" s="28">
        <f t="shared" si="108"/>
        <v>2.3237740400656924E-2</v>
      </c>
      <c r="AJ254" s="27">
        <f t="shared" si="96"/>
        <v>2.3237740400656924E-2</v>
      </c>
      <c r="AK254" s="28">
        <f t="shared" si="97"/>
        <v>2.3473662595367268E-3</v>
      </c>
      <c r="AL254" s="27">
        <f t="shared" si="98"/>
        <v>2.3237740400656924E-2</v>
      </c>
      <c r="AM254" s="28">
        <f t="shared" si="109"/>
        <v>2.6558345460906185E-2</v>
      </c>
      <c r="AN254" s="27">
        <f t="shared" si="110"/>
        <v>-2.3237740400656924E-2</v>
      </c>
      <c r="AO254" s="28">
        <f t="shared" si="99"/>
        <v>-2.3237740400656924E-2</v>
      </c>
      <c r="AP254" s="27">
        <f t="shared" si="100"/>
        <v>-2.3473662595367268E-3</v>
      </c>
      <c r="AQ254" s="29">
        <f t="shared" si="101"/>
        <v>-2.3237740400656924E-2</v>
      </c>
      <c r="AS254" s="30">
        <f t="shared" si="102"/>
        <v>0.88905160214082746</v>
      </c>
      <c r="AT254" s="21">
        <f t="shared" si="103"/>
        <v>2.9419873185347853</v>
      </c>
      <c r="AU254" s="31">
        <f t="shared" ca="1" si="111"/>
        <v>5.8015863610572094E-4</v>
      </c>
      <c r="AV254" s="109">
        <f t="shared" ca="1" si="112"/>
        <v>5.8238476277694406E-4</v>
      </c>
      <c r="AW254" s="27" t="e">
        <f t="shared" ca="1" si="113"/>
        <v>#VALUE!</v>
      </c>
      <c r="AX254" s="29" t="e">
        <f t="shared" ca="1" si="114"/>
        <v>#VALUE!</v>
      </c>
      <c r="AY254" s="72"/>
    </row>
    <row r="255" spans="13:51" s="11" customFormat="1" ht="15.6" customHeight="1" x14ac:dyDescent="0.3">
      <c r="M255" s="20">
        <f t="shared" si="115"/>
        <v>225</v>
      </c>
      <c r="N255" s="21">
        <f t="shared" si="116"/>
        <v>3.9375000000000111</v>
      </c>
      <c r="O255" s="22">
        <f t="shared" ca="1" si="88"/>
        <v>173.16718514986962</v>
      </c>
      <c r="P255" s="23">
        <f t="shared" ca="1" si="89"/>
        <v>-1</v>
      </c>
      <c r="Q255" s="22" t="e">
        <f t="shared" ca="1" si="90"/>
        <v>#VALUE!</v>
      </c>
      <c r="R255" s="23">
        <f t="shared" ca="1" si="91"/>
        <v>-1</v>
      </c>
      <c r="S255" s="24" t="e">
        <f t="shared" ca="1" si="92"/>
        <v>#VALUE!</v>
      </c>
      <c r="T255" s="23">
        <f t="shared" ca="1" si="93"/>
        <v>-1</v>
      </c>
      <c r="U255" s="112">
        <f t="shared" si="104"/>
        <v>2.3163211803189063E-2</v>
      </c>
      <c r="V255" s="109">
        <f t="shared" si="105"/>
        <v>-2.3163211803189063E-2</v>
      </c>
      <c r="W255" s="112">
        <f t="shared" si="106"/>
        <v>2.3163211803189063E-2</v>
      </c>
      <c r="X255" s="113">
        <f t="shared" si="107"/>
        <v>-2.3163211803189063E-2</v>
      </c>
      <c r="Y255" s="32"/>
      <c r="Z255" s="32"/>
      <c r="AA255" s="32"/>
      <c r="AB255" s="32"/>
      <c r="AC255" s="32"/>
      <c r="AD255" s="32"/>
      <c r="AE255" s="32"/>
      <c r="AG255" s="26">
        <f t="shared" si="94"/>
        <v>0</v>
      </c>
      <c r="AH255" s="27">
        <f t="shared" si="95"/>
        <v>5.8061561637140227E-2</v>
      </c>
      <c r="AI255" s="28">
        <f t="shared" si="108"/>
        <v>2.3163211803189063E-2</v>
      </c>
      <c r="AJ255" s="27">
        <f t="shared" si="96"/>
        <v>2.3163211803189063E-2</v>
      </c>
      <c r="AK255" s="28">
        <f t="shared" si="97"/>
        <v>2.3346323046382544E-3</v>
      </c>
      <c r="AL255" s="27">
        <f t="shared" si="98"/>
        <v>2.3163211803189063E-2</v>
      </c>
      <c r="AM255" s="28">
        <f t="shared" si="109"/>
        <v>2.6558345460906185E-2</v>
      </c>
      <c r="AN255" s="27">
        <f t="shared" si="110"/>
        <v>-2.3163211803189063E-2</v>
      </c>
      <c r="AO255" s="28">
        <f t="shared" si="99"/>
        <v>-2.3163211803189063E-2</v>
      </c>
      <c r="AP255" s="27">
        <f t="shared" si="100"/>
        <v>-2.3346323046382544E-3</v>
      </c>
      <c r="AQ255" s="29">
        <f t="shared" si="101"/>
        <v>-2.3163211803189063E-2</v>
      </c>
      <c r="AS255" s="30">
        <f t="shared" si="102"/>
        <v>0.88858497255068891</v>
      </c>
      <c r="AT255" s="21">
        <f t="shared" si="103"/>
        <v>2.9260276728365917</v>
      </c>
      <c r="AU255" s="31">
        <f t="shared" ca="1" si="111"/>
        <v>5.804143163314901E-4</v>
      </c>
      <c r="AV255" s="109">
        <f t="shared" ca="1" si="112"/>
        <v>5.8263688562620874E-4</v>
      </c>
      <c r="AW255" s="27" t="e">
        <f t="shared" ca="1" si="113"/>
        <v>#VALUE!</v>
      </c>
      <c r="AX255" s="29" t="e">
        <f t="shared" ca="1" si="114"/>
        <v>#VALUE!</v>
      </c>
      <c r="AY255" s="72"/>
    </row>
    <row r="256" spans="13:51" s="11" customFormat="1" ht="15.6" customHeight="1" x14ac:dyDescent="0.3">
      <c r="M256" s="20">
        <f t="shared" si="115"/>
        <v>226</v>
      </c>
      <c r="N256" s="21">
        <f t="shared" si="116"/>
        <v>3.9550000000000112</v>
      </c>
      <c r="O256" s="22">
        <f t="shared" ca="1" si="88"/>
        <v>173.38820795835315</v>
      </c>
      <c r="P256" s="23">
        <f t="shared" ca="1" si="89"/>
        <v>-1</v>
      </c>
      <c r="Q256" s="22" t="e">
        <f t="shared" ca="1" si="90"/>
        <v>#VALUE!</v>
      </c>
      <c r="R256" s="23">
        <f t="shared" ca="1" si="91"/>
        <v>-1</v>
      </c>
      <c r="S256" s="24" t="e">
        <f t="shared" ca="1" si="92"/>
        <v>#VALUE!</v>
      </c>
      <c r="T256" s="23">
        <f t="shared" ca="1" si="93"/>
        <v>-1</v>
      </c>
      <c r="U256" s="112">
        <f t="shared" si="104"/>
        <v>2.3087940809163376E-2</v>
      </c>
      <c r="V256" s="109">
        <f t="shared" si="105"/>
        <v>-2.3087940809163376E-2</v>
      </c>
      <c r="W256" s="112">
        <f t="shared" si="106"/>
        <v>2.3087940809163376E-2</v>
      </c>
      <c r="X256" s="113">
        <f t="shared" si="107"/>
        <v>-2.3087940809163376E-2</v>
      </c>
      <c r="Y256" s="32"/>
      <c r="Z256" s="32"/>
      <c r="AA256" s="32"/>
      <c r="AB256" s="32"/>
      <c r="AC256" s="32"/>
      <c r="AD256" s="32"/>
      <c r="AE256" s="32"/>
      <c r="AG256" s="26">
        <f t="shared" si="94"/>
        <v>0</v>
      </c>
      <c r="AH256" s="27">
        <f t="shared" si="95"/>
        <v>5.7872885235255855E-2</v>
      </c>
      <c r="AI256" s="28">
        <f t="shared" si="108"/>
        <v>2.3087940809163376E-2</v>
      </c>
      <c r="AJ256" s="27">
        <f t="shared" si="96"/>
        <v>2.3087940809163376E-2</v>
      </c>
      <c r="AK256" s="28">
        <f t="shared" si="97"/>
        <v>2.3218916626582568E-3</v>
      </c>
      <c r="AL256" s="27">
        <f t="shared" si="98"/>
        <v>2.3087940809163376E-2</v>
      </c>
      <c r="AM256" s="28">
        <f t="shared" si="109"/>
        <v>2.6558345460906185E-2</v>
      </c>
      <c r="AN256" s="27">
        <f t="shared" si="110"/>
        <v>-2.3087940809163376E-2</v>
      </c>
      <c r="AO256" s="28">
        <f t="shared" si="99"/>
        <v>-2.3087940809163376E-2</v>
      </c>
      <c r="AP256" s="27">
        <f t="shared" si="100"/>
        <v>-2.3218916626582568E-3</v>
      </c>
      <c r="AQ256" s="29">
        <f t="shared" si="101"/>
        <v>-2.3087940809163376E-2</v>
      </c>
      <c r="AS256" s="30">
        <f t="shared" si="102"/>
        <v>0.88811858787678899</v>
      </c>
      <c r="AT256" s="21">
        <f t="shared" si="103"/>
        <v>2.9100596461245853</v>
      </c>
      <c r="AU256" s="31">
        <f t="shared" ca="1" si="111"/>
        <v>5.8066696698122477E-4</v>
      </c>
      <c r="AV256" s="109">
        <f t="shared" ca="1" si="112"/>
        <v>5.828859786747298E-4</v>
      </c>
      <c r="AW256" s="27" t="e">
        <f t="shared" ca="1" si="113"/>
        <v>#VALUE!</v>
      </c>
      <c r="AX256" s="29" t="e">
        <f t="shared" ca="1" si="114"/>
        <v>#VALUE!</v>
      </c>
      <c r="AY256" s="72"/>
    </row>
    <row r="257" spans="13:51" s="11" customFormat="1" ht="15.6" customHeight="1" x14ac:dyDescent="0.3">
      <c r="M257" s="20">
        <f t="shared" si="115"/>
        <v>227</v>
      </c>
      <c r="N257" s="21">
        <f t="shared" si="116"/>
        <v>3.9725000000000112</v>
      </c>
      <c r="O257" s="22">
        <f t="shared" ca="1" si="88"/>
        <v>173.60834660087468</v>
      </c>
      <c r="P257" s="23">
        <f t="shared" ca="1" si="89"/>
        <v>-1</v>
      </c>
      <c r="Q257" s="22" t="e">
        <f t="shared" ca="1" si="90"/>
        <v>#VALUE!</v>
      </c>
      <c r="R257" s="23">
        <f t="shared" ca="1" si="91"/>
        <v>-1</v>
      </c>
      <c r="S257" s="24" t="e">
        <f t="shared" ca="1" si="92"/>
        <v>#VALUE!</v>
      </c>
      <c r="T257" s="23">
        <f t="shared" ca="1" si="93"/>
        <v>-1</v>
      </c>
      <c r="U257" s="112">
        <f t="shared" si="104"/>
        <v>2.301192956456747E-2</v>
      </c>
      <c r="V257" s="109">
        <f t="shared" si="105"/>
        <v>-2.301192956456747E-2</v>
      </c>
      <c r="W257" s="112">
        <f t="shared" si="106"/>
        <v>2.301192956456747E-2</v>
      </c>
      <c r="X257" s="113">
        <f t="shared" si="107"/>
        <v>-2.301192956456747E-2</v>
      </c>
      <c r="Y257" s="32"/>
      <c r="Z257" s="32"/>
      <c r="AA257" s="32"/>
      <c r="AB257" s="32"/>
      <c r="AC257" s="32"/>
      <c r="AD257" s="32"/>
      <c r="AE257" s="32"/>
      <c r="AG257" s="26">
        <f t="shared" si="94"/>
        <v>0</v>
      </c>
      <c r="AH257" s="27">
        <f t="shared" si="95"/>
        <v>5.7682353300361859E-2</v>
      </c>
      <c r="AI257" s="28">
        <f t="shared" si="108"/>
        <v>2.301192956456747E-2</v>
      </c>
      <c r="AJ257" s="27">
        <f t="shared" si="96"/>
        <v>2.301192956456747E-2</v>
      </c>
      <c r="AK257" s="28">
        <f t="shared" si="97"/>
        <v>2.3091443300850925E-3</v>
      </c>
      <c r="AL257" s="27">
        <f t="shared" si="98"/>
        <v>2.301192956456747E-2</v>
      </c>
      <c r="AM257" s="28">
        <f t="shared" si="109"/>
        <v>2.6558345460906185E-2</v>
      </c>
      <c r="AN257" s="27">
        <f t="shared" si="110"/>
        <v>-2.301192956456747E-2</v>
      </c>
      <c r="AO257" s="28">
        <f t="shared" si="99"/>
        <v>-2.301192956456747E-2</v>
      </c>
      <c r="AP257" s="27">
        <f t="shared" si="100"/>
        <v>-2.3091443300850929E-3</v>
      </c>
      <c r="AQ257" s="29">
        <f t="shared" si="101"/>
        <v>-2.301192956456747E-2</v>
      </c>
      <c r="AS257" s="30">
        <f t="shared" si="102"/>
        <v>0.88765244799058041</v>
      </c>
      <c r="AT257" s="21">
        <f t="shared" si="103"/>
        <v>2.8940832339975762</v>
      </c>
      <c r="AU257" s="31">
        <f t="shared" ca="1" si="111"/>
        <v>5.8091668978832445E-4</v>
      </c>
      <c r="AV257" s="109">
        <f t="shared" ca="1" si="112"/>
        <v>5.8313214362415433E-4</v>
      </c>
      <c r="AW257" s="27" t="e">
        <f t="shared" ca="1" si="113"/>
        <v>#VALUE!</v>
      </c>
      <c r="AX257" s="29" t="e">
        <f t="shared" ca="1" si="114"/>
        <v>#VALUE!</v>
      </c>
      <c r="AY257" s="72"/>
    </row>
    <row r="258" spans="13:51" s="11" customFormat="1" ht="15.6" customHeight="1" x14ac:dyDescent="0.3">
      <c r="M258" s="20">
        <f t="shared" si="115"/>
        <v>228</v>
      </c>
      <c r="N258" s="21">
        <f t="shared" si="116"/>
        <v>3.9900000000000113</v>
      </c>
      <c r="O258" s="22">
        <f t="shared" ca="1" si="88"/>
        <v>173.82758662047436</v>
      </c>
      <c r="P258" s="23">
        <f t="shared" ca="1" si="89"/>
        <v>-1</v>
      </c>
      <c r="Q258" s="22" t="e">
        <f t="shared" ca="1" si="90"/>
        <v>#VALUE!</v>
      </c>
      <c r="R258" s="23">
        <f t="shared" ca="1" si="91"/>
        <v>-1</v>
      </c>
      <c r="S258" s="24" t="e">
        <f t="shared" ca="1" si="92"/>
        <v>#VALUE!</v>
      </c>
      <c r="T258" s="23">
        <f t="shared" ca="1" si="93"/>
        <v>-1</v>
      </c>
      <c r="U258" s="112">
        <f t="shared" si="104"/>
        <v>2.2935180192250198E-2</v>
      </c>
      <c r="V258" s="109">
        <f t="shared" si="105"/>
        <v>-2.2935180192250198E-2</v>
      </c>
      <c r="W258" s="112">
        <f t="shared" si="106"/>
        <v>2.2935180192250198E-2</v>
      </c>
      <c r="X258" s="113">
        <f t="shared" si="107"/>
        <v>-2.2935180192250198E-2</v>
      </c>
      <c r="Y258" s="32"/>
      <c r="Z258" s="32"/>
      <c r="AA258" s="32"/>
      <c r="AB258" s="32"/>
      <c r="AC258" s="32"/>
      <c r="AD258" s="32"/>
      <c r="AE258" s="32"/>
      <c r="AG258" s="26">
        <f t="shared" si="94"/>
        <v>0</v>
      </c>
      <c r="AH258" s="27">
        <f t="shared" si="95"/>
        <v>5.7489971153651211E-2</v>
      </c>
      <c r="AI258" s="28">
        <f t="shared" si="108"/>
        <v>2.2935180192250198E-2</v>
      </c>
      <c r="AJ258" s="27">
        <f t="shared" si="96"/>
        <v>2.2935180192250198E-2</v>
      </c>
      <c r="AK258" s="28">
        <f t="shared" si="97"/>
        <v>2.2963903034052767E-3</v>
      </c>
      <c r="AL258" s="27">
        <f t="shared" si="98"/>
        <v>2.2935180192250198E-2</v>
      </c>
      <c r="AM258" s="28">
        <f t="shared" si="109"/>
        <v>2.6558345460906185E-2</v>
      </c>
      <c r="AN258" s="27">
        <f t="shared" si="110"/>
        <v>-2.2935180192250198E-2</v>
      </c>
      <c r="AO258" s="28">
        <f t="shared" si="99"/>
        <v>-2.2935180192250198E-2</v>
      </c>
      <c r="AP258" s="27">
        <f t="shared" si="100"/>
        <v>-2.2963903034052767E-3</v>
      </c>
      <c r="AQ258" s="29">
        <f t="shared" si="101"/>
        <v>-2.2935180192250198E-2</v>
      </c>
      <c r="AS258" s="30">
        <f t="shared" si="102"/>
        <v>0.88718655276358349</v>
      </c>
      <c r="AT258" s="21">
        <f t="shared" si="103"/>
        <v>2.8780984320520639</v>
      </c>
      <c r="AU258" s="31">
        <f t="shared" ca="1" si="111"/>
        <v>5.8114997611258268E-4</v>
      </c>
      <c r="AV258" s="109">
        <f t="shared" ca="1" si="112"/>
        <v>5.8336188084850971E-4</v>
      </c>
      <c r="AW258" s="27" t="e">
        <f t="shared" ca="1" si="113"/>
        <v>#VALUE!</v>
      </c>
      <c r="AX258" s="29" t="e">
        <f t="shared" ca="1" si="114"/>
        <v>#VALUE!</v>
      </c>
      <c r="AY258" s="72"/>
    </row>
    <row r="259" spans="13:51" s="11" customFormat="1" ht="15.6" customHeight="1" x14ac:dyDescent="0.3">
      <c r="M259" s="20">
        <f t="shared" si="115"/>
        <v>229</v>
      </c>
      <c r="N259" s="21">
        <f t="shared" si="116"/>
        <v>4.0075000000000109</v>
      </c>
      <c r="O259" s="22">
        <f t="shared" ca="1" si="88"/>
        <v>174.04593653373252</v>
      </c>
      <c r="P259" s="23">
        <f t="shared" ca="1" si="89"/>
        <v>-1</v>
      </c>
      <c r="Q259" s="22" t="e">
        <f t="shared" ca="1" si="90"/>
        <v>#VALUE!</v>
      </c>
      <c r="R259" s="23">
        <f t="shared" ca="1" si="91"/>
        <v>-1</v>
      </c>
      <c r="S259" s="24" t="e">
        <f t="shared" ca="1" si="92"/>
        <v>#VALUE!</v>
      </c>
      <c r="T259" s="23">
        <f t="shared" ca="1" si="93"/>
        <v>-1</v>
      </c>
      <c r="U259" s="112">
        <f t="shared" si="104"/>
        <v>2.2857694792254652E-2</v>
      </c>
      <c r="V259" s="109">
        <f t="shared" si="105"/>
        <v>-2.2857694792254652E-2</v>
      </c>
      <c r="W259" s="112">
        <f t="shared" si="106"/>
        <v>2.2857694792254652E-2</v>
      </c>
      <c r="X259" s="113">
        <f t="shared" si="107"/>
        <v>-2.2857694792254652E-2</v>
      </c>
      <c r="Y259" s="32"/>
      <c r="Z259" s="32"/>
      <c r="AA259" s="32"/>
      <c r="AB259" s="32"/>
      <c r="AC259" s="32"/>
      <c r="AD259" s="32"/>
      <c r="AE259" s="32"/>
      <c r="AG259" s="26">
        <f t="shared" si="94"/>
        <v>0</v>
      </c>
      <c r="AH259" s="27">
        <f t="shared" si="95"/>
        <v>5.7295744059151277E-2</v>
      </c>
      <c r="AI259" s="28">
        <f t="shared" si="108"/>
        <v>2.2857694792254652E-2</v>
      </c>
      <c r="AJ259" s="27">
        <f t="shared" si="96"/>
        <v>2.2857694792254652E-2</v>
      </c>
      <c r="AK259" s="28">
        <f t="shared" si="97"/>
        <v>2.2836295791034823E-3</v>
      </c>
      <c r="AL259" s="27">
        <f t="shared" si="98"/>
        <v>2.2857694792254652E-2</v>
      </c>
      <c r="AM259" s="28">
        <f t="shared" si="109"/>
        <v>2.6558345460906185E-2</v>
      </c>
      <c r="AN259" s="27">
        <f t="shared" si="110"/>
        <v>-2.2857694792254652E-2</v>
      </c>
      <c r="AO259" s="28">
        <f t="shared" si="99"/>
        <v>-2.2857694792254652E-2</v>
      </c>
      <c r="AP259" s="27">
        <f t="shared" si="100"/>
        <v>-2.2836295791034823E-3</v>
      </c>
      <c r="AQ259" s="29">
        <f t="shared" si="101"/>
        <v>-2.2857694792254652E-2</v>
      </c>
      <c r="AS259" s="30">
        <f t="shared" si="102"/>
        <v>0.88672090206738574</v>
      </c>
      <c r="AT259" s="21">
        <f t="shared" si="103"/>
        <v>2.8621052358822396</v>
      </c>
      <c r="AU259" s="31">
        <f t="shared" ca="1" si="111"/>
        <v>5.8138037668931108E-4</v>
      </c>
      <c r="AV259" s="109">
        <f t="shared" ca="1" si="112"/>
        <v>5.8358873222708052E-4</v>
      </c>
      <c r="AW259" s="27" t="e">
        <f t="shared" ca="1" si="113"/>
        <v>#VALUE!</v>
      </c>
      <c r="AX259" s="29" t="e">
        <f t="shared" ca="1" si="114"/>
        <v>#VALUE!</v>
      </c>
      <c r="AY259" s="72"/>
    </row>
    <row r="260" spans="13:51" s="11" customFormat="1" ht="15.6" customHeight="1" x14ac:dyDescent="0.3">
      <c r="M260" s="20">
        <f t="shared" si="115"/>
        <v>230</v>
      </c>
      <c r="N260" s="21">
        <f t="shared" si="116"/>
        <v>4.025000000000011</v>
      </c>
      <c r="O260" s="22">
        <f t="shared" ca="1" si="88"/>
        <v>174.26339717715172</v>
      </c>
      <c r="P260" s="23">
        <f t="shared" ca="1" si="89"/>
        <v>-1</v>
      </c>
      <c r="Q260" s="22" t="e">
        <f t="shared" ca="1" si="90"/>
        <v>#VALUE!</v>
      </c>
      <c r="R260" s="23">
        <f t="shared" ca="1" si="91"/>
        <v>-1</v>
      </c>
      <c r="S260" s="24" t="e">
        <f t="shared" ca="1" si="92"/>
        <v>#VALUE!</v>
      </c>
      <c r="T260" s="23">
        <f t="shared" ca="1" si="93"/>
        <v>-1</v>
      </c>
      <c r="U260" s="112">
        <f t="shared" si="104"/>
        <v>2.2779475442144655E-2</v>
      </c>
      <c r="V260" s="109">
        <f t="shared" si="105"/>
        <v>-2.2779475442144655E-2</v>
      </c>
      <c r="W260" s="112">
        <f t="shared" si="106"/>
        <v>2.2779475442144655E-2</v>
      </c>
      <c r="X260" s="113">
        <f t="shared" si="107"/>
        <v>-2.2779475442144655E-2</v>
      </c>
      <c r="Y260" s="32"/>
      <c r="Z260" s="32"/>
      <c r="AA260" s="32"/>
      <c r="AB260" s="32"/>
      <c r="AC260" s="32"/>
      <c r="AD260" s="32"/>
      <c r="AE260" s="32"/>
      <c r="AG260" s="26">
        <f t="shared" si="94"/>
        <v>0</v>
      </c>
      <c r="AH260" s="27">
        <f t="shared" si="95"/>
        <v>5.7099677224542296E-2</v>
      </c>
      <c r="AI260" s="28">
        <f t="shared" si="108"/>
        <v>2.2779475442144655E-2</v>
      </c>
      <c r="AJ260" s="27">
        <f t="shared" si="96"/>
        <v>2.2779475442144655E-2</v>
      </c>
      <c r="AK260" s="28">
        <f t="shared" si="97"/>
        <v>2.2708621536625343E-3</v>
      </c>
      <c r="AL260" s="27">
        <f t="shared" si="98"/>
        <v>2.2779475442144655E-2</v>
      </c>
      <c r="AM260" s="28">
        <f t="shared" si="109"/>
        <v>2.6558345460906185E-2</v>
      </c>
      <c r="AN260" s="27">
        <f t="shared" si="110"/>
        <v>-2.2779475442144655E-2</v>
      </c>
      <c r="AO260" s="28">
        <f t="shared" si="99"/>
        <v>-2.2779475442144655E-2</v>
      </c>
      <c r="AP260" s="27">
        <f t="shared" si="100"/>
        <v>-2.2708621536625343E-3</v>
      </c>
      <c r="AQ260" s="29">
        <f t="shared" si="101"/>
        <v>-2.2779475442144655E-2</v>
      </c>
      <c r="AS260" s="30">
        <f t="shared" si="102"/>
        <v>0.88625549577364227</v>
      </c>
      <c r="AT260" s="21">
        <f t="shared" si="103"/>
        <v>2.8461036410799778</v>
      </c>
      <c r="AU260" s="31">
        <f t="shared" ca="1" si="111"/>
        <v>5.8160340147683787E-4</v>
      </c>
      <c r="AV260" s="109">
        <f t="shared" ca="1" si="112"/>
        <v>5.8380821076298162E-4</v>
      </c>
      <c r="AW260" s="27" t="e">
        <f t="shared" ca="1" si="113"/>
        <v>#VALUE!</v>
      </c>
      <c r="AX260" s="29" t="e">
        <f t="shared" ca="1" si="114"/>
        <v>#VALUE!</v>
      </c>
      <c r="AY260" s="72"/>
    </row>
    <row r="261" spans="13:51" s="11" customFormat="1" ht="15.6" customHeight="1" x14ac:dyDescent="0.3">
      <c r="M261" s="20">
        <f t="shared" si="115"/>
        <v>231</v>
      </c>
      <c r="N261" s="21">
        <f t="shared" si="116"/>
        <v>4.0425000000000111</v>
      </c>
      <c r="O261" s="22">
        <f t="shared" ca="1" si="88"/>
        <v>174.47996938089173</v>
      </c>
      <c r="P261" s="23">
        <f t="shared" ca="1" si="89"/>
        <v>-1</v>
      </c>
      <c r="Q261" s="22" t="e">
        <f t="shared" ca="1" si="90"/>
        <v>#VALUE!</v>
      </c>
      <c r="R261" s="23">
        <f t="shared" ca="1" si="91"/>
        <v>-1</v>
      </c>
      <c r="S261" s="24" t="e">
        <f t="shared" ca="1" si="92"/>
        <v>#VALUE!</v>
      </c>
      <c r="T261" s="23">
        <f t="shared" ca="1" si="93"/>
        <v>-1</v>
      </c>
      <c r="U261" s="112">
        <f t="shared" si="104"/>
        <v>2.270052419732526E-2</v>
      </c>
      <c r="V261" s="109">
        <f t="shared" si="105"/>
        <v>-2.270052419732526E-2</v>
      </c>
      <c r="W261" s="112">
        <f t="shared" si="106"/>
        <v>2.270052419732526E-2</v>
      </c>
      <c r="X261" s="113">
        <f t="shared" si="107"/>
        <v>-2.270052419732526E-2</v>
      </c>
      <c r="Y261" s="32"/>
      <c r="Z261" s="32"/>
      <c r="AA261" s="32"/>
      <c r="AB261" s="32"/>
      <c r="AC261" s="32"/>
      <c r="AD261" s="32"/>
      <c r="AE261" s="32"/>
      <c r="AG261" s="26">
        <f t="shared" si="94"/>
        <v>0</v>
      </c>
      <c r="AH261" s="27">
        <f t="shared" si="95"/>
        <v>5.6901775801960694E-2</v>
      </c>
      <c r="AI261" s="28">
        <f t="shared" si="108"/>
        <v>2.270052419732526E-2</v>
      </c>
      <c r="AJ261" s="27">
        <f t="shared" si="96"/>
        <v>2.270052419732526E-2</v>
      </c>
      <c r="AK261" s="28">
        <f t="shared" si="97"/>
        <v>2.2580880235634143E-3</v>
      </c>
      <c r="AL261" s="27">
        <f t="shared" si="98"/>
        <v>2.270052419732526E-2</v>
      </c>
      <c r="AM261" s="28">
        <f t="shared" si="109"/>
        <v>2.6558345460906185E-2</v>
      </c>
      <c r="AN261" s="27">
        <f t="shared" si="110"/>
        <v>-2.270052419732526E-2</v>
      </c>
      <c r="AO261" s="28">
        <f t="shared" si="99"/>
        <v>-2.270052419732526E-2</v>
      </c>
      <c r="AP261" s="27">
        <f t="shared" si="100"/>
        <v>-2.2580880235634143E-3</v>
      </c>
      <c r="AQ261" s="29">
        <f t="shared" si="101"/>
        <v>-2.270052419732526E-2</v>
      </c>
      <c r="AS261" s="30">
        <f t="shared" si="102"/>
        <v>0.88579033375407545</v>
      </c>
      <c r="AT261" s="21">
        <f t="shared" si="103"/>
        <v>2.8300936432348434</v>
      </c>
      <c r="AU261" s="31">
        <f t="shared" ca="1" si="111"/>
        <v>5.8181907231924512E-4</v>
      </c>
      <c r="AV261" s="109">
        <f t="shared" ca="1" si="112"/>
        <v>5.8402033837123835E-4</v>
      </c>
      <c r="AW261" s="27" t="e">
        <f t="shared" ca="1" si="113"/>
        <v>#VALUE!</v>
      </c>
      <c r="AX261" s="29" t="e">
        <f t="shared" ca="1" si="114"/>
        <v>#VALUE!</v>
      </c>
      <c r="AY261" s="72"/>
    </row>
    <row r="262" spans="13:51" s="11" customFormat="1" ht="15.6" customHeight="1" x14ac:dyDescent="0.3">
      <c r="M262" s="20">
        <f t="shared" si="115"/>
        <v>232</v>
      </c>
      <c r="N262" s="21">
        <f t="shared" si="116"/>
        <v>4.0600000000000112</v>
      </c>
      <c r="O262" s="22">
        <f t="shared" ca="1" si="88"/>
        <v>174.69565403063729</v>
      </c>
      <c r="P262" s="23">
        <f t="shared" ca="1" si="89"/>
        <v>-1</v>
      </c>
      <c r="Q262" s="22" t="e">
        <f t="shared" ca="1" si="90"/>
        <v>#VALUE!</v>
      </c>
      <c r="R262" s="23">
        <f t="shared" ca="1" si="91"/>
        <v>-1</v>
      </c>
      <c r="S262" s="24" t="e">
        <f t="shared" ca="1" si="92"/>
        <v>#VALUE!</v>
      </c>
      <c r="T262" s="23">
        <f t="shared" ca="1" si="93"/>
        <v>-1</v>
      </c>
      <c r="U262" s="112">
        <f t="shared" si="104"/>
        <v>2.2620843091357059E-2</v>
      </c>
      <c r="V262" s="109">
        <f t="shared" si="105"/>
        <v>-2.2620843091357059E-2</v>
      </c>
      <c r="W262" s="112">
        <f t="shared" si="106"/>
        <v>2.2620843091357059E-2</v>
      </c>
      <c r="X262" s="113">
        <f t="shared" si="107"/>
        <v>-2.2620843091357059E-2</v>
      </c>
      <c r="Y262" s="32"/>
      <c r="Z262" s="32"/>
      <c r="AA262" s="32"/>
      <c r="AB262" s="32"/>
      <c r="AC262" s="32"/>
      <c r="AD262" s="32"/>
      <c r="AE262" s="32"/>
      <c r="AG262" s="26">
        <f t="shared" si="94"/>
        <v>0</v>
      </c>
      <c r="AH262" s="27">
        <f t="shared" si="95"/>
        <v>5.6702044888786933E-2</v>
      </c>
      <c r="AI262" s="28">
        <f t="shared" si="108"/>
        <v>2.2620843091357059E-2</v>
      </c>
      <c r="AJ262" s="27">
        <f t="shared" si="96"/>
        <v>2.2620843091357059E-2</v>
      </c>
      <c r="AK262" s="28">
        <f t="shared" si="97"/>
        <v>2.2453071852852444E-3</v>
      </c>
      <c r="AL262" s="27">
        <f t="shared" si="98"/>
        <v>2.2620843091357059E-2</v>
      </c>
      <c r="AM262" s="28">
        <f t="shared" si="109"/>
        <v>2.6558345460906185E-2</v>
      </c>
      <c r="AN262" s="27">
        <f t="shared" si="110"/>
        <v>-2.2620843091357059E-2</v>
      </c>
      <c r="AO262" s="28">
        <f t="shared" si="99"/>
        <v>-2.2620843091357059E-2</v>
      </c>
      <c r="AP262" s="27">
        <f t="shared" si="100"/>
        <v>-2.2453071852852448E-3</v>
      </c>
      <c r="AQ262" s="29">
        <f t="shared" si="101"/>
        <v>-2.2620843091357059E-2</v>
      </c>
      <c r="AS262" s="30">
        <f t="shared" si="102"/>
        <v>0.88532541588047498</v>
      </c>
      <c r="AT262" s="21">
        <f t="shared" si="103"/>
        <v>2.8140752379340701</v>
      </c>
      <c r="AU262" s="31">
        <f t="shared" ca="1" si="111"/>
        <v>5.8202744817714702E-4</v>
      </c>
      <c r="AV262" s="109">
        <f t="shared" ca="1" si="112"/>
        <v>5.842251740588722E-4</v>
      </c>
      <c r="AW262" s="27" t="e">
        <f t="shared" ca="1" si="113"/>
        <v>#VALUE!</v>
      </c>
      <c r="AX262" s="29" t="e">
        <f t="shared" ca="1" si="114"/>
        <v>#VALUE!</v>
      </c>
      <c r="AY262" s="72"/>
    </row>
    <row r="263" spans="13:51" s="11" customFormat="1" ht="15.6" customHeight="1" x14ac:dyDescent="0.3">
      <c r="M263" s="20">
        <f t="shared" si="115"/>
        <v>233</v>
      </c>
      <c r="N263" s="21">
        <f t="shared" si="116"/>
        <v>4.0775000000000112</v>
      </c>
      <c r="O263" s="22">
        <f t="shared" ca="1" si="88"/>
        <v>174.91045958748643</v>
      </c>
      <c r="P263" s="23">
        <f t="shared" ca="1" si="89"/>
        <v>-1</v>
      </c>
      <c r="Q263" s="22" t="e">
        <f t="shared" ca="1" si="90"/>
        <v>#VALUE!</v>
      </c>
      <c r="R263" s="23">
        <f t="shared" ca="1" si="91"/>
        <v>-1</v>
      </c>
      <c r="S263" s="24" t="e">
        <f t="shared" ca="1" si="92"/>
        <v>#VALUE!</v>
      </c>
      <c r="T263" s="23">
        <f t="shared" ca="1" si="93"/>
        <v>-1</v>
      </c>
      <c r="U263" s="112">
        <f t="shared" si="104"/>
        <v>2.2540434136264994E-2</v>
      </c>
      <c r="V263" s="109">
        <f t="shared" si="105"/>
        <v>-2.2540434136264994E-2</v>
      </c>
      <c r="W263" s="112">
        <f t="shared" si="106"/>
        <v>2.2540434136264994E-2</v>
      </c>
      <c r="X263" s="113">
        <f t="shared" si="107"/>
        <v>-2.2540434136264994E-2</v>
      </c>
      <c r="Y263" s="32"/>
      <c r="Z263" s="32"/>
      <c r="AA263" s="32"/>
      <c r="AB263" s="32"/>
      <c r="AC263" s="32"/>
      <c r="AD263" s="32"/>
      <c r="AE263" s="32"/>
      <c r="AG263" s="26">
        <f t="shared" si="94"/>
        <v>0</v>
      </c>
      <c r="AH263" s="27">
        <f t="shared" si="95"/>
        <v>5.6500489528419628E-2</v>
      </c>
      <c r="AI263" s="28">
        <f t="shared" si="108"/>
        <v>2.2540434136264994E-2</v>
      </c>
      <c r="AJ263" s="27">
        <f t="shared" si="96"/>
        <v>2.2540434136264994E-2</v>
      </c>
      <c r="AK263" s="28">
        <f t="shared" si="97"/>
        <v>2.2325196353053154E-3</v>
      </c>
      <c r="AL263" s="27">
        <f t="shared" si="98"/>
        <v>2.2540434136264994E-2</v>
      </c>
      <c r="AM263" s="28">
        <f t="shared" si="109"/>
        <v>2.6558345460906185E-2</v>
      </c>
      <c r="AN263" s="27">
        <f t="shared" si="110"/>
        <v>-2.2540434136264994E-2</v>
      </c>
      <c r="AO263" s="28">
        <f t="shared" si="99"/>
        <v>-2.2540434136264994E-2</v>
      </c>
      <c r="AP263" s="27">
        <f t="shared" si="100"/>
        <v>-2.2325196353053154E-3</v>
      </c>
      <c r="AQ263" s="29">
        <f t="shared" si="101"/>
        <v>-2.2540434136264994E-2</v>
      </c>
      <c r="AS263" s="30">
        <f t="shared" si="102"/>
        <v>0.88486074202469778</v>
      </c>
      <c r="AT263" s="21">
        <f t="shared" si="103"/>
        <v>2.7980484207625964</v>
      </c>
      <c r="AU263" s="31">
        <f t="shared" ca="1" si="111"/>
        <v>5.8223312626193291E-4</v>
      </c>
      <c r="AV263" s="109">
        <f t="shared" ca="1" si="112"/>
        <v>5.8442731199892517E-4</v>
      </c>
      <c r="AW263" s="27" t="e">
        <f t="shared" ca="1" si="113"/>
        <v>#VALUE!</v>
      </c>
      <c r="AX263" s="29" t="e">
        <f t="shared" ca="1" si="114"/>
        <v>#VALUE!</v>
      </c>
      <c r="AY263" s="72"/>
    </row>
    <row r="264" spans="13:51" s="11" customFormat="1" ht="15.6" customHeight="1" x14ac:dyDescent="0.3">
      <c r="M264" s="20">
        <f t="shared" si="115"/>
        <v>234</v>
      </c>
      <c r="N264" s="21">
        <f t="shared" si="116"/>
        <v>4.0950000000000113</v>
      </c>
      <c r="O264" s="22">
        <f t="shared" ca="1" si="88"/>
        <v>175.12436398895184</v>
      </c>
      <c r="P264" s="23">
        <f t="shared" ca="1" si="89"/>
        <v>-1</v>
      </c>
      <c r="Q264" s="22" t="e">
        <f t="shared" ca="1" si="90"/>
        <v>#VALUE!</v>
      </c>
      <c r="R264" s="23">
        <f t="shared" ca="1" si="91"/>
        <v>-1</v>
      </c>
      <c r="S264" s="24" t="e">
        <f t="shared" ca="1" si="92"/>
        <v>#VALUE!</v>
      </c>
      <c r="T264" s="23">
        <f t="shared" ca="1" si="93"/>
        <v>-1</v>
      </c>
      <c r="U264" s="112">
        <f t="shared" si="104"/>
        <v>2.245929932284085E-2</v>
      </c>
      <c r="V264" s="109">
        <f t="shared" si="105"/>
        <v>-2.245929932284085E-2</v>
      </c>
      <c r="W264" s="112">
        <f t="shared" si="106"/>
        <v>2.245929932284085E-2</v>
      </c>
      <c r="X264" s="113">
        <f t="shared" si="107"/>
        <v>-2.245929932284085E-2</v>
      </c>
      <c r="Y264" s="32"/>
      <c r="Z264" s="32"/>
      <c r="AA264" s="32"/>
      <c r="AB264" s="32"/>
      <c r="AC264" s="32"/>
      <c r="AD264" s="32"/>
      <c r="AE264" s="32"/>
      <c r="AG264" s="26">
        <f t="shared" si="94"/>
        <v>0</v>
      </c>
      <c r="AH264" s="27">
        <f t="shared" si="95"/>
        <v>5.6297114711033755E-2</v>
      </c>
      <c r="AI264" s="28">
        <f t="shared" si="108"/>
        <v>2.245929932284085E-2</v>
      </c>
      <c r="AJ264" s="27">
        <f t="shared" si="96"/>
        <v>2.245929932284085E-2</v>
      </c>
      <c r="AK264" s="28">
        <f t="shared" si="97"/>
        <v>2.2197253700990522E-3</v>
      </c>
      <c r="AL264" s="27">
        <f t="shared" si="98"/>
        <v>2.245929932284085E-2</v>
      </c>
      <c r="AM264" s="28">
        <f t="shared" si="109"/>
        <v>2.6558345460906185E-2</v>
      </c>
      <c r="AN264" s="27">
        <f t="shared" si="110"/>
        <v>-2.245929932284085E-2</v>
      </c>
      <c r="AO264" s="28">
        <f t="shared" si="99"/>
        <v>-2.245929932284085E-2</v>
      </c>
      <c r="AP264" s="27">
        <f t="shared" si="100"/>
        <v>-2.2197253700990522E-3</v>
      </c>
      <c r="AQ264" s="29">
        <f t="shared" si="101"/>
        <v>-2.245929932284085E-2</v>
      </c>
      <c r="AS264" s="30">
        <f t="shared" si="102"/>
        <v>0.88439631205866831</v>
      </c>
      <c r="AT264" s="21">
        <f t="shared" si="103"/>
        <v>2.7820131873030229</v>
      </c>
      <c r="AU264" s="31">
        <f t="shared" ca="1" si="111"/>
        <v>5.8241771358391592E-4</v>
      </c>
      <c r="AV264" s="109">
        <f t="shared" ca="1" si="112"/>
        <v>5.8460837178209157E-4</v>
      </c>
      <c r="AW264" s="27" t="e">
        <f t="shared" ca="1" si="113"/>
        <v>#VALUE!</v>
      </c>
      <c r="AX264" s="29" t="e">
        <f t="shared" ca="1" si="114"/>
        <v>#VALUE!</v>
      </c>
      <c r="AY264" s="72"/>
    </row>
    <row r="265" spans="13:51" s="11" customFormat="1" ht="15.6" customHeight="1" x14ac:dyDescent="0.3">
      <c r="M265" s="20">
        <f t="shared" si="115"/>
        <v>235</v>
      </c>
      <c r="N265" s="21">
        <f t="shared" si="116"/>
        <v>4.1125000000000114</v>
      </c>
      <c r="O265" s="22">
        <f t="shared" ca="1" si="88"/>
        <v>175.33739864730725</v>
      </c>
      <c r="P265" s="23">
        <f t="shared" ca="1" si="89"/>
        <v>-1</v>
      </c>
      <c r="Q265" s="22" t="e">
        <f t="shared" ca="1" si="90"/>
        <v>#VALUE!</v>
      </c>
      <c r="R265" s="23">
        <f t="shared" ca="1" si="91"/>
        <v>-1</v>
      </c>
      <c r="S265" s="24" t="e">
        <f t="shared" ca="1" si="92"/>
        <v>#VALUE!</v>
      </c>
      <c r="T265" s="23">
        <f t="shared" ca="1" si="93"/>
        <v>-1</v>
      </c>
      <c r="U265" s="112">
        <f t="shared" si="104"/>
        <v>2.2377440620940707E-2</v>
      </c>
      <c r="V265" s="109">
        <f t="shared" si="105"/>
        <v>-2.2377440620940707E-2</v>
      </c>
      <c r="W265" s="112">
        <f t="shared" si="106"/>
        <v>2.2377440620940707E-2</v>
      </c>
      <c r="X265" s="113">
        <f t="shared" si="107"/>
        <v>-2.2377440620940707E-2</v>
      </c>
      <c r="Y265" s="32"/>
      <c r="Z265" s="32"/>
      <c r="AA265" s="32"/>
      <c r="AB265" s="32"/>
      <c r="AC265" s="32"/>
      <c r="AD265" s="32"/>
      <c r="AE265" s="32"/>
      <c r="AG265" s="26">
        <f t="shared" si="94"/>
        <v>0</v>
      </c>
      <c r="AH265" s="27">
        <f t="shared" si="95"/>
        <v>5.6091925374326265E-2</v>
      </c>
      <c r="AI265" s="28">
        <f t="shared" si="108"/>
        <v>2.2377440620940707E-2</v>
      </c>
      <c r="AJ265" s="27">
        <f t="shared" si="96"/>
        <v>2.2377440620940707E-2</v>
      </c>
      <c r="AK265" s="28">
        <f t="shared" si="97"/>
        <v>2.2069243861400378E-3</v>
      </c>
      <c r="AL265" s="27">
        <f t="shared" si="98"/>
        <v>2.2377440620940707E-2</v>
      </c>
      <c r="AM265" s="28">
        <f t="shared" si="109"/>
        <v>2.6558345460906185E-2</v>
      </c>
      <c r="AN265" s="27">
        <f t="shared" si="110"/>
        <v>-2.2377440620940707E-2</v>
      </c>
      <c r="AO265" s="28">
        <f t="shared" si="99"/>
        <v>-2.2377440620940707E-2</v>
      </c>
      <c r="AP265" s="27">
        <f t="shared" si="100"/>
        <v>-2.2069243861400382E-3</v>
      </c>
      <c r="AQ265" s="29">
        <f t="shared" si="101"/>
        <v>-2.2377440620940707E-2</v>
      </c>
      <c r="AS265" s="30">
        <f t="shared" si="102"/>
        <v>0.88393212585437797</v>
      </c>
      <c r="AT265" s="21">
        <f t="shared" si="103"/>
        <v>2.7659695331356411</v>
      </c>
      <c r="AU265" s="31">
        <f t="shared" ca="1" si="111"/>
        <v>5.8261353711963615E-4</v>
      </c>
      <c r="AV265" s="109">
        <f t="shared" ca="1" si="112"/>
        <v>5.8480065848098839E-4</v>
      </c>
      <c r="AW265" s="27" t="e">
        <f t="shared" ca="1" si="113"/>
        <v>#VALUE!</v>
      </c>
      <c r="AX265" s="29" t="e">
        <f t="shared" ca="1" si="114"/>
        <v>#VALUE!</v>
      </c>
      <c r="AY265" s="72"/>
    </row>
    <row r="266" spans="13:51" s="11" customFormat="1" ht="15.6" customHeight="1" x14ac:dyDescent="0.3">
      <c r="M266" s="20">
        <f t="shared" si="115"/>
        <v>236</v>
      </c>
      <c r="N266" s="21">
        <f t="shared" si="116"/>
        <v>4.1300000000000114</v>
      </c>
      <c r="O266" s="22">
        <f t="shared" ca="1" si="88"/>
        <v>175.54954150152525</v>
      </c>
      <c r="P266" s="23">
        <f t="shared" ca="1" si="89"/>
        <v>-1</v>
      </c>
      <c r="Q266" s="22" t="e">
        <f t="shared" ca="1" si="90"/>
        <v>#VALUE!</v>
      </c>
      <c r="R266" s="23">
        <f t="shared" ca="1" si="91"/>
        <v>-1</v>
      </c>
      <c r="S266" s="24" t="e">
        <f t="shared" ca="1" si="92"/>
        <v>#VALUE!</v>
      </c>
      <c r="T266" s="23">
        <f t="shared" ca="1" si="93"/>
        <v>-1</v>
      </c>
      <c r="U266" s="112">
        <f t="shared" si="104"/>
        <v>2.2294859979776527E-2</v>
      </c>
      <c r="V266" s="109">
        <f t="shared" si="105"/>
        <v>-2.2294859979776527E-2</v>
      </c>
      <c r="W266" s="112">
        <f t="shared" si="106"/>
        <v>2.2294859979776527E-2</v>
      </c>
      <c r="X266" s="113">
        <f t="shared" si="107"/>
        <v>-2.2294859979776527E-2</v>
      </c>
      <c r="Y266" s="32"/>
      <c r="Z266" s="32"/>
      <c r="AA266" s="32"/>
      <c r="AB266" s="32"/>
      <c r="AC266" s="32"/>
      <c r="AD266" s="32"/>
      <c r="AE266" s="32"/>
      <c r="AG266" s="26">
        <f t="shared" si="94"/>
        <v>0</v>
      </c>
      <c r="AH266" s="27">
        <f t="shared" si="95"/>
        <v>5.5884926404246978E-2</v>
      </c>
      <c r="AI266" s="28">
        <f t="shared" si="108"/>
        <v>2.2294859979776527E-2</v>
      </c>
      <c r="AJ266" s="27">
        <f t="shared" si="96"/>
        <v>2.2294859979776527E-2</v>
      </c>
      <c r="AK266" s="28">
        <f t="shared" si="97"/>
        <v>2.1941166798999994E-3</v>
      </c>
      <c r="AL266" s="27">
        <f t="shared" si="98"/>
        <v>2.2294859979776527E-2</v>
      </c>
      <c r="AM266" s="28">
        <f t="shared" si="109"/>
        <v>2.6558345460906185E-2</v>
      </c>
      <c r="AN266" s="27">
        <f t="shared" si="110"/>
        <v>-2.2294859979776527E-2</v>
      </c>
      <c r="AO266" s="28">
        <f t="shared" si="99"/>
        <v>-2.2294859979776527E-2</v>
      </c>
      <c r="AP266" s="27">
        <f t="shared" si="100"/>
        <v>-2.1941166798999999E-3</v>
      </c>
      <c r="AQ266" s="29">
        <f t="shared" si="101"/>
        <v>-2.2294859979776527E-2</v>
      </c>
      <c r="AS266" s="30">
        <f t="shared" si="102"/>
        <v>0.88346818328388532</v>
      </c>
      <c r="AT266" s="21">
        <f t="shared" si="103"/>
        <v>2.749917453838417</v>
      </c>
      <c r="AU266" s="31">
        <f t="shared" ca="1" si="111"/>
        <v>5.827882720534916E-4</v>
      </c>
      <c r="AV266" s="109">
        <f t="shared" ca="1" si="112"/>
        <v>5.8497186939132639E-4</v>
      </c>
      <c r="AW266" s="27" t="e">
        <f t="shared" ca="1" si="113"/>
        <v>#VALUE!</v>
      </c>
      <c r="AX266" s="29" t="e">
        <f t="shared" ca="1" si="114"/>
        <v>#VALUE!</v>
      </c>
      <c r="AY266" s="72"/>
    </row>
    <row r="267" spans="13:51" s="11" customFormat="1" ht="15.6" customHeight="1" x14ac:dyDescent="0.3">
      <c r="M267" s="20">
        <f t="shared" si="115"/>
        <v>237</v>
      </c>
      <c r="N267" s="21">
        <f t="shared" si="116"/>
        <v>4.1475000000000115</v>
      </c>
      <c r="O267" s="22">
        <f t="shared" ca="1" si="88"/>
        <v>175.76080865956823</v>
      </c>
      <c r="P267" s="23">
        <f t="shared" ca="1" si="89"/>
        <v>-1</v>
      </c>
      <c r="Q267" s="22" t="e">
        <f t="shared" ca="1" si="90"/>
        <v>#VALUE!</v>
      </c>
      <c r="R267" s="23">
        <f t="shared" ca="1" si="91"/>
        <v>-1</v>
      </c>
      <c r="S267" s="24" t="e">
        <f t="shared" ca="1" si="92"/>
        <v>#VALUE!</v>
      </c>
      <c r="T267" s="23">
        <f t="shared" ca="1" si="93"/>
        <v>-1</v>
      </c>
      <c r="U267" s="112">
        <f t="shared" si="104"/>
        <v>2.221155932820261E-2</v>
      </c>
      <c r="V267" s="109">
        <f t="shared" si="105"/>
        <v>-2.221155932820261E-2</v>
      </c>
      <c r="W267" s="112">
        <f t="shared" si="106"/>
        <v>2.221155932820261E-2</v>
      </c>
      <c r="X267" s="113">
        <f t="shared" si="107"/>
        <v>-2.221155932820261E-2</v>
      </c>
      <c r="Y267" s="32"/>
      <c r="Z267" s="32"/>
      <c r="AA267" s="32"/>
      <c r="AB267" s="32"/>
      <c r="AC267" s="32"/>
      <c r="AD267" s="32"/>
      <c r="AE267" s="32"/>
      <c r="AG267" s="26">
        <f t="shared" si="94"/>
        <v>0</v>
      </c>
      <c r="AH267" s="27">
        <f t="shared" si="95"/>
        <v>5.5676122635716613E-2</v>
      </c>
      <c r="AI267" s="28">
        <f t="shared" si="108"/>
        <v>2.221155932820261E-2</v>
      </c>
      <c r="AJ267" s="27">
        <f t="shared" si="96"/>
        <v>2.221155932820261E-2</v>
      </c>
      <c r="AK267" s="28">
        <f t="shared" si="97"/>
        <v>2.1813022478488135E-3</v>
      </c>
      <c r="AL267" s="27">
        <f t="shared" si="98"/>
        <v>2.221155932820261E-2</v>
      </c>
      <c r="AM267" s="28">
        <f t="shared" si="109"/>
        <v>2.6558345460906185E-2</v>
      </c>
      <c r="AN267" s="27">
        <f t="shared" si="110"/>
        <v>-2.221155932820261E-2</v>
      </c>
      <c r="AO267" s="28">
        <f t="shared" si="99"/>
        <v>-2.221155932820261E-2</v>
      </c>
      <c r="AP267" s="27">
        <f t="shared" si="100"/>
        <v>-2.1813022478488139E-3</v>
      </c>
      <c r="AQ267" s="29">
        <f t="shared" si="101"/>
        <v>-2.221155932820261E-2</v>
      </c>
      <c r="AS267" s="30">
        <f t="shared" si="102"/>
        <v>0.88300448421931632</v>
      </c>
      <c r="AT267" s="21">
        <f t="shared" si="103"/>
        <v>2.7338569449869974</v>
      </c>
      <c r="AU267" s="31">
        <f t="shared" ca="1" si="111"/>
        <v>5.8296510964850334E-4</v>
      </c>
      <c r="AV267" s="109">
        <f t="shared" ca="1" si="112"/>
        <v>5.8514517999719295E-4</v>
      </c>
      <c r="AW267" s="27" t="e">
        <f t="shared" ca="1" si="113"/>
        <v>#VALUE!</v>
      </c>
      <c r="AX267" s="29" t="e">
        <f t="shared" ca="1" si="114"/>
        <v>#VALUE!</v>
      </c>
      <c r="AY267" s="72"/>
    </row>
    <row r="268" spans="13:51" s="11" customFormat="1" ht="15.6" customHeight="1" x14ac:dyDescent="0.3">
      <c r="M268" s="20">
        <f t="shared" si="115"/>
        <v>238</v>
      </c>
      <c r="N268" s="21">
        <f t="shared" si="116"/>
        <v>4.1650000000000116</v>
      </c>
      <c r="O268" s="22">
        <f t="shared" ca="1" si="88"/>
        <v>175.97117805338888</v>
      </c>
      <c r="P268" s="23">
        <f t="shared" ca="1" si="89"/>
        <v>-1</v>
      </c>
      <c r="Q268" s="22" t="e">
        <f t="shared" ca="1" si="90"/>
        <v>#VALUE!</v>
      </c>
      <c r="R268" s="23">
        <f t="shared" ca="1" si="91"/>
        <v>-1</v>
      </c>
      <c r="S268" s="24" t="e">
        <f t="shared" ca="1" si="92"/>
        <v>#VALUE!</v>
      </c>
      <c r="T268" s="23">
        <f t="shared" ca="1" si="93"/>
        <v>-1</v>
      </c>
      <c r="U268" s="112">
        <f t="shared" si="104"/>
        <v>2.2127540574996676E-2</v>
      </c>
      <c r="V268" s="109">
        <f t="shared" si="105"/>
        <v>-2.2127540574996676E-2</v>
      </c>
      <c r="W268" s="112">
        <f t="shared" si="106"/>
        <v>2.2127540574996676E-2</v>
      </c>
      <c r="X268" s="113">
        <f t="shared" si="107"/>
        <v>-2.2127540574996676E-2</v>
      </c>
      <c r="Y268" s="32"/>
      <c r="Z268" s="32"/>
      <c r="AA268" s="32"/>
      <c r="AB268" s="32"/>
      <c r="AC268" s="32"/>
      <c r="AD268" s="32"/>
      <c r="AE268" s="32"/>
      <c r="AG268" s="26">
        <f t="shared" si="94"/>
        <v>0</v>
      </c>
      <c r="AH268" s="27">
        <f t="shared" si="95"/>
        <v>5.5465518853331376E-2</v>
      </c>
      <c r="AI268" s="28">
        <f t="shared" si="108"/>
        <v>2.2127540574996676E-2</v>
      </c>
      <c r="AJ268" s="27">
        <f t="shared" si="96"/>
        <v>2.2127540574996676E-2</v>
      </c>
      <c r="AK268" s="28">
        <f t="shared" si="97"/>
        <v>2.1684810864545036E-3</v>
      </c>
      <c r="AL268" s="27">
        <f t="shared" si="98"/>
        <v>2.2127540574996676E-2</v>
      </c>
      <c r="AM268" s="28">
        <f t="shared" si="109"/>
        <v>2.6558345460906185E-2</v>
      </c>
      <c r="AN268" s="27">
        <f t="shared" si="110"/>
        <v>-2.2127540574996676E-2</v>
      </c>
      <c r="AO268" s="28">
        <f t="shared" si="99"/>
        <v>-2.2127540574996676E-2</v>
      </c>
      <c r="AP268" s="27">
        <f t="shared" si="100"/>
        <v>-2.168481086454504E-3</v>
      </c>
      <c r="AQ268" s="29">
        <f t="shared" si="101"/>
        <v>-2.2127540574996676E-2</v>
      </c>
      <c r="AS268" s="30">
        <f t="shared" si="102"/>
        <v>0.88254102853286387</v>
      </c>
      <c r="AT268" s="21">
        <f t="shared" si="103"/>
        <v>2.717788002154705</v>
      </c>
      <c r="AU268" s="31">
        <f t="shared" ca="1" si="111"/>
        <v>5.8312075539113106E-4</v>
      </c>
      <c r="AV268" s="109">
        <f t="shared" ca="1" si="112"/>
        <v>5.8529731192491496E-4</v>
      </c>
      <c r="AW268" s="27" t="e">
        <f t="shared" ca="1" si="113"/>
        <v>#VALUE!</v>
      </c>
      <c r="AX268" s="29" t="e">
        <f t="shared" ca="1" si="114"/>
        <v>#VALUE!</v>
      </c>
      <c r="AY268" s="72"/>
    </row>
    <row r="269" spans="13:51" s="11" customFormat="1" ht="15.6" customHeight="1" x14ac:dyDescent="0.3">
      <c r="M269" s="20">
        <f t="shared" si="115"/>
        <v>239</v>
      </c>
      <c r="N269" s="21">
        <f t="shared" si="116"/>
        <v>4.1825000000000117</v>
      </c>
      <c r="O269" s="22">
        <f t="shared" ca="1" si="88"/>
        <v>176.18068110649276</v>
      </c>
      <c r="P269" s="23">
        <f t="shared" ca="1" si="89"/>
        <v>-1</v>
      </c>
      <c r="Q269" s="22" t="e">
        <f t="shared" ca="1" si="90"/>
        <v>#VALUE!</v>
      </c>
      <c r="R269" s="23">
        <f t="shared" ca="1" si="91"/>
        <v>-1</v>
      </c>
      <c r="S269" s="24" t="e">
        <f t="shared" ca="1" si="92"/>
        <v>#VALUE!</v>
      </c>
      <c r="T269" s="23">
        <f t="shared" ca="1" si="93"/>
        <v>-1</v>
      </c>
      <c r="U269" s="112">
        <f t="shared" si="104"/>
        <v>2.2042805609135921E-2</v>
      </c>
      <c r="V269" s="109">
        <f t="shared" si="105"/>
        <v>-2.2042805609135921E-2</v>
      </c>
      <c r="W269" s="112">
        <f t="shared" si="106"/>
        <v>2.2042805609135921E-2</v>
      </c>
      <c r="X269" s="113">
        <f t="shared" si="107"/>
        <v>-2.2042805609135921E-2</v>
      </c>
      <c r="Y269" s="32"/>
      <c r="Z269" s="32"/>
      <c r="AA269" s="32"/>
      <c r="AB269" s="32"/>
      <c r="AC269" s="32"/>
      <c r="AD269" s="32"/>
      <c r="AE269" s="32"/>
      <c r="AG269" s="26">
        <f t="shared" si="94"/>
        <v>0</v>
      </c>
      <c r="AH269" s="27">
        <f t="shared" si="95"/>
        <v>5.5253119792054911E-2</v>
      </c>
      <c r="AI269" s="28">
        <f t="shared" si="108"/>
        <v>2.2042805609135921E-2</v>
      </c>
      <c r="AJ269" s="27">
        <f t="shared" si="96"/>
        <v>2.2042805609135921E-2</v>
      </c>
      <c r="AK269" s="28">
        <f t="shared" si="97"/>
        <v>2.1556531921832376E-3</v>
      </c>
      <c r="AL269" s="27">
        <f t="shared" si="98"/>
        <v>2.2042805609135921E-2</v>
      </c>
      <c r="AM269" s="28">
        <f t="shared" si="109"/>
        <v>2.6558345460906185E-2</v>
      </c>
      <c r="AN269" s="27">
        <f t="shared" si="110"/>
        <v>-2.2042805609135921E-2</v>
      </c>
      <c r="AO269" s="28">
        <f t="shared" si="99"/>
        <v>-2.2042805609135921E-2</v>
      </c>
      <c r="AP269" s="27">
        <f t="shared" si="100"/>
        <v>-2.1556531921832376E-3</v>
      </c>
      <c r="AQ269" s="29">
        <f t="shared" si="101"/>
        <v>-2.2042805609135921E-2</v>
      </c>
      <c r="AS269" s="30">
        <f t="shared" si="102"/>
        <v>0.88207781609678793</v>
      </c>
      <c r="AT269" s="21">
        <f t="shared" si="103"/>
        <v>2.7017106209125381</v>
      </c>
      <c r="AU269" s="31">
        <f t="shared" ca="1" si="111"/>
        <v>5.8328801408724651E-4</v>
      </c>
      <c r="AV269" s="109">
        <f t="shared" ca="1" si="112"/>
        <v>5.8546104736745264E-4</v>
      </c>
      <c r="AW269" s="27" t="e">
        <f t="shared" ca="1" si="113"/>
        <v>#VALUE!</v>
      </c>
      <c r="AX269" s="29" t="e">
        <f t="shared" ca="1" si="114"/>
        <v>#VALUE!</v>
      </c>
      <c r="AY269" s="72"/>
    </row>
    <row r="270" spans="13:51" s="11" customFormat="1" ht="15.6" customHeight="1" x14ac:dyDescent="0.3">
      <c r="M270" s="20">
        <f t="shared" si="115"/>
        <v>240</v>
      </c>
      <c r="N270" s="21">
        <f t="shared" si="116"/>
        <v>4.2000000000000117</v>
      </c>
      <c r="O270" s="22">
        <f t="shared" ca="1" si="88"/>
        <v>176.38929575218054</v>
      </c>
      <c r="P270" s="23">
        <f t="shared" ca="1" si="89"/>
        <v>-1</v>
      </c>
      <c r="Q270" s="22" t="e">
        <f t="shared" ca="1" si="90"/>
        <v>#VALUE!</v>
      </c>
      <c r="R270" s="23">
        <f t="shared" ca="1" si="91"/>
        <v>-1</v>
      </c>
      <c r="S270" s="24" t="e">
        <f t="shared" ca="1" si="92"/>
        <v>#VALUE!</v>
      </c>
      <c r="T270" s="23">
        <f t="shared" ca="1" si="93"/>
        <v>-1</v>
      </c>
      <c r="U270" s="112">
        <f t="shared" si="104"/>
        <v>2.1957356300067978E-2</v>
      </c>
      <c r="V270" s="109">
        <f t="shared" si="105"/>
        <v>-2.1957356300067978E-2</v>
      </c>
      <c r="W270" s="112">
        <f t="shared" si="106"/>
        <v>2.1957356300067978E-2</v>
      </c>
      <c r="X270" s="113">
        <f t="shared" si="107"/>
        <v>-2.1957356300067978E-2</v>
      </c>
      <c r="Y270" s="32"/>
      <c r="Z270" s="32"/>
      <c r="AA270" s="32"/>
      <c r="AB270" s="32"/>
      <c r="AC270" s="32"/>
      <c r="AD270" s="32"/>
      <c r="AE270" s="32"/>
      <c r="AG270" s="26">
        <f t="shared" si="94"/>
        <v>0</v>
      </c>
      <c r="AH270" s="27">
        <f t="shared" si="95"/>
        <v>5.503893013789752E-2</v>
      </c>
      <c r="AI270" s="28">
        <f t="shared" si="108"/>
        <v>2.1957356300067978E-2</v>
      </c>
      <c r="AJ270" s="27">
        <f t="shared" si="96"/>
        <v>2.1957356300067978E-2</v>
      </c>
      <c r="AK270" s="28">
        <f t="shared" si="97"/>
        <v>2.1428185614993248E-3</v>
      </c>
      <c r="AL270" s="27">
        <f t="shared" si="98"/>
        <v>2.1957356300067978E-2</v>
      </c>
      <c r="AM270" s="28">
        <f t="shared" si="109"/>
        <v>2.6558345460906185E-2</v>
      </c>
      <c r="AN270" s="27">
        <f t="shared" si="110"/>
        <v>-2.1957356300067978E-2</v>
      </c>
      <c r="AO270" s="28">
        <f t="shared" si="99"/>
        <v>-2.1957356300067978E-2</v>
      </c>
      <c r="AP270" s="27">
        <f t="shared" si="100"/>
        <v>-2.1428185614993248E-3</v>
      </c>
      <c r="AQ270" s="29">
        <f t="shared" si="101"/>
        <v>-2.1957356300067978E-2</v>
      </c>
      <c r="AS270" s="30">
        <f t="shared" si="102"/>
        <v>0.88161484678341573</v>
      </c>
      <c r="AT270" s="21">
        <f t="shared" si="103"/>
        <v>2.6856247968291669</v>
      </c>
      <c r="AU270" s="31">
        <f t="shared" ca="1" si="111"/>
        <v>5.8343408325567392E-4</v>
      </c>
      <c r="AV270" s="109">
        <f t="shared" ca="1" si="112"/>
        <v>5.856036066623771E-4</v>
      </c>
      <c r="AW270" s="27" t="e">
        <f t="shared" ca="1" si="113"/>
        <v>#VALUE!</v>
      </c>
      <c r="AX270" s="29" t="e">
        <f t="shared" ca="1" si="114"/>
        <v>#VALUE!</v>
      </c>
      <c r="AY270" s="72"/>
    </row>
    <row r="271" spans="13:51" s="11" customFormat="1" ht="15.6" customHeight="1" x14ac:dyDescent="0.3">
      <c r="M271" s="20">
        <f t="shared" si="115"/>
        <v>241</v>
      </c>
      <c r="N271" s="21">
        <f t="shared" si="116"/>
        <v>4.2175000000000118</v>
      </c>
      <c r="O271" s="22">
        <f t="shared" ca="1" si="88"/>
        <v>176.59703428371742</v>
      </c>
      <c r="P271" s="23">
        <f t="shared" ca="1" si="89"/>
        <v>-1</v>
      </c>
      <c r="Q271" s="22" t="e">
        <f t="shared" ca="1" si="90"/>
        <v>#VALUE!</v>
      </c>
      <c r="R271" s="23">
        <f t="shared" ca="1" si="91"/>
        <v>-1</v>
      </c>
      <c r="S271" s="24" t="e">
        <f t="shared" ca="1" si="92"/>
        <v>#VALUE!</v>
      </c>
      <c r="T271" s="23">
        <f t="shared" ca="1" si="93"/>
        <v>-1</v>
      </c>
      <c r="U271" s="112">
        <f t="shared" si="104"/>
        <v>2.1871194497977097E-2</v>
      </c>
      <c r="V271" s="109">
        <f t="shared" si="105"/>
        <v>-2.1871194497977097E-2</v>
      </c>
      <c r="W271" s="112">
        <f t="shared" si="106"/>
        <v>2.1871194497977097E-2</v>
      </c>
      <c r="X271" s="113">
        <f t="shared" si="107"/>
        <v>-2.1871194497977097E-2</v>
      </c>
      <c r="Y271" s="32"/>
      <c r="Z271" s="32"/>
      <c r="AA271" s="32"/>
      <c r="AB271" s="32"/>
      <c r="AC271" s="32"/>
      <c r="AD271" s="32"/>
      <c r="AE271" s="32"/>
      <c r="AG271" s="26">
        <f t="shared" si="94"/>
        <v>0</v>
      </c>
      <c r="AH271" s="27">
        <f t="shared" si="95"/>
        <v>5.4822954528583358E-2</v>
      </c>
      <c r="AI271" s="28">
        <f t="shared" si="108"/>
        <v>2.1871194497977097E-2</v>
      </c>
      <c r="AJ271" s="27">
        <f t="shared" si="96"/>
        <v>2.1871194497977097E-2</v>
      </c>
      <c r="AK271" s="28">
        <f t="shared" si="97"/>
        <v>2.1299771908652198E-3</v>
      </c>
      <c r="AL271" s="27">
        <f t="shared" si="98"/>
        <v>2.1871194497977097E-2</v>
      </c>
      <c r="AM271" s="28">
        <f t="shared" si="109"/>
        <v>2.6558345460906185E-2</v>
      </c>
      <c r="AN271" s="27">
        <f t="shared" si="110"/>
        <v>-2.1871194497977097E-2</v>
      </c>
      <c r="AO271" s="28">
        <f t="shared" si="99"/>
        <v>-2.1871194497977097E-2</v>
      </c>
      <c r="AP271" s="27">
        <f t="shared" si="100"/>
        <v>-2.1299771908652198E-3</v>
      </c>
      <c r="AQ271" s="29">
        <f t="shared" si="101"/>
        <v>-2.1871194497977097E-2</v>
      </c>
      <c r="AS271" s="30">
        <f t="shared" si="102"/>
        <v>0.88115212046514124</v>
      </c>
      <c r="AT271" s="21">
        <f t="shared" si="103"/>
        <v>2.6695305254709352</v>
      </c>
      <c r="AU271" s="31">
        <f t="shared" ca="1" si="111"/>
        <v>5.8358012222192723E-4</v>
      </c>
      <c r="AV271" s="109">
        <f t="shared" ca="1" si="112"/>
        <v>5.8574613451389812E-4</v>
      </c>
      <c r="AW271" s="27" t="e">
        <f t="shared" ca="1" si="113"/>
        <v>#VALUE!</v>
      </c>
      <c r="AX271" s="29" t="e">
        <f t="shared" ca="1" si="114"/>
        <v>#VALUE!</v>
      </c>
      <c r="AY271" s="72"/>
    </row>
    <row r="272" spans="13:51" s="11" customFormat="1" ht="15.6" customHeight="1" x14ac:dyDescent="0.3">
      <c r="M272" s="20">
        <f t="shared" si="115"/>
        <v>242</v>
      </c>
      <c r="N272" s="21">
        <f t="shared" si="116"/>
        <v>4.2350000000000119</v>
      </c>
      <c r="O272" s="22">
        <f t="shared" ca="1" si="88"/>
        <v>176.80388607203537</v>
      </c>
      <c r="P272" s="23">
        <f t="shared" ca="1" si="89"/>
        <v>-1</v>
      </c>
      <c r="Q272" s="22" t="e">
        <f t="shared" ca="1" si="90"/>
        <v>#VALUE!</v>
      </c>
      <c r="R272" s="23">
        <f t="shared" ca="1" si="91"/>
        <v>-1</v>
      </c>
      <c r="S272" s="24" t="e">
        <f t="shared" ca="1" si="92"/>
        <v>#VALUE!</v>
      </c>
      <c r="T272" s="23">
        <f t="shared" ca="1" si="93"/>
        <v>-1</v>
      </c>
      <c r="U272" s="112">
        <f t="shared" si="104"/>
        <v>2.1784322034045497E-2</v>
      </c>
      <c r="V272" s="109">
        <f t="shared" si="105"/>
        <v>-2.1784322034045497E-2</v>
      </c>
      <c r="W272" s="112">
        <f t="shared" si="106"/>
        <v>2.1784322034045497E-2</v>
      </c>
      <c r="X272" s="113">
        <f t="shared" si="107"/>
        <v>-2.1784322034045497E-2</v>
      </c>
      <c r="Y272" s="32"/>
      <c r="Z272" s="32"/>
      <c r="AA272" s="32"/>
      <c r="AB272" s="32"/>
      <c r="AC272" s="32"/>
      <c r="AD272" s="32"/>
      <c r="AE272" s="32"/>
      <c r="AG272" s="26">
        <f t="shared" si="94"/>
        <v>0</v>
      </c>
      <c r="AH272" s="27">
        <f t="shared" si="95"/>
        <v>5.4605197554205551E-2</v>
      </c>
      <c r="AI272" s="28">
        <f t="shared" si="108"/>
        <v>2.1784322034045497E-2</v>
      </c>
      <c r="AJ272" s="27">
        <f t="shared" si="96"/>
        <v>2.1784322034045497E-2</v>
      </c>
      <c r="AK272" s="28">
        <f t="shared" si="97"/>
        <v>2.1171290767415213E-3</v>
      </c>
      <c r="AL272" s="27">
        <f t="shared" si="98"/>
        <v>2.1784322034045497E-2</v>
      </c>
      <c r="AM272" s="28">
        <f t="shared" si="109"/>
        <v>2.6558345460906185E-2</v>
      </c>
      <c r="AN272" s="27">
        <f t="shared" si="110"/>
        <v>-2.1784322034045497E-2</v>
      </c>
      <c r="AO272" s="28">
        <f t="shared" si="99"/>
        <v>-2.1784322034045497E-2</v>
      </c>
      <c r="AP272" s="27">
        <f t="shared" si="100"/>
        <v>-2.1171290767415213E-3</v>
      </c>
      <c r="AQ272" s="29">
        <f t="shared" si="101"/>
        <v>-2.1784322034045497E-2</v>
      </c>
      <c r="AS272" s="30">
        <f t="shared" si="102"/>
        <v>0.88068963701442549</v>
      </c>
      <c r="AT272" s="21">
        <f t="shared" si="103"/>
        <v>2.6534278024018607</v>
      </c>
      <c r="AU272" s="31">
        <f t="shared" ca="1" si="111"/>
        <v>5.8371197465556524E-4</v>
      </c>
      <c r="AV272" s="109">
        <f t="shared" ca="1" si="112"/>
        <v>5.8587448458047309E-4</v>
      </c>
      <c r="AW272" s="27" t="e">
        <f t="shared" ca="1" si="113"/>
        <v>#VALUE!</v>
      </c>
      <c r="AX272" s="29" t="e">
        <f t="shared" ca="1" si="114"/>
        <v>#VALUE!</v>
      </c>
      <c r="AY272" s="72"/>
    </row>
    <row r="273" spans="13:51" s="11" customFormat="1" ht="15.6" customHeight="1" x14ac:dyDescent="0.3">
      <c r="M273" s="20">
        <f t="shared" si="115"/>
        <v>243</v>
      </c>
      <c r="N273" s="21">
        <f t="shared" si="116"/>
        <v>4.2525000000000119</v>
      </c>
      <c r="O273" s="22">
        <f t="shared" ca="1" si="88"/>
        <v>177.00986729218775</v>
      </c>
      <c r="P273" s="23">
        <f t="shared" ca="1" si="89"/>
        <v>-1</v>
      </c>
      <c r="Q273" s="22" t="e">
        <f t="shared" ca="1" si="90"/>
        <v>#VALUE!</v>
      </c>
      <c r="R273" s="23">
        <f t="shared" ca="1" si="91"/>
        <v>-1</v>
      </c>
      <c r="S273" s="24" t="e">
        <f t="shared" ca="1" si="92"/>
        <v>#VALUE!</v>
      </c>
      <c r="T273" s="23">
        <f t="shared" ca="1" si="93"/>
        <v>-1</v>
      </c>
      <c r="U273" s="112">
        <f t="shared" si="104"/>
        <v>2.1696740720710015E-2</v>
      </c>
      <c r="V273" s="109">
        <f t="shared" si="105"/>
        <v>-2.1696740720710015E-2</v>
      </c>
      <c r="W273" s="112">
        <f t="shared" si="106"/>
        <v>2.1696740720710015E-2</v>
      </c>
      <c r="X273" s="113">
        <f t="shared" si="107"/>
        <v>-2.1696740720710015E-2</v>
      </c>
      <c r="Y273" s="32"/>
      <c r="Z273" s="32"/>
      <c r="AA273" s="32"/>
      <c r="AB273" s="32"/>
      <c r="AC273" s="32"/>
      <c r="AD273" s="32"/>
      <c r="AE273" s="32"/>
      <c r="AG273" s="26">
        <f t="shared" si="94"/>
        <v>0</v>
      </c>
      <c r="AH273" s="27">
        <f t="shared" si="95"/>
        <v>5.4385663757869511E-2</v>
      </c>
      <c r="AI273" s="28">
        <f t="shared" si="108"/>
        <v>2.1696740720710015E-2</v>
      </c>
      <c r="AJ273" s="27">
        <f t="shared" si="96"/>
        <v>2.1696740720710015E-2</v>
      </c>
      <c r="AK273" s="28">
        <f t="shared" si="97"/>
        <v>2.1042742155869681E-3</v>
      </c>
      <c r="AL273" s="27">
        <f t="shared" si="98"/>
        <v>2.1696740720710015E-2</v>
      </c>
      <c r="AM273" s="28">
        <f t="shared" si="109"/>
        <v>2.6558345460906185E-2</v>
      </c>
      <c r="AN273" s="27">
        <f t="shared" si="110"/>
        <v>-2.1696740720710015E-2</v>
      </c>
      <c r="AO273" s="28">
        <f t="shared" si="99"/>
        <v>-2.1696740720710015E-2</v>
      </c>
      <c r="AP273" s="27">
        <f t="shared" si="100"/>
        <v>-2.1042742155869686E-3</v>
      </c>
      <c r="AQ273" s="29">
        <f t="shared" si="101"/>
        <v>-2.1696740720710015E-2</v>
      </c>
      <c r="AS273" s="30">
        <f t="shared" si="102"/>
        <v>0.88022739630379654</v>
      </c>
      <c r="AT273" s="21">
        <f t="shared" si="103"/>
        <v>2.6373166231836316</v>
      </c>
      <c r="AU273" s="31">
        <f t="shared" ca="1" si="111"/>
        <v>5.8384632438746031E-4</v>
      </c>
      <c r="AV273" s="109">
        <f t="shared" ca="1" si="112"/>
        <v>5.8600532903818614E-4</v>
      </c>
      <c r="AW273" s="27" t="e">
        <f t="shared" ca="1" si="113"/>
        <v>#VALUE!</v>
      </c>
      <c r="AX273" s="29" t="e">
        <f t="shared" ca="1" si="114"/>
        <v>#VALUE!</v>
      </c>
      <c r="AY273" s="72"/>
    </row>
    <row r="274" spans="13:51" s="11" customFormat="1" ht="15.6" customHeight="1" x14ac:dyDescent="0.3">
      <c r="M274" s="20">
        <f t="shared" si="115"/>
        <v>244</v>
      </c>
      <c r="N274" s="21">
        <f t="shared" si="116"/>
        <v>4.270000000000012</v>
      </c>
      <c r="O274" s="22">
        <f t="shared" ca="1" si="88"/>
        <v>177.21497113103999</v>
      </c>
      <c r="P274" s="23">
        <f t="shared" ca="1" si="89"/>
        <v>-1</v>
      </c>
      <c r="Q274" s="22" t="e">
        <f t="shared" ca="1" si="90"/>
        <v>#VALUE!</v>
      </c>
      <c r="R274" s="23">
        <f t="shared" ca="1" si="91"/>
        <v>-1</v>
      </c>
      <c r="S274" s="24" t="e">
        <f t="shared" ca="1" si="92"/>
        <v>#VALUE!</v>
      </c>
      <c r="T274" s="23">
        <f t="shared" ca="1" si="93"/>
        <v>-1</v>
      </c>
      <c r="U274" s="112">
        <f t="shared" si="104"/>
        <v>2.1608452351914189E-2</v>
      </c>
      <c r="V274" s="109">
        <f t="shared" si="105"/>
        <v>-2.1608452351914189E-2</v>
      </c>
      <c r="W274" s="112">
        <f t="shared" si="106"/>
        <v>2.1608452351914189E-2</v>
      </c>
      <c r="X274" s="113">
        <f t="shared" si="107"/>
        <v>-2.1608452351914189E-2</v>
      </c>
      <c r="Y274" s="32"/>
      <c r="Z274" s="32"/>
      <c r="AA274" s="32"/>
      <c r="AB274" s="32"/>
      <c r="AC274" s="32"/>
      <c r="AD274" s="32"/>
      <c r="AE274" s="32"/>
      <c r="AG274" s="26">
        <f t="shared" si="94"/>
        <v>0</v>
      </c>
      <c r="AH274" s="27">
        <f t="shared" si="95"/>
        <v>5.4164357636324843E-2</v>
      </c>
      <c r="AI274" s="28">
        <f t="shared" si="108"/>
        <v>2.1608452351914189E-2</v>
      </c>
      <c r="AJ274" s="27">
        <f t="shared" si="96"/>
        <v>2.1608452351914189E-2</v>
      </c>
      <c r="AK274" s="28">
        <f t="shared" si="97"/>
        <v>2.0914126038584389E-3</v>
      </c>
      <c r="AL274" s="27">
        <f t="shared" si="98"/>
        <v>2.1608452351914189E-2</v>
      </c>
      <c r="AM274" s="28">
        <f t="shared" si="109"/>
        <v>2.6558345460906185E-2</v>
      </c>
      <c r="AN274" s="27">
        <f t="shared" si="110"/>
        <v>-2.1608452351914189E-2</v>
      </c>
      <c r="AO274" s="28">
        <f t="shared" si="99"/>
        <v>-2.1608452351914189E-2</v>
      </c>
      <c r="AP274" s="27">
        <f t="shared" si="100"/>
        <v>-2.0914126038584389E-3</v>
      </c>
      <c r="AQ274" s="29">
        <f t="shared" si="101"/>
        <v>-2.1608452351914189E-2</v>
      </c>
      <c r="AS274" s="30">
        <f t="shared" si="102"/>
        <v>0.87976539820584931</v>
      </c>
      <c r="AT274" s="21">
        <f t="shared" si="103"/>
        <v>2.621196983375603</v>
      </c>
      <c r="AU274" s="31">
        <f t="shared" ca="1" si="111"/>
        <v>5.8396890793843692E-4</v>
      </c>
      <c r="AV274" s="109">
        <f t="shared" ca="1" si="112"/>
        <v>5.8612441452576824E-4</v>
      </c>
      <c r="AW274" s="27" t="e">
        <f t="shared" ca="1" si="113"/>
        <v>#VALUE!</v>
      </c>
      <c r="AX274" s="29" t="e">
        <f t="shared" ca="1" si="114"/>
        <v>#VALUE!</v>
      </c>
      <c r="AY274" s="72"/>
    </row>
    <row r="275" spans="13:51" s="11" customFormat="1" ht="15.6" customHeight="1" x14ac:dyDescent="0.3">
      <c r="M275" s="20">
        <f t="shared" si="115"/>
        <v>245</v>
      </c>
      <c r="N275" s="21">
        <f t="shared" si="116"/>
        <v>4.2875000000000121</v>
      </c>
      <c r="O275" s="22">
        <f t="shared" ca="1" si="88"/>
        <v>177.41919458537774</v>
      </c>
      <c r="P275" s="23">
        <f t="shared" ca="1" si="89"/>
        <v>-1</v>
      </c>
      <c r="Q275" s="22" t="e">
        <f t="shared" ca="1" si="90"/>
        <v>#VALUE!</v>
      </c>
      <c r="R275" s="23">
        <f t="shared" ca="1" si="91"/>
        <v>-1</v>
      </c>
      <c r="S275" s="24" t="e">
        <f t="shared" ca="1" si="92"/>
        <v>#VALUE!</v>
      </c>
      <c r="T275" s="23">
        <f t="shared" ca="1" si="93"/>
        <v>-1</v>
      </c>
      <c r="U275" s="112">
        <f t="shared" si="104"/>
        <v>2.1519458703355882E-2</v>
      </c>
      <c r="V275" s="109">
        <f t="shared" si="105"/>
        <v>-2.1519458703355882E-2</v>
      </c>
      <c r="W275" s="112">
        <f t="shared" si="106"/>
        <v>2.1519458703355882E-2</v>
      </c>
      <c r="X275" s="113">
        <f t="shared" si="107"/>
        <v>-2.1519458703355882E-2</v>
      </c>
      <c r="Y275" s="32"/>
      <c r="Z275" s="32"/>
      <c r="AA275" s="32"/>
      <c r="AB275" s="32"/>
      <c r="AC275" s="32"/>
      <c r="AD275" s="32"/>
      <c r="AE275" s="32"/>
      <c r="AG275" s="26">
        <f t="shared" si="94"/>
        <v>0</v>
      </c>
      <c r="AH275" s="27">
        <f t="shared" si="95"/>
        <v>5.3941283640586021E-2</v>
      </c>
      <c r="AI275" s="28">
        <f t="shared" si="108"/>
        <v>2.1519458703355882E-2</v>
      </c>
      <c r="AJ275" s="27">
        <f t="shared" si="96"/>
        <v>2.1519458703355882E-2</v>
      </c>
      <c r="AK275" s="28">
        <f t="shared" si="97"/>
        <v>2.0785442380109494E-3</v>
      </c>
      <c r="AL275" s="27">
        <f t="shared" si="98"/>
        <v>2.1519458703355882E-2</v>
      </c>
      <c r="AM275" s="28">
        <f t="shared" si="109"/>
        <v>2.6558345460906185E-2</v>
      </c>
      <c r="AN275" s="27">
        <f t="shared" si="110"/>
        <v>-2.1519458703355882E-2</v>
      </c>
      <c r="AO275" s="28">
        <f t="shared" si="99"/>
        <v>-2.1519458703355882E-2</v>
      </c>
      <c r="AP275" s="27">
        <f t="shared" si="100"/>
        <v>-2.0785442380109494E-3</v>
      </c>
      <c r="AQ275" s="29">
        <f t="shared" si="101"/>
        <v>-2.1519458703355882E-2</v>
      </c>
      <c r="AS275" s="30">
        <f t="shared" si="102"/>
        <v>0.87930364259324545</v>
      </c>
      <c r="AT275" s="21">
        <f t="shared" si="103"/>
        <v>2.6050688785347962</v>
      </c>
      <c r="AU275" s="31">
        <f t="shared" ca="1" si="111"/>
        <v>5.8408208301841125E-4</v>
      </c>
      <c r="AV275" s="109">
        <f t="shared" ca="1" si="112"/>
        <v>5.8623409720615083E-4</v>
      </c>
      <c r="AW275" s="27" t="e">
        <f t="shared" ca="1" si="113"/>
        <v>#VALUE!</v>
      </c>
      <c r="AX275" s="29" t="e">
        <f t="shared" ca="1" si="114"/>
        <v>#VALUE!</v>
      </c>
      <c r="AY275" s="72"/>
    </row>
    <row r="276" spans="13:51" s="11" customFormat="1" ht="15.6" customHeight="1" x14ac:dyDescent="0.3">
      <c r="M276" s="20">
        <f t="shared" si="115"/>
        <v>246</v>
      </c>
      <c r="N276" s="21">
        <f t="shared" si="116"/>
        <v>4.3050000000000122</v>
      </c>
      <c r="O276" s="22">
        <f t="shared" ca="1" si="88"/>
        <v>177.6225423933281</v>
      </c>
      <c r="P276" s="23">
        <f t="shared" ca="1" si="89"/>
        <v>-1</v>
      </c>
      <c r="Q276" s="22" t="e">
        <f t="shared" ca="1" si="90"/>
        <v>#VALUE!</v>
      </c>
      <c r="R276" s="23">
        <f t="shared" ca="1" si="91"/>
        <v>-1</v>
      </c>
      <c r="S276" s="24" t="e">
        <f t="shared" ca="1" si="92"/>
        <v>#VALUE!</v>
      </c>
      <c r="T276" s="23">
        <f t="shared" ca="1" si="93"/>
        <v>-1</v>
      </c>
      <c r="U276" s="112">
        <f t="shared" si="104"/>
        <v>2.1429761532730591E-2</v>
      </c>
      <c r="V276" s="109">
        <f t="shared" si="105"/>
        <v>-2.1429761532730591E-2</v>
      </c>
      <c r="W276" s="112">
        <f t="shared" si="106"/>
        <v>2.1429761532730591E-2</v>
      </c>
      <c r="X276" s="113">
        <f t="shared" si="107"/>
        <v>-2.1429761532730591E-2</v>
      </c>
      <c r="Y276" s="32"/>
      <c r="Z276" s="32"/>
      <c r="AA276" s="32"/>
      <c r="AB276" s="32"/>
      <c r="AC276" s="32"/>
      <c r="AD276" s="32"/>
      <c r="AE276" s="32"/>
      <c r="AG276" s="26">
        <f t="shared" si="94"/>
        <v>0</v>
      </c>
      <c r="AH276" s="27">
        <f t="shared" si="95"/>
        <v>5.3716446176542261E-2</v>
      </c>
      <c r="AI276" s="28">
        <f t="shared" si="108"/>
        <v>2.1429761532730591E-2</v>
      </c>
      <c r="AJ276" s="27">
        <f t="shared" si="96"/>
        <v>2.1429761532730591E-2</v>
      </c>
      <c r="AK276" s="28">
        <f t="shared" si="97"/>
        <v>2.0656691144976566E-3</v>
      </c>
      <c r="AL276" s="27">
        <f t="shared" si="98"/>
        <v>2.1429761532730591E-2</v>
      </c>
      <c r="AM276" s="28">
        <f t="shared" si="109"/>
        <v>2.6558345460906185E-2</v>
      </c>
      <c r="AN276" s="27">
        <f t="shared" si="110"/>
        <v>-2.1429761532730591E-2</v>
      </c>
      <c r="AO276" s="28">
        <f t="shared" si="99"/>
        <v>-2.1429761532730591E-2</v>
      </c>
      <c r="AP276" s="27">
        <f t="shared" si="100"/>
        <v>-2.065669114497657E-3</v>
      </c>
      <c r="AQ276" s="29">
        <f t="shared" si="101"/>
        <v>-2.1429761532730591E-2</v>
      </c>
      <c r="AS276" s="30">
        <f t="shared" si="102"/>
        <v>0.87884212933871375</v>
      </c>
      <c r="AT276" s="21">
        <f t="shared" si="103"/>
        <v>2.5889323042159038</v>
      </c>
      <c r="AU276" s="31">
        <f t="shared" ca="1" si="111"/>
        <v>5.8419073181203984E-4</v>
      </c>
      <c r="AV276" s="109">
        <f t="shared" ca="1" si="112"/>
        <v>5.8633925587181501E-4</v>
      </c>
      <c r="AW276" s="27" t="e">
        <f t="shared" ca="1" si="113"/>
        <v>#VALUE!</v>
      </c>
      <c r="AX276" s="29" t="e">
        <f t="shared" ca="1" si="114"/>
        <v>#VALUE!</v>
      </c>
      <c r="AY276" s="72"/>
    </row>
    <row r="277" spans="13:51" s="11" customFormat="1" ht="15.6" customHeight="1" x14ac:dyDescent="0.3">
      <c r="M277" s="20">
        <f t="shared" si="115"/>
        <v>247</v>
      </c>
      <c r="N277" s="21">
        <f t="shared" si="116"/>
        <v>4.3225000000000122</v>
      </c>
      <c r="O277" s="22">
        <f t="shared" ca="1" si="88"/>
        <v>177.82501918222366</v>
      </c>
      <c r="P277" s="23">
        <f t="shared" ca="1" si="89"/>
        <v>-1</v>
      </c>
      <c r="Q277" s="22" t="e">
        <f t="shared" ca="1" si="90"/>
        <v>#VALUE!</v>
      </c>
      <c r="R277" s="23">
        <f t="shared" ca="1" si="91"/>
        <v>-1</v>
      </c>
      <c r="S277" s="24" t="e">
        <f t="shared" ca="1" si="92"/>
        <v>#VALUE!</v>
      </c>
      <c r="T277" s="23">
        <f t="shared" ca="1" si="93"/>
        <v>-1</v>
      </c>
      <c r="U277" s="112">
        <f t="shared" si="104"/>
        <v>2.1339362579970385E-2</v>
      </c>
      <c r="V277" s="109">
        <f t="shared" si="105"/>
        <v>-2.1339362579970385E-2</v>
      </c>
      <c r="W277" s="112">
        <f t="shared" si="106"/>
        <v>2.1339362579970385E-2</v>
      </c>
      <c r="X277" s="113">
        <f t="shared" si="107"/>
        <v>-2.1339362579970385E-2</v>
      </c>
      <c r="Y277" s="32"/>
      <c r="Z277" s="32"/>
      <c r="AA277" s="32"/>
      <c r="AB277" s="32"/>
      <c r="AC277" s="32"/>
      <c r="AD277" s="32"/>
      <c r="AE277" s="32"/>
      <c r="AG277" s="26">
        <f t="shared" si="94"/>
        <v>0</v>
      </c>
      <c r="AH277" s="27">
        <f t="shared" si="95"/>
        <v>5.34898496055565E-2</v>
      </c>
      <c r="AI277" s="28">
        <f t="shared" si="108"/>
        <v>2.1339362579970385E-2</v>
      </c>
      <c r="AJ277" s="27">
        <f t="shared" si="96"/>
        <v>2.1339362579970385E-2</v>
      </c>
      <c r="AK277" s="28">
        <f t="shared" si="97"/>
        <v>2.0527872297698567E-3</v>
      </c>
      <c r="AL277" s="27">
        <f t="shared" si="98"/>
        <v>2.1339362579970385E-2</v>
      </c>
      <c r="AM277" s="28">
        <f t="shared" si="109"/>
        <v>2.6558345460906185E-2</v>
      </c>
      <c r="AN277" s="27">
        <f t="shared" si="110"/>
        <v>-2.1339362579970385E-2</v>
      </c>
      <c r="AO277" s="28">
        <f t="shared" si="99"/>
        <v>-2.1339362579970385E-2</v>
      </c>
      <c r="AP277" s="27">
        <f t="shared" si="100"/>
        <v>-2.0527872297698571E-3</v>
      </c>
      <c r="AQ277" s="29">
        <f t="shared" si="101"/>
        <v>-2.1339362579970385E-2</v>
      </c>
      <c r="AS277" s="30">
        <f t="shared" si="102"/>
        <v>0.87838085831504942</v>
      </c>
      <c r="AT277" s="21">
        <f t="shared" si="103"/>
        <v>2.5727872559712837</v>
      </c>
      <c r="AU277" s="31">
        <f t="shared" ca="1" si="111"/>
        <v>5.8429484308608615E-4</v>
      </c>
      <c r="AV277" s="109">
        <f t="shared" ca="1" si="112"/>
        <v>5.8643987935069752E-4</v>
      </c>
      <c r="AW277" s="27" t="e">
        <f t="shared" ca="1" si="113"/>
        <v>#VALUE!</v>
      </c>
      <c r="AX277" s="29" t="e">
        <f t="shared" ca="1" si="114"/>
        <v>#VALUE!</v>
      </c>
      <c r="AY277" s="72"/>
    </row>
    <row r="278" spans="13:51" s="11" customFormat="1" ht="15.6" customHeight="1" x14ac:dyDescent="0.3">
      <c r="M278" s="20">
        <f t="shared" si="115"/>
        <v>248</v>
      </c>
      <c r="N278" s="21">
        <f t="shared" si="116"/>
        <v>4.3400000000000123</v>
      </c>
      <c r="O278" s="22">
        <f t="shared" ca="1" si="88"/>
        <v>178.02662198654042</v>
      </c>
      <c r="P278" s="23">
        <f t="shared" ca="1" si="89"/>
        <v>-1</v>
      </c>
      <c r="Q278" s="22" t="e">
        <f t="shared" ca="1" si="90"/>
        <v>#VALUE!</v>
      </c>
      <c r="R278" s="23">
        <f t="shared" ca="1" si="91"/>
        <v>-1</v>
      </c>
      <c r="S278" s="24" t="e">
        <f t="shared" ca="1" si="92"/>
        <v>#VALUE!</v>
      </c>
      <c r="T278" s="23">
        <f t="shared" ca="1" si="93"/>
        <v>-1</v>
      </c>
      <c r="U278" s="112">
        <f t="shared" si="104"/>
        <v>2.1248263567478689E-2</v>
      </c>
      <c r="V278" s="109">
        <f t="shared" si="105"/>
        <v>-2.1248263567478689E-2</v>
      </c>
      <c r="W278" s="112">
        <f t="shared" si="106"/>
        <v>2.1248263567478689E-2</v>
      </c>
      <c r="X278" s="113">
        <f t="shared" si="107"/>
        <v>-2.1248263567478689E-2</v>
      </c>
      <c r="Y278" s="32"/>
      <c r="Z278" s="32"/>
      <c r="AA278" s="32"/>
      <c r="AB278" s="32"/>
      <c r="AC278" s="32"/>
      <c r="AD278" s="32"/>
      <c r="AE278" s="32"/>
      <c r="AG278" s="26">
        <f t="shared" si="94"/>
        <v>0</v>
      </c>
      <c r="AH278" s="27">
        <f t="shared" si="95"/>
        <v>5.326149824505385E-2</v>
      </c>
      <c r="AI278" s="28">
        <f t="shared" si="108"/>
        <v>2.1248263567478689E-2</v>
      </c>
      <c r="AJ278" s="27">
        <f t="shared" si="96"/>
        <v>2.1248263567478689E-2</v>
      </c>
      <c r="AK278" s="28">
        <f t="shared" si="97"/>
        <v>2.0398985802769815E-3</v>
      </c>
      <c r="AL278" s="27">
        <f t="shared" si="98"/>
        <v>2.1248263567478689E-2</v>
      </c>
      <c r="AM278" s="28">
        <f t="shared" si="109"/>
        <v>2.6558345460906185E-2</v>
      </c>
      <c r="AN278" s="27">
        <f t="shared" si="110"/>
        <v>-2.1248263567478689E-2</v>
      </c>
      <c r="AO278" s="28">
        <f t="shared" si="99"/>
        <v>-2.1248263567478689E-2</v>
      </c>
      <c r="AP278" s="27">
        <f t="shared" si="100"/>
        <v>-2.0398985802769819E-3</v>
      </c>
      <c r="AQ278" s="29">
        <f t="shared" si="101"/>
        <v>-2.1248263567478689E-2</v>
      </c>
      <c r="AS278" s="30">
        <f t="shared" si="102"/>
        <v>0.87791982939511481</v>
      </c>
      <c r="AT278" s="21">
        <f t="shared" si="103"/>
        <v>2.5566337293509585</v>
      </c>
      <c r="AU278" s="31">
        <f t="shared" ca="1" si="111"/>
        <v>5.8438964615392663E-4</v>
      </c>
      <c r="AV278" s="109">
        <f t="shared" ca="1" si="112"/>
        <v>5.8653120045848439E-4</v>
      </c>
      <c r="AW278" s="27" t="e">
        <f t="shared" ca="1" si="113"/>
        <v>#VALUE!</v>
      </c>
      <c r="AX278" s="29" t="e">
        <f t="shared" ca="1" si="114"/>
        <v>#VALUE!</v>
      </c>
      <c r="AY278" s="72"/>
    </row>
    <row r="279" spans="13:51" s="11" customFormat="1" ht="15.6" customHeight="1" x14ac:dyDescent="0.3">
      <c r="M279" s="20">
        <f t="shared" si="115"/>
        <v>249</v>
      </c>
      <c r="N279" s="21">
        <f t="shared" si="116"/>
        <v>4.3575000000000124</v>
      </c>
      <c r="O279" s="22">
        <f t="shared" ca="1" si="88"/>
        <v>178.22734398403713</v>
      </c>
      <c r="P279" s="23">
        <f t="shared" ca="1" si="89"/>
        <v>-1</v>
      </c>
      <c r="Q279" s="22" t="e">
        <f t="shared" ca="1" si="90"/>
        <v>#VALUE!</v>
      </c>
      <c r="R279" s="23">
        <f t="shared" ca="1" si="91"/>
        <v>-1</v>
      </c>
      <c r="S279" s="24" t="e">
        <f t="shared" ca="1" si="92"/>
        <v>#VALUE!</v>
      </c>
      <c r="T279" s="23">
        <f t="shared" ca="1" si="93"/>
        <v>-1</v>
      </c>
      <c r="U279" s="112">
        <f t="shared" si="104"/>
        <v>2.1156466200360907E-2</v>
      </c>
      <c r="V279" s="109">
        <f t="shared" si="105"/>
        <v>-2.1156466200360907E-2</v>
      </c>
      <c r="W279" s="112">
        <f t="shared" si="106"/>
        <v>2.1156466200360907E-2</v>
      </c>
      <c r="X279" s="113">
        <f t="shared" si="107"/>
        <v>-2.1156466200360907E-2</v>
      </c>
      <c r="Y279" s="32"/>
      <c r="Z279" s="32"/>
      <c r="AA279" s="32"/>
      <c r="AB279" s="32"/>
      <c r="AC279" s="32"/>
      <c r="AD279" s="32"/>
      <c r="AE279" s="32"/>
      <c r="AG279" s="26">
        <f t="shared" si="94"/>
        <v>0</v>
      </c>
      <c r="AH279" s="27">
        <f t="shared" si="95"/>
        <v>5.3031396369099738E-2</v>
      </c>
      <c r="AI279" s="28">
        <f t="shared" si="108"/>
        <v>2.1156466200360907E-2</v>
      </c>
      <c r="AJ279" s="27">
        <f t="shared" si="96"/>
        <v>2.1156466200360907E-2</v>
      </c>
      <c r="AK279" s="28">
        <f t="shared" si="97"/>
        <v>2.0270031624665926E-3</v>
      </c>
      <c r="AL279" s="27">
        <f t="shared" si="98"/>
        <v>2.1156466200360907E-2</v>
      </c>
      <c r="AM279" s="28">
        <f t="shared" si="109"/>
        <v>2.6558345460906185E-2</v>
      </c>
      <c r="AN279" s="27">
        <f t="shared" si="110"/>
        <v>-2.1156466200360907E-2</v>
      </c>
      <c r="AO279" s="28">
        <f t="shared" si="99"/>
        <v>-2.1156466200360907E-2</v>
      </c>
      <c r="AP279" s="27">
        <f t="shared" si="100"/>
        <v>-2.0270031624665926E-3</v>
      </c>
      <c r="AQ279" s="29">
        <f t="shared" si="101"/>
        <v>-2.1156466200360907E-2</v>
      </c>
      <c r="AS279" s="30">
        <f t="shared" si="102"/>
        <v>0.8774590424518387</v>
      </c>
      <c r="AT279" s="21">
        <f t="shared" si="103"/>
        <v>2.5404717199026079</v>
      </c>
      <c r="AU279" s="31">
        <f t="shared" ca="1" si="111"/>
        <v>5.8447267288108673E-4</v>
      </c>
      <c r="AV279" s="109">
        <f t="shared" ca="1" si="112"/>
        <v>5.8661075296095877E-4</v>
      </c>
      <c r="AW279" s="27" t="e">
        <f t="shared" ca="1" si="113"/>
        <v>#VALUE!</v>
      </c>
      <c r="AX279" s="29" t="e">
        <f t="shared" ca="1" si="114"/>
        <v>#VALUE!</v>
      </c>
      <c r="AY279" s="72"/>
    </row>
    <row r="280" spans="13:51" s="11" customFormat="1" ht="15.6" customHeight="1" x14ac:dyDescent="0.3">
      <c r="M280" s="20">
        <f t="shared" si="115"/>
        <v>250</v>
      </c>
      <c r="N280" s="21">
        <f t="shared" si="116"/>
        <v>4.3750000000000124</v>
      </c>
      <c r="O280" s="22">
        <f t="shared" ca="1" si="88"/>
        <v>178.42720136570392</v>
      </c>
      <c r="P280" s="23">
        <f t="shared" ca="1" si="89"/>
        <v>-1</v>
      </c>
      <c r="Q280" s="22" t="e">
        <f t="shared" ca="1" si="90"/>
        <v>#VALUE!</v>
      </c>
      <c r="R280" s="23">
        <f t="shared" ca="1" si="91"/>
        <v>-1</v>
      </c>
      <c r="S280" s="24" t="e">
        <f t="shared" ca="1" si="92"/>
        <v>#VALUE!</v>
      </c>
      <c r="T280" s="23">
        <f t="shared" ca="1" si="93"/>
        <v>-1</v>
      </c>
      <c r="U280" s="112">
        <f t="shared" si="104"/>
        <v>2.1063972166651245E-2</v>
      </c>
      <c r="V280" s="109">
        <f t="shared" si="105"/>
        <v>-2.1063972166651245E-2</v>
      </c>
      <c r="W280" s="112">
        <f t="shared" si="106"/>
        <v>2.1063972166651245E-2</v>
      </c>
      <c r="X280" s="113">
        <f t="shared" si="107"/>
        <v>-2.1063972166651245E-2</v>
      </c>
      <c r="Y280" s="32"/>
      <c r="Z280" s="32"/>
      <c r="AA280" s="32"/>
      <c r="AB280" s="32"/>
      <c r="AC280" s="32"/>
      <c r="AD280" s="32"/>
      <c r="AE280" s="32"/>
      <c r="AG280" s="26">
        <f t="shared" si="94"/>
        <v>0</v>
      </c>
      <c r="AH280" s="27">
        <f t="shared" si="95"/>
        <v>5.2799548208968428E-2</v>
      </c>
      <c r="AI280" s="28">
        <f t="shared" si="108"/>
        <v>2.1063972166651245E-2</v>
      </c>
      <c r="AJ280" s="27">
        <f t="shared" si="96"/>
        <v>2.1063972166651245E-2</v>
      </c>
      <c r="AK280" s="28">
        <f t="shared" si="97"/>
        <v>2.0141009727843925E-3</v>
      </c>
      <c r="AL280" s="27">
        <f t="shared" si="98"/>
        <v>2.1063972166651245E-2</v>
      </c>
      <c r="AM280" s="28">
        <f t="shared" si="109"/>
        <v>2.6558345460906185E-2</v>
      </c>
      <c r="AN280" s="27">
        <f t="shared" si="110"/>
        <v>-2.1063972166651245E-2</v>
      </c>
      <c r="AO280" s="28">
        <f t="shared" si="99"/>
        <v>-2.1063972166651245E-2</v>
      </c>
      <c r="AP280" s="27">
        <f t="shared" si="100"/>
        <v>-2.014100972784393E-3</v>
      </c>
      <c r="AQ280" s="29">
        <f t="shared" si="101"/>
        <v>-2.1063972166651245E-2</v>
      </c>
      <c r="AS280" s="30">
        <f t="shared" si="102"/>
        <v>0.87699849735821667</v>
      </c>
      <c r="AT280" s="21">
        <f t="shared" si="103"/>
        <v>2.5243012231715807</v>
      </c>
      <c r="AU280" s="31">
        <f t="shared" ca="1" si="111"/>
        <v>5.8455861650819063E-4</v>
      </c>
      <c r="AV280" s="109">
        <f t="shared" ca="1" si="112"/>
        <v>5.8669321952620201E-4</v>
      </c>
      <c r="AW280" s="27" t="e">
        <f t="shared" ca="1" si="113"/>
        <v>#VALUE!</v>
      </c>
      <c r="AX280" s="29" t="e">
        <f t="shared" ca="1" si="114"/>
        <v>#VALUE!</v>
      </c>
      <c r="AY280" s="72"/>
    </row>
    <row r="281" spans="13:51" s="11" customFormat="1" ht="15.6" customHeight="1" x14ac:dyDescent="0.3">
      <c r="M281" s="20">
        <f t="shared" si="115"/>
        <v>251</v>
      </c>
      <c r="N281" s="21">
        <f t="shared" si="116"/>
        <v>4.3925000000000125</v>
      </c>
      <c r="O281" s="22">
        <f t="shared" ca="1" si="88"/>
        <v>178.62618731034001</v>
      </c>
      <c r="P281" s="23">
        <f t="shared" ca="1" si="89"/>
        <v>-1</v>
      </c>
      <c r="Q281" s="22" t="e">
        <f t="shared" ca="1" si="90"/>
        <v>#VALUE!</v>
      </c>
      <c r="R281" s="23">
        <f t="shared" ca="1" si="91"/>
        <v>-1</v>
      </c>
      <c r="S281" s="24" t="e">
        <f t="shared" ca="1" si="92"/>
        <v>#VALUE!</v>
      </c>
      <c r="T281" s="23">
        <f t="shared" ca="1" si="93"/>
        <v>-1</v>
      </c>
      <c r="U281" s="112">
        <f t="shared" si="104"/>
        <v>2.0970783137535358E-2</v>
      </c>
      <c r="V281" s="109">
        <f t="shared" si="105"/>
        <v>-2.0970783137535358E-2</v>
      </c>
      <c r="W281" s="112">
        <f t="shared" si="106"/>
        <v>2.0970783137535358E-2</v>
      </c>
      <c r="X281" s="113">
        <f t="shared" si="107"/>
        <v>-2.0970783137535358E-2</v>
      </c>
      <c r="Y281" s="32"/>
      <c r="Z281" s="32"/>
      <c r="AA281" s="32"/>
      <c r="AB281" s="32"/>
      <c r="AC281" s="32"/>
      <c r="AD281" s="32"/>
      <c r="AE281" s="32"/>
      <c r="AG281" s="26">
        <f t="shared" si="94"/>
        <v>0</v>
      </c>
      <c r="AH281" s="27">
        <f t="shared" si="95"/>
        <v>5.2565957953701128E-2</v>
      </c>
      <c r="AI281" s="28">
        <f t="shared" si="108"/>
        <v>2.0970783137535358E-2</v>
      </c>
      <c r="AJ281" s="27">
        <f t="shared" si="96"/>
        <v>2.0970783137535358E-2</v>
      </c>
      <c r="AK281" s="28">
        <f t="shared" si="97"/>
        <v>2.0011920076742152E-3</v>
      </c>
      <c r="AL281" s="27">
        <f t="shared" si="98"/>
        <v>2.0970783137535358E-2</v>
      </c>
      <c r="AM281" s="28">
        <f t="shared" si="109"/>
        <v>2.6558345460906185E-2</v>
      </c>
      <c r="AN281" s="27">
        <f t="shared" si="110"/>
        <v>-2.0970783137535358E-2</v>
      </c>
      <c r="AO281" s="28">
        <f t="shared" si="99"/>
        <v>-2.0970783137535358E-2</v>
      </c>
      <c r="AP281" s="27">
        <f t="shared" si="100"/>
        <v>-2.0011920076742152E-3</v>
      </c>
      <c r="AQ281" s="29">
        <f t="shared" si="101"/>
        <v>-2.0970783137535358E-2</v>
      </c>
      <c r="AS281" s="30">
        <f t="shared" si="102"/>
        <v>0.87653819398731103</v>
      </c>
      <c r="AT281" s="21">
        <f t="shared" si="103"/>
        <v>2.5081222347008825</v>
      </c>
      <c r="AU281" s="31">
        <f t="shared" ca="1" si="111"/>
        <v>5.8463285175180957E-4</v>
      </c>
      <c r="AV281" s="109">
        <f t="shared" ca="1" si="112"/>
        <v>5.8676398554002862E-4</v>
      </c>
      <c r="AW281" s="27" t="e">
        <f t="shared" ca="1" si="113"/>
        <v>#VALUE!</v>
      </c>
      <c r="AX281" s="29" t="e">
        <f t="shared" ca="1" si="114"/>
        <v>#VALUE!</v>
      </c>
      <c r="AY281" s="72"/>
    </row>
    <row r="282" spans="13:51" s="11" customFormat="1" ht="15.6" customHeight="1" x14ac:dyDescent="0.3">
      <c r="M282" s="20">
        <f t="shared" si="115"/>
        <v>252</v>
      </c>
      <c r="N282" s="21">
        <f t="shared" si="116"/>
        <v>4.4100000000000126</v>
      </c>
      <c r="O282" s="22">
        <f t="shared" ca="1" si="88"/>
        <v>178.82429499275034</v>
      </c>
      <c r="P282" s="23">
        <f t="shared" ca="1" si="89"/>
        <v>-1</v>
      </c>
      <c r="Q282" s="22" t="e">
        <f t="shared" ca="1" si="90"/>
        <v>#VALUE!</v>
      </c>
      <c r="R282" s="23">
        <f t="shared" ca="1" si="91"/>
        <v>-1</v>
      </c>
      <c r="S282" s="24" t="e">
        <f t="shared" ca="1" si="92"/>
        <v>#VALUE!</v>
      </c>
      <c r="T282" s="23">
        <f t="shared" ca="1" si="93"/>
        <v>-1</v>
      </c>
      <c r="U282" s="112">
        <f t="shared" si="104"/>
        <v>2.0876900767569317E-2</v>
      </c>
      <c r="V282" s="109">
        <f t="shared" si="105"/>
        <v>-2.0876900767569317E-2</v>
      </c>
      <c r="W282" s="112">
        <f t="shared" si="106"/>
        <v>2.0876900767569317E-2</v>
      </c>
      <c r="X282" s="113">
        <f t="shared" si="107"/>
        <v>-2.0876900767569317E-2</v>
      </c>
      <c r="Y282" s="32"/>
      <c r="Z282" s="32"/>
      <c r="AA282" s="32"/>
      <c r="AB282" s="32"/>
      <c r="AC282" s="32"/>
      <c r="AD282" s="32"/>
      <c r="AE282" s="32"/>
      <c r="AG282" s="26">
        <f t="shared" si="94"/>
        <v>0</v>
      </c>
      <c r="AH282" s="27">
        <f t="shared" si="95"/>
        <v>5.2330629750654882E-2</v>
      </c>
      <c r="AI282" s="28">
        <f t="shared" si="108"/>
        <v>2.0876900767569317E-2</v>
      </c>
      <c r="AJ282" s="27">
        <f t="shared" si="96"/>
        <v>2.0876900767569317E-2</v>
      </c>
      <c r="AK282" s="28">
        <f t="shared" si="97"/>
        <v>1.9882762635780272E-3</v>
      </c>
      <c r="AL282" s="27">
        <f t="shared" si="98"/>
        <v>2.0876900767569317E-2</v>
      </c>
      <c r="AM282" s="28">
        <f t="shared" si="109"/>
        <v>2.6558345460906185E-2</v>
      </c>
      <c r="AN282" s="27">
        <f t="shared" si="110"/>
        <v>-2.0876900767569317E-2</v>
      </c>
      <c r="AO282" s="28">
        <f t="shared" si="99"/>
        <v>-2.0876900767569317E-2</v>
      </c>
      <c r="AP282" s="27">
        <f t="shared" si="100"/>
        <v>-1.9882762635780277E-3</v>
      </c>
      <c r="AQ282" s="29">
        <f t="shared" si="101"/>
        <v>-2.0876900767569317E-2</v>
      </c>
      <c r="AS282" s="30">
        <f t="shared" si="102"/>
        <v>0.87607813221225073</v>
      </c>
      <c r="AT282" s="21">
        <f t="shared" si="103"/>
        <v>2.4919347500311813</v>
      </c>
      <c r="AU282" s="31">
        <f t="shared" ca="1" si="111"/>
        <v>5.8469533595295609E-4</v>
      </c>
      <c r="AV282" s="109">
        <f t="shared" ca="1" si="112"/>
        <v>5.8682300851076175E-4</v>
      </c>
      <c r="AW282" s="27" t="e">
        <f t="shared" ca="1" si="113"/>
        <v>#VALUE!</v>
      </c>
      <c r="AX282" s="29" t="e">
        <f t="shared" ca="1" si="114"/>
        <v>#VALUE!</v>
      </c>
      <c r="AY282" s="72"/>
    </row>
    <row r="283" spans="13:51" s="11" customFormat="1" ht="15.6" customHeight="1" x14ac:dyDescent="0.3">
      <c r="M283" s="20">
        <f t="shared" si="115"/>
        <v>253</v>
      </c>
      <c r="N283" s="21">
        <f t="shared" si="116"/>
        <v>4.4275000000000126</v>
      </c>
      <c r="O283" s="22">
        <f t="shared" ca="1" si="88"/>
        <v>179.02154060991637</v>
      </c>
      <c r="P283" s="23">
        <f t="shared" ca="1" si="89"/>
        <v>-1</v>
      </c>
      <c r="Q283" s="22" t="e">
        <f t="shared" ca="1" si="90"/>
        <v>#VALUE!</v>
      </c>
      <c r="R283" s="23">
        <f t="shared" ca="1" si="91"/>
        <v>-1</v>
      </c>
      <c r="S283" s="24" t="e">
        <f t="shared" ca="1" si="92"/>
        <v>#VALUE!</v>
      </c>
      <c r="T283" s="23">
        <f t="shared" ca="1" si="93"/>
        <v>-1</v>
      </c>
      <c r="U283" s="112">
        <f t="shared" si="104"/>
        <v>2.0782326694894757E-2</v>
      </c>
      <c r="V283" s="109">
        <f t="shared" si="105"/>
        <v>-2.0782326694894757E-2</v>
      </c>
      <c r="W283" s="112">
        <f t="shared" si="106"/>
        <v>2.0782326694894757E-2</v>
      </c>
      <c r="X283" s="113">
        <f t="shared" si="107"/>
        <v>-2.0782326694894757E-2</v>
      </c>
      <c r="Y283" s="32"/>
      <c r="Z283" s="32"/>
      <c r="AA283" s="32"/>
      <c r="AB283" s="32"/>
      <c r="AC283" s="32"/>
      <c r="AD283" s="32"/>
      <c r="AE283" s="32"/>
      <c r="AG283" s="26">
        <f t="shared" si="94"/>
        <v>0</v>
      </c>
      <c r="AH283" s="27">
        <f t="shared" si="95"/>
        <v>5.2093567706041823E-2</v>
      </c>
      <c r="AI283" s="28">
        <f t="shared" si="108"/>
        <v>2.0782326694894757E-2</v>
      </c>
      <c r="AJ283" s="27">
        <f t="shared" si="96"/>
        <v>2.0782326694894757E-2</v>
      </c>
      <c r="AK283" s="28">
        <f t="shared" si="97"/>
        <v>1.9753537369359272E-3</v>
      </c>
      <c r="AL283" s="27">
        <f t="shared" si="98"/>
        <v>2.0782326694894757E-2</v>
      </c>
      <c r="AM283" s="28">
        <f t="shared" si="109"/>
        <v>2.6558345460906185E-2</v>
      </c>
      <c r="AN283" s="27">
        <f t="shared" si="110"/>
        <v>-2.0782326694894757E-2</v>
      </c>
      <c r="AO283" s="28">
        <f t="shared" si="99"/>
        <v>-2.0782326694894757E-2</v>
      </c>
      <c r="AP283" s="27">
        <f t="shared" si="100"/>
        <v>-1.9753537369359272E-3</v>
      </c>
      <c r="AQ283" s="29">
        <f t="shared" si="101"/>
        <v>-2.0782326694894757E-2</v>
      </c>
      <c r="AS283" s="30">
        <f t="shared" si="102"/>
        <v>0.87561831190623107</v>
      </c>
      <c r="AT283" s="21">
        <f t="shared" si="103"/>
        <v>2.4757387647008007</v>
      </c>
      <c r="AU283" s="31">
        <f t="shared" ca="1" si="111"/>
        <v>5.8476091537496E-4</v>
      </c>
      <c r="AV283" s="109">
        <f t="shared" ca="1" si="112"/>
        <v>5.868851238879369E-4</v>
      </c>
      <c r="AW283" s="27" t="e">
        <f t="shared" ca="1" si="113"/>
        <v>#VALUE!</v>
      </c>
      <c r="AX283" s="29" t="e">
        <f t="shared" ca="1" si="114"/>
        <v>#VALUE!</v>
      </c>
      <c r="AY283" s="72"/>
    </row>
    <row r="284" spans="13:51" s="11" customFormat="1" ht="15.6" customHeight="1" x14ac:dyDescent="0.3">
      <c r="M284" s="20">
        <f t="shared" si="115"/>
        <v>254</v>
      </c>
      <c r="N284" s="21">
        <f t="shared" si="116"/>
        <v>4.4450000000000127</v>
      </c>
      <c r="O284" s="22">
        <f t="shared" ca="1" si="88"/>
        <v>179.21791733759969</v>
      </c>
      <c r="P284" s="23">
        <f t="shared" ca="1" si="89"/>
        <v>-1</v>
      </c>
      <c r="Q284" s="22" t="e">
        <f t="shared" ca="1" si="90"/>
        <v>#VALUE!</v>
      </c>
      <c r="R284" s="23">
        <f t="shared" ca="1" si="91"/>
        <v>-1</v>
      </c>
      <c r="S284" s="24" t="e">
        <f t="shared" ca="1" si="92"/>
        <v>#VALUE!</v>
      </c>
      <c r="T284" s="23">
        <f t="shared" ca="1" si="93"/>
        <v>-1</v>
      </c>
      <c r="U284" s="112">
        <f t="shared" si="104"/>
        <v>2.0687062541450356E-2</v>
      </c>
      <c r="V284" s="109">
        <f t="shared" si="105"/>
        <v>-2.0687062541450356E-2</v>
      </c>
      <c r="W284" s="112">
        <f t="shared" si="106"/>
        <v>2.0687062541450356E-2</v>
      </c>
      <c r="X284" s="113">
        <f t="shared" si="107"/>
        <v>-2.0687062541450356E-2</v>
      </c>
      <c r="Y284" s="32"/>
      <c r="Z284" s="32"/>
      <c r="AA284" s="32"/>
      <c r="AB284" s="32"/>
      <c r="AC284" s="32"/>
      <c r="AD284" s="32"/>
      <c r="AE284" s="32"/>
      <c r="AG284" s="26">
        <f t="shared" si="94"/>
        <v>0</v>
      </c>
      <c r="AH284" s="27">
        <f t="shared" si="95"/>
        <v>5.1854775885459302E-2</v>
      </c>
      <c r="AI284" s="28">
        <f t="shared" si="108"/>
        <v>2.0687062541450356E-2</v>
      </c>
      <c r="AJ284" s="27">
        <f t="shared" si="96"/>
        <v>2.0687062541450356E-2</v>
      </c>
      <c r="AK284" s="28">
        <f t="shared" si="97"/>
        <v>1.9624244241861427E-3</v>
      </c>
      <c r="AL284" s="27">
        <f t="shared" si="98"/>
        <v>2.0687062541450356E-2</v>
      </c>
      <c r="AM284" s="28">
        <f t="shared" si="109"/>
        <v>2.6558345460906185E-2</v>
      </c>
      <c r="AN284" s="27">
        <f t="shared" si="110"/>
        <v>-2.0687062541450356E-2</v>
      </c>
      <c r="AO284" s="28">
        <f t="shared" si="99"/>
        <v>-2.0687062541450356E-2</v>
      </c>
      <c r="AP284" s="27">
        <f t="shared" si="100"/>
        <v>-1.9624244241861427E-3</v>
      </c>
      <c r="AQ284" s="29">
        <f t="shared" si="101"/>
        <v>-2.0687062541450356E-2</v>
      </c>
      <c r="AS284" s="30">
        <f t="shared" si="102"/>
        <v>0.87515873294251423</v>
      </c>
      <c r="AT284" s="21">
        <f t="shared" si="103"/>
        <v>2.4595342742457227</v>
      </c>
      <c r="AU284" s="31">
        <f t="shared" ca="1" si="111"/>
        <v>5.8481481145578051E-4</v>
      </c>
      <c r="AV284" s="109">
        <f t="shared" ca="1" si="112"/>
        <v>5.8693556401778757E-4</v>
      </c>
      <c r="AW284" s="27" t="e">
        <f t="shared" ca="1" si="113"/>
        <v>#VALUE!</v>
      </c>
      <c r="AX284" s="29" t="e">
        <f t="shared" ca="1" si="114"/>
        <v>#VALUE!</v>
      </c>
      <c r="AY284" s="72"/>
    </row>
    <row r="285" spans="13:51" s="11" customFormat="1" ht="15.6" customHeight="1" x14ac:dyDescent="0.3">
      <c r="M285" s="20">
        <f t="shared" si="115"/>
        <v>255</v>
      </c>
      <c r="N285" s="21">
        <f t="shared" si="116"/>
        <v>4.4625000000000128</v>
      </c>
      <c r="O285" s="22">
        <f t="shared" ca="1" si="88"/>
        <v>179.41342221027642</v>
      </c>
      <c r="P285" s="23">
        <f t="shared" ca="1" si="89"/>
        <v>-1</v>
      </c>
      <c r="Q285" s="22" t="e">
        <f t="shared" ca="1" si="90"/>
        <v>#VALUE!</v>
      </c>
      <c r="R285" s="23">
        <f t="shared" ca="1" si="91"/>
        <v>-1</v>
      </c>
      <c r="S285" s="24" t="e">
        <f t="shared" ca="1" si="92"/>
        <v>#VALUE!</v>
      </c>
      <c r="T285" s="23">
        <f t="shared" ca="1" si="93"/>
        <v>-1</v>
      </c>
      <c r="U285" s="112">
        <f t="shared" si="104"/>
        <v>2.0591109913179705E-2</v>
      </c>
      <c r="V285" s="109">
        <f t="shared" si="105"/>
        <v>-2.0591109913179705E-2</v>
      </c>
      <c r="W285" s="112">
        <f t="shared" si="106"/>
        <v>2.0591109913179705E-2</v>
      </c>
      <c r="X285" s="113">
        <f t="shared" si="107"/>
        <v>-2.0591109913179705E-2</v>
      </c>
      <c r="Y285" s="32"/>
      <c r="Z285" s="32"/>
      <c r="AA285" s="32"/>
      <c r="AB285" s="32"/>
      <c r="AC285" s="32"/>
      <c r="AD285" s="32"/>
      <c r="AE285" s="32"/>
      <c r="AG285" s="26">
        <f t="shared" si="94"/>
        <v>0</v>
      </c>
      <c r="AH285" s="27">
        <f t="shared" si="95"/>
        <v>5.1614258314410931E-2</v>
      </c>
      <c r="AI285" s="28">
        <f t="shared" si="108"/>
        <v>2.0591109913179705E-2</v>
      </c>
      <c r="AJ285" s="27">
        <f t="shared" si="96"/>
        <v>2.0591109913179705E-2</v>
      </c>
      <c r="AK285" s="28">
        <f t="shared" si="97"/>
        <v>1.9494883217650294E-3</v>
      </c>
      <c r="AL285" s="27">
        <f t="shared" si="98"/>
        <v>2.0591109913179705E-2</v>
      </c>
      <c r="AM285" s="28">
        <f t="shared" si="109"/>
        <v>2.6558345460906185E-2</v>
      </c>
      <c r="AN285" s="27">
        <f t="shared" si="110"/>
        <v>-2.0591109913179705E-2</v>
      </c>
      <c r="AO285" s="28">
        <f t="shared" si="99"/>
        <v>-2.0591109913179705E-2</v>
      </c>
      <c r="AP285" s="27">
        <f t="shared" si="100"/>
        <v>-1.9494883217650294E-3</v>
      </c>
      <c r="AQ285" s="29">
        <f t="shared" si="101"/>
        <v>-2.0591109913179705E-2</v>
      </c>
      <c r="AS285" s="30">
        <f t="shared" si="102"/>
        <v>0.87469939519442874</v>
      </c>
      <c r="AT285" s="21">
        <f t="shared" si="103"/>
        <v>2.44332127419958</v>
      </c>
      <c r="AU285" s="31">
        <f t="shared" ca="1" si="111"/>
        <v>5.8485949574460516E-4</v>
      </c>
      <c r="AV285" s="109">
        <f t="shared" ca="1" si="112"/>
        <v>5.8697679874775144E-4</v>
      </c>
      <c r="AW285" s="27" t="e">
        <f t="shared" ca="1" si="113"/>
        <v>#VALUE!</v>
      </c>
      <c r="AX285" s="29" t="e">
        <f t="shared" ca="1" si="114"/>
        <v>#VALUE!</v>
      </c>
      <c r="AY285" s="72"/>
    </row>
    <row r="286" spans="13:51" s="11" customFormat="1" ht="15.6" customHeight="1" x14ac:dyDescent="0.3">
      <c r="M286" s="20">
        <f t="shared" si="115"/>
        <v>256</v>
      </c>
      <c r="N286" s="21">
        <f t="shared" si="116"/>
        <v>4.4800000000000129</v>
      </c>
      <c r="O286" s="22">
        <f t="shared" ref="O286:O349" ca="1" si="117">CubicSpline(OFFSET($B$18,0,0,NumCurvePoints,1),OFFSET($C$18,0,0,NumCurvePoints,1),N286)</f>
        <v>179.60805984329645</v>
      </c>
      <c r="P286" s="23">
        <f t="shared" ref="P286:P349" ca="1" si="118">IF(ISERROR(MATCH(M286,$A$20:$A$27,0)),-1,OFFSET($C$17,MATCH(M286,$A$20:$A$27,0),0,1,1))</f>
        <v>-1</v>
      </c>
      <c r="Q286" s="22" t="e">
        <f t="shared" ref="Q286:Q349" ca="1" si="119">CubicSpline(OFFSET($B$18,0,0,NumCurvePoints2,1),OFFSET($D$18,0,0,NumCurvePoints2,1),N286)</f>
        <v>#VALUE!</v>
      </c>
      <c r="R286" s="23">
        <f t="shared" ref="R286:R349" ca="1" si="120">IF(ISERROR(MATCH(M286,$A$20:$A$27,0)),-1,OFFSET($D$17,MATCH(M286,$A$20:$A$27,0),0,1,1))</f>
        <v>-1</v>
      </c>
      <c r="S286" s="24" t="e">
        <f t="shared" ref="S286:S349" ca="1" si="121">CubicSpline(OFFSET($B$18,0,0,NumCurvePoints3,1),OFFSET($E$18,0,0,NumCurvePoints3,1),N286)</f>
        <v>#VALUE!</v>
      </c>
      <c r="T286" s="23">
        <f t="shared" ref="T286:T349" ca="1" si="122">IF(ISERROR(MATCH(M286,$A$20:$A$27,0)),-1,OFFSET($E$17,MATCH(M286,$A$20:$A$27,0),0,1,1))</f>
        <v>-1</v>
      </c>
      <c r="U286" s="112">
        <f t="shared" si="104"/>
        <v>2.0494470400235769E-2</v>
      </c>
      <c r="V286" s="109">
        <f t="shared" si="105"/>
        <v>-2.0494470400235769E-2</v>
      </c>
      <c r="W286" s="112">
        <f t="shared" si="106"/>
        <v>2.0494470400235769E-2</v>
      </c>
      <c r="X286" s="113">
        <f t="shared" si="107"/>
        <v>-2.0494470400235769E-2</v>
      </c>
      <c r="Y286" s="32"/>
      <c r="Z286" s="32"/>
      <c r="AA286" s="32"/>
      <c r="AB286" s="32"/>
      <c r="AC286" s="32"/>
      <c r="AD286" s="32"/>
      <c r="AE286" s="32"/>
      <c r="AG286" s="26">
        <f t="shared" ref="AG286:AG349" si="123">(SwapRate1-InterestRate)*AT286</f>
        <v>0</v>
      </c>
      <c r="AH286" s="27">
        <f t="shared" ref="AH286:AH349" si="124">MAX(0.0000000001,SQRT(N286)*AT286*IRVol)</f>
        <v>5.1372018978819094E-2</v>
      </c>
      <c r="AI286" s="28">
        <f t="shared" si="108"/>
        <v>2.0494470400235769E-2</v>
      </c>
      <c r="AJ286" s="27">
        <f t="shared" ref="AJ286:AJ349" si="125">AI286-IF(ThresholdB="",0,1)*IF((ThresholdB-AG286)/AH286&gt;6,0,(1-NORMSDIST((ThresholdB-AG286)/AH286))*(AG286+AH286*NORMDIST(((ThresholdB-AG286)/AH286),0,1,FALSE)/(1-NORMSDIST((ThresholdB-AG286)/AH286))-ThresholdB))</f>
        <v>2.0494470400235769E-2</v>
      </c>
      <c r="AK286" s="28">
        <f t="shared" ref="AK286:AK349" si="126">-InitialMargin2*NORMSDIST(-InitialMargin2/(IRVol*SQRT(MPR/250)*AT286))+(IRVol*SQRT(MPR/250)*AT286)*NORMDIST(-InitialMargin2/(IRVol*SQRT(MPR/250)*AT286),0,1,FALSE)</f>
        <v>1.9365454261070774E-3</v>
      </c>
      <c r="AL286" s="27">
        <f t="shared" ref="AL286:AL349" si="127">IF(OR(BreakMat="",BreakMat=0,BreakMat&gt;N286),IF(AND(ThresholdB="",ThresholdA=0,ThresholdA&lt;&gt;""),AJ286+AK286,IF(AND(ThresholdB=0,ThresholdB&lt;&gt;""),AK286,IF(ThresholdB&gt;0,MAX(AJ286,AK286),AJ286))))</f>
        <v>2.0494470400235769E-2</v>
      </c>
      <c r="AM286" s="28">
        <f t="shared" si="109"/>
        <v>2.6558345460906185E-2</v>
      </c>
      <c r="AN286" s="27">
        <f t="shared" si="110"/>
        <v>-2.0494470400235769E-2</v>
      </c>
      <c r="AO286" s="28">
        <f t="shared" ref="AO286:AO349" si="128">AN286+IF(AND(ThresholdA&lt;&gt;"",(ThresholdA+AG286)/AH286&lt;6),(1-NORMSDIST((ThresholdA+AG286)/AH286))*(-AG286+AH286*NORMDIST(((ThresholdA+AG286)/AH286),0,1,FALSE)/(1-NORMSDIST((ThresholdA+AG286)/AH286))-ThresholdA))</f>
        <v>-2.0494470400235769E-2</v>
      </c>
      <c r="AP286" s="27">
        <f t="shared" ref="AP286:AP349" si="129">InitialMargin1*NORMSDIST(-InitialMargin1/(IRVol*AT286*SQRT(MPR/250)))-(IRVol*AT286*SQRT(MPR/250))*NORMDIST(-InitialMargin1/(IRVol*AT286*SQRT(MPR/250)),0,1,FALSE)</f>
        <v>-1.9365454261070774E-3</v>
      </c>
      <c r="AQ286" s="29">
        <f t="shared" ref="AQ286:AQ349" si="130">IF(OR(BreakMat="",BreakMat=0,BreakMat&gt;N286),IF(AND(ThresholdA="",ThresholdB=0,ThresholdB&lt;&gt;""),AO286+AP286,IF(AND(ThresholdA=0,ThresholdA&lt;&gt;""),AP286,MIN(AO286,AP286))))</f>
        <v>-2.0494470400235769E-2</v>
      </c>
      <c r="AS286" s="30">
        <f t="shared" ref="AS286:AS349" si="131">EXP(-InterestRate*N286)</f>
        <v>0.87424029853536955</v>
      </c>
      <c r="AT286" s="21">
        <f t="shared" ref="AT286:AT349" si="132">MAX((1-EXP(-(Maturity1-N286)*InterestRate))/InterestRate,0)</f>
        <v>2.427099760093669</v>
      </c>
      <c r="AU286" s="31">
        <f t="shared" ca="1" si="111"/>
        <v>5.8489991125809659E-4</v>
      </c>
      <c r="AV286" s="109">
        <f t="shared" ca="1" si="112"/>
        <v>5.870137675130227E-4</v>
      </c>
      <c r="AW286" s="27" t="e">
        <f t="shared" ca="1" si="113"/>
        <v>#VALUE!</v>
      </c>
      <c r="AX286" s="29" t="e">
        <f t="shared" ca="1" si="114"/>
        <v>#VALUE!</v>
      </c>
      <c r="AY286" s="72"/>
    </row>
    <row r="287" spans="13:51" s="11" customFormat="1" ht="15.6" customHeight="1" x14ac:dyDescent="0.3">
      <c r="M287" s="20">
        <f t="shared" si="115"/>
        <v>257</v>
      </c>
      <c r="N287" s="21">
        <f t="shared" si="116"/>
        <v>4.4975000000000129</v>
      </c>
      <c r="O287" s="22">
        <f t="shared" ca="1" si="117"/>
        <v>179.80183499675499</v>
      </c>
      <c r="P287" s="23">
        <f t="shared" ca="1" si="118"/>
        <v>-1</v>
      </c>
      <c r="Q287" s="22" t="e">
        <f t="shared" ca="1" si="119"/>
        <v>#VALUE!</v>
      </c>
      <c r="R287" s="23">
        <f t="shared" ca="1" si="120"/>
        <v>-1</v>
      </c>
      <c r="S287" s="24" t="e">
        <f t="shared" ca="1" si="121"/>
        <v>#VALUE!</v>
      </c>
      <c r="T287" s="23">
        <f t="shared" ca="1" si="122"/>
        <v>-1</v>
      </c>
      <c r="U287" s="112">
        <f t="shared" ref="U287:U350" si="133">AI287</f>
        <v>2.0397145577181693E-2</v>
      </c>
      <c r="V287" s="109">
        <f t="shared" ref="V287:V350" si="134">AN287</f>
        <v>-2.0397145577181693E-2</v>
      </c>
      <c r="W287" s="112">
        <f t="shared" ref="W287:W350" si="135">AL287</f>
        <v>2.0397145577181693E-2</v>
      </c>
      <c r="X287" s="113">
        <f t="shared" ref="X287:X350" si="136">AQ287</f>
        <v>-2.0397145577181693E-2</v>
      </c>
      <c r="Y287" s="32"/>
      <c r="Z287" s="32"/>
      <c r="AA287" s="32"/>
      <c r="AB287" s="32"/>
      <c r="AC287" s="32"/>
      <c r="AD287" s="32"/>
      <c r="AE287" s="32"/>
      <c r="AG287" s="26">
        <f t="shared" si="123"/>
        <v>0</v>
      </c>
      <c r="AH287" s="27">
        <f t="shared" si="124"/>
        <v>5.1128061825528287E-2</v>
      </c>
      <c r="AI287" s="28">
        <f t="shared" ref="AI287:AI350" si="137">(AG287*NORMSDIST(AG287/AH287)+AH287*NORMDIST(AG287/AH287,0,1,FALSE))</f>
        <v>2.0397145577181693E-2</v>
      </c>
      <c r="AJ287" s="27">
        <f t="shared" si="125"/>
        <v>2.0397145577181693E-2</v>
      </c>
      <c r="AK287" s="28">
        <f t="shared" si="126"/>
        <v>1.9235957336449017E-3</v>
      </c>
      <c r="AL287" s="27">
        <f t="shared" si="127"/>
        <v>2.0397145577181693E-2</v>
      </c>
      <c r="AM287" s="28">
        <f t="shared" ref="AM287:AM350" si="138">MAX(AL287,AM286)</f>
        <v>2.6558345460906185E-2</v>
      </c>
      <c r="AN287" s="27">
        <f t="shared" ref="AN287:AN350" si="139">(AG287*NORMSDIST(-AG287/AH287)-AH287*NORMDIST(-AG287/AH287,0,1,FALSE))</f>
        <v>-2.0397145577181693E-2</v>
      </c>
      <c r="AO287" s="28">
        <f t="shared" si="128"/>
        <v>-2.0397145577181693E-2</v>
      </c>
      <c r="AP287" s="27">
        <f t="shared" si="129"/>
        <v>-1.9235957336449017E-3</v>
      </c>
      <c r="AQ287" s="29">
        <f t="shared" si="130"/>
        <v>-2.0397145577181693E-2</v>
      </c>
      <c r="AS287" s="30">
        <f t="shared" si="131"/>
        <v>0.87378144283879811</v>
      </c>
      <c r="AT287" s="21">
        <f t="shared" si="132"/>
        <v>2.4108697274569364</v>
      </c>
      <c r="AU287" s="31">
        <f t="shared" ref="AU287:AU350" ca="1" si="140">EXP(-N286*O286/CntrptyLGD/10000)-EXP(-N287*O287/CntrptyLGD/10000)</f>
        <v>5.8493620999988671E-4</v>
      </c>
      <c r="AV287" s="109">
        <f t="shared" ref="AV287:AV350" ca="1" si="141">EXP(-N286*(O286+1)/CntrptyLGD/10000)-EXP(-N287*(O287+1)/CntrptyLGD/10000)</f>
        <v>5.8704662225284032E-4</v>
      </c>
      <c r="AW287" s="27" t="e">
        <f t="shared" ref="AW287:AW350" ca="1" si="142">EXP(-N286*Q286/OwnLGD/10000)-EXP(-N287*Q287/OwnLGD/10000)</f>
        <v>#VALUE!</v>
      </c>
      <c r="AX287" s="29" t="e">
        <f t="shared" ref="AX287:AX350" ca="1" si="143">EXP(-N286*S286/10000)-EXP(-N287*S287/10000)</f>
        <v>#VALUE!</v>
      </c>
      <c r="AY287" s="72"/>
    </row>
    <row r="288" spans="13:51" s="11" customFormat="1" ht="15.6" customHeight="1" x14ac:dyDescent="0.3">
      <c r="M288" s="20">
        <f t="shared" ref="M288:M351" si="144">M287+1</f>
        <v>258</v>
      </c>
      <c r="N288" s="21">
        <f t="shared" ref="N288:N351" si="145">N287+Maturity1/400</f>
        <v>4.515000000000013</v>
      </c>
      <c r="O288" s="22">
        <f t="shared" ca="1" si="117"/>
        <v>179.9947446574522</v>
      </c>
      <c r="P288" s="23">
        <f t="shared" ca="1" si="118"/>
        <v>-1</v>
      </c>
      <c r="Q288" s="22" t="e">
        <f t="shared" ca="1" si="119"/>
        <v>#VALUE!</v>
      </c>
      <c r="R288" s="23">
        <f t="shared" ca="1" si="120"/>
        <v>-1</v>
      </c>
      <c r="S288" s="24" t="e">
        <f t="shared" ca="1" si="121"/>
        <v>#VALUE!</v>
      </c>
      <c r="T288" s="23">
        <f t="shared" ca="1" si="122"/>
        <v>-1</v>
      </c>
      <c r="U288" s="112">
        <f t="shared" si="133"/>
        <v>2.0299137003188306E-2</v>
      </c>
      <c r="V288" s="109">
        <f t="shared" si="134"/>
        <v>-2.0299137003188306E-2</v>
      </c>
      <c r="W288" s="112">
        <f t="shared" si="135"/>
        <v>2.0299137003188306E-2</v>
      </c>
      <c r="X288" s="113">
        <f t="shared" si="136"/>
        <v>-2.0299137003188306E-2</v>
      </c>
      <c r="Y288" s="32"/>
      <c r="Z288" s="32"/>
      <c r="AA288" s="32"/>
      <c r="AB288" s="32"/>
      <c r="AC288" s="32"/>
      <c r="AD288" s="32"/>
      <c r="AE288" s="32"/>
      <c r="AG288" s="26">
        <f t="shared" si="123"/>
        <v>0</v>
      </c>
      <c r="AH288" s="27">
        <f t="shared" si="124"/>
        <v>5.0882390762800198E-2</v>
      </c>
      <c r="AI288" s="28">
        <f t="shared" si="137"/>
        <v>2.0299137003188306E-2</v>
      </c>
      <c r="AJ288" s="27">
        <f t="shared" si="125"/>
        <v>2.0299137003188306E-2</v>
      </c>
      <c r="AK288" s="28">
        <f t="shared" si="126"/>
        <v>1.9106392408092404E-3</v>
      </c>
      <c r="AL288" s="27">
        <f t="shared" si="127"/>
        <v>2.0299137003188306E-2</v>
      </c>
      <c r="AM288" s="28">
        <f t="shared" si="138"/>
        <v>2.6558345460906185E-2</v>
      </c>
      <c r="AN288" s="27">
        <f t="shared" si="139"/>
        <v>-2.0299137003188306E-2</v>
      </c>
      <c r="AO288" s="28">
        <f t="shared" si="128"/>
        <v>-2.0299137003188306E-2</v>
      </c>
      <c r="AP288" s="27">
        <f t="shared" si="129"/>
        <v>-1.9106392408092404E-3</v>
      </c>
      <c r="AQ288" s="29">
        <f t="shared" si="130"/>
        <v>-2.0299137003188306E-2</v>
      </c>
      <c r="AS288" s="30">
        <f t="shared" si="131"/>
        <v>0.87332282797824246</v>
      </c>
      <c r="AT288" s="21">
        <f t="shared" si="132"/>
        <v>2.3946311718159752</v>
      </c>
      <c r="AU288" s="31">
        <f t="shared" ca="1" si="140"/>
        <v>5.849633417824851E-4</v>
      </c>
      <c r="AV288" s="109">
        <f t="shared" ca="1" si="141"/>
        <v>5.8707031662652565E-4</v>
      </c>
      <c r="AW288" s="27" t="e">
        <f t="shared" ca="1" si="142"/>
        <v>#VALUE!</v>
      </c>
      <c r="AX288" s="29" t="e">
        <f t="shared" ca="1" si="143"/>
        <v>#VALUE!</v>
      </c>
      <c r="AY288" s="72"/>
    </row>
    <row r="289" spans="13:51" s="11" customFormat="1" ht="15.6" customHeight="1" x14ac:dyDescent="0.3">
      <c r="M289" s="20">
        <f t="shared" si="144"/>
        <v>259</v>
      </c>
      <c r="N289" s="21">
        <f t="shared" si="145"/>
        <v>4.5325000000000131</v>
      </c>
      <c r="O289" s="22">
        <f t="shared" ca="1" si="117"/>
        <v>180.18678583442056</v>
      </c>
      <c r="P289" s="23">
        <f t="shared" ca="1" si="118"/>
        <v>-1</v>
      </c>
      <c r="Q289" s="22" t="e">
        <f t="shared" ca="1" si="119"/>
        <v>#VALUE!</v>
      </c>
      <c r="R289" s="23">
        <f t="shared" ca="1" si="120"/>
        <v>-1</v>
      </c>
      <c r="S289" s="24" t="e">
        <f t="shared" ca="1" si="121"/>
        <v>#VALUE!</v>
      </c>
      <c r="T289" s="23">
        <f t="shared" ca="1" si="122"/>
        <v>-1</v>
      </c>
      <c r="U289" s="112">
        <f t="shared" si="133"/>
        <v>2.020044622222843E-2</v>
      </c>
      <c r="V289" s="109">
        <f t="shared" si="134"/>
        <v>-2.020044622222843E-2</v>
      </c>
      <c r="W289" s="112">
        <f t="shared" si="135"/>
        <v>2.020044622222843E-2</v>
      </c>
      <c r="X289" s="113">
        <f t="shared" si="136"/>
        <v>-2.020044622222843E-2</v>
      </c>
      <c r="Y289" s="32"/>
      <c r="Z289" s="32"/>
      <c r="AA289" s="32"/>
      <c r="AB289" s="32"/>
      <c r="AC289" s="32"/>
      <c r="AD289" s="32"/>
      <c r="AE289" s="32"/>
      <c r="AG289" s="26">
        <f t="shared" si="123"/>
        <v>0</v>
      </c>
      <c r="AH289" s="27">
        <f t="shared" si="124"/>
        <v>5.0635009660800756E-2</v>
      </c>
      <c r="AI289" s="28">
        <f t="shared" si="137"/>
        <v>2.020044622222843E-2</v>
      </c>
      <c r="AJ289" s="27">
        <f t="shared" si="125"/>
        <v>2.020044622222843E-2</v>
      </c>
      <c r="AK289" s="28">
        <f t="shared" si="126"/>
        <v>1.89767594402896E-3</v>
      </c>
      <c r="AL289" s="27">
        <f t="shared" si="127"/>
        <v>2.020044622222843E-2</v>
      </c>
      <c r="AM289" s="28">
        <f t="shared" si="138"/>
        <v>2.6558345460906185E-2</v>
      </c>
      <c r="AN289" s="27">
        <f t="shared" si="139"/>
        <v>-2.020044622222843E-2</v>
      </c>
      <c r="AO289" s="28">
        <f t="shared" si="128"/>
        <v>-2.020044622222843E-2</v>
      </c>
      <c r="AP289" s="27">
        <f t="shared" si="129"/>
        <v>-1.89767594402896E-3</v>
      </c>
      <c r="AQ289" s="29">
        <f t="shared" si="130"/>
        <v>-2.020044622222843E-2</v>
      </c>
      <c r="AS289" s="30">
        <f t="shared" si="131"/>
        <v>0.87286445382729683</v>
      </c>
      <c r="AT289" s="21">
        <f t="shared" si="132"/>
        <v>2.3783840886950331</v>
      </c>
      <c r="AU289" s="31">
        <f t="shared" ca="1" si="140"/>
        <v>5.8498131389439489E-4</v>
      </c>
      <c r="AV289" s="109">
        <f t="shared" ca="1" si="141"/>
        <v>5.8708485802394517E-4</v>
      </c>
      <c r="AW289" s="27" t="e">
        <f t="shared" ca="1" si="142"/>
        <v>#VALUE!</v>
      </c>
      <c r="AX289" s="29" t="e">
        <f t="shared" ca="1" si="143"/>
        <v>#VALUE!</v>
      </c>
      <c r="AY289" s="72"/>
    </row>
    <row r="290" spans="13:51" s="11" customFormat="1" ht="15.6" customHeight="1" x14ac:dyDescent="0.3">
      <c r="M290" s="20">
        <f t="shared" si="144"/>
        <v>260</v>
      </c>
      <c r="N290" s="21">
        <f t="shared" si="145"/>
        <v>4.5500000000000131</v>
      </c>
      <c r="O290" s="22">
        <f t="shared" ca="1" si="117"/>
        <v>180.3779632162414</v>
      </c>
      <c r="P290" s="23">
        <f t="shared" ca="1" si="118"/>
        <v>-1</v>
      </c>
      <c r="Q290" s="22" t="e">
        <f t="shared" ca="1" si="119"/>
        <v>#VALUE!</v>
      </c>
      <c r="R290" s="23">
        <f t="shared" ca="1" si="120"/>
        <v>-1</v>
      </c>
      <c r="S290" s="24" t="e">
        <f t="shared" ca="1" si="121"/>
        <v>#VALUE!</v>
      </c>
      <c r="T290" s="23">
        <f t="shared" ca="1" si="122"/>
        <v>-1</v>
      </c>
      <c r="U290" s="112">
        <f t="shared" si="133"/>
        <v>2.0101074763267862E-2</v>
      </c>
      <c r="V290" s="109">
        <f t="shared" si="134"/>
        <v>-2.0101074763267862E-2</v>
      </c>
      <c r="W290" s="112">
        <f t="shared" si="135"/>
        <v>2.0101074763267862E-2</v>
      </c>
      <c r="X290" s="113">
        <f t="shared" si="136"/>
        <v>-2.0101074763267862E-2</v>
      </c>
      <c r="Y290" s="32"/>
      <c r="Z290" s="32"/>
      <c r="AA290" s="32"/>
      <c r="AB290" s="32"/>
      <c r="AC290" s="32"/>
      <c r="AD290" s="32"/>
      <c r="AE290" s="32"/>
      <c r="AG290" s="26">
        <f t="shared" si="123"/>
        <v>0</v>
      </c>
      <c r="AH290" s="27">
        <f t="shared" si="124"/>
        <v>5.0385922352078866E-2</v>
      </c>
      <c r="AI290" s="28">
        <f t="shared" si="137"/>
        <v>2.0101074763267862E-2</v>
      </c>
      <c r="AJ290" s="27">
        <f t="shared" si="125"/>
        <v>2.0101074763267862E-2</v>
      </c>
      <c r="AK290" s="28">
        <f t="shared" si="126"/>
        <v>1.8847058397310529E-3</v>
      </c>
      <c r="AL290" s="27">
        <f t="shared" si="127"/>
        <v>2.0101074763267862E-2</v>
      </c>
      <c r="AM290" s="28">
        <f t="shared" si="138"/>
        <v>2.6558345460906185E-2</v>
      </c>
      <c r="AN290" s="27">
        <f t="shared" si="139"/>
        <v>-2.0101074763267862E-2</v>
      </c>
      <c r="AO290" s="28">
        <f t="shared" si="128"/>
        <v>-2.0101074763267862E-2</v>
      </c>
      <c r="AP290" s="27">
        <f t="shared" si="129"/>
        <v>-1.8847058397310529E-3</v>
      </c>
      <c r="AQ290" s="29">
        <f t="shared" si="130"/>
        <v>-2.0101074763267862E-2</v>
      </c>
      <c r="AS290" s="30">
        <f t="shared" si="131"/>
        <v>0.87240632025962173</v>
      </c>
      <c r="AT290" s="21">
        <f t="shared" si="132"/>
        <v>2.3621284736160097</v>
      </c>
      <c r="AU290" s="31">
        <f t="shared" ca="1" si="140"/>
        <v>5.8499519839927405E-4</v>
      </c>
      <c r="AV290" s="109">
        <f t="shared" ca="1" si="141"/>
        <v>5.8709531477085797E-4</v>
      </c>
      <c r="AW290" s="27" t="e">
        <f t="shared" ca="1" si="142"/>
        <v>#VALUE!</v>
      </c>
      <c r="AX290" s="29" t="e">
        <f t="shared" ca="1" si="143"/>
        <v>#VALUE!</v>
      </c>
      <c r="AY290" s="72"/>
    </row>
    <row r="291" spans="13:51" s="11" customFormat="1" ht="15.6" customHeight="1" x14ac:dyDescent="0.3">
      <c r="M291" s="20">
        <f t="shared" si="144"/>
        <v>261</v>
      </c>
      <c r="N291" s="21">
        <f t="shared" si="145"/>
        <v>4.5675000000000132</v>
      </c>
      <c r="O291" s="22">
        <f t="shared" ca="1" si="117"/>
        <v>180.56827767829256</v>
      </c>
      <c r="P291" s="23">
        <f t="shared" ca="1" si="118"/>
        <v>-1</v>
      </c>
      <c r="Q291" s="22" t="e">
        <f t="shared" ca="1" si="119"/>
        <v>#VALUE!</v>
      </c>
      <c r="R291" s="23">
        <f t="shared" ca="1" si="120"/>
        <v>-1</v>
      </c>
      <c r="S291" s="24" t="e">
        <f t="shared" ca="1" si="121"/>
        <v>#VALUE!</v>
      </c>
      <c r="T291" s="23">
        <f t="shared" ca="1" si="122"/>
        <v>-1</v>
      </c>
      <c r="U291" s="112">
        <f t="shared" si="133"/>
        <v>2.0001024140453117E-2</v>
      </c>
      <c r="V291" s="109">
        <f t="shared" si="134"/>
        <v>-2.0001024140453117E-2</v>
      </c>
      <c r="W291" s="112">
        <f t="shared" si="135"/>
        <v>2.0001024140453117E-2</v>
      </c>
      <c r="X291" s="113">
        <f t="shared" si="136"/>
        <v>-2.0001024140453117E-2</v>
      </c>
      <c r="Y291" s="32"/>
      <c r="Z291" s="32"/>
      <c r="AA291" s="32"/>
      <c r="AB291" s="32"/>
      <c r="AC291" s="32"/>
      <c r="AD291" s="32"/>
      <c r="AE291" s="32"/>
      <c r="AG291" s="26">
        <f t="shared" si="123"/>
        <v>0</v>
      </c>
      <c r="AH291" s="27">
        <f t="shared" si="124"/>
        <v>5.0135132632036984E-2</v>
      </c>
      <c r="AI291" s="28">
        <f t="shared" si="137"/>
        <v>2.0001024140453117E-2</v>
      </c>
      <c r="AJ291" s="27">
        <f t="shared" si="125"/>
        <v>2.0001024140453117E-2</v>
      </c>
      <c r="AK291" s="28">
        <f t="shared" si="126"/>
        <v>1.8717289243406357E-3</v>
      </c>
      <c r="AL291" s="27">
        <f t="shared" si="127"/>
        <v>2.0001024140453117E-2</v>
      </c>
      <c r="AM291" s="28">
        <f t="shared" si="138"/>
        <v>2.6558345460906185E-2</v>
      </c>
      <c r="AN291" s="27">
        <f t="shared" si="139"/>
        <v>-2.0001024140453117E-2</v>
      </c>
      <c r="AO291" s="28">
        <f t="shared" si="128"/>
        <v>-2.0001024140453117E-2</v>
      </c>
      <c r="AP291" s="27">
        <f t="shared" si="129"/>
        <v>-1.8717289243406362E-3</v>
      </c>
      <c r="AQ291" s="29">
        <f t="shared" si="130"/>
        <v>-2.0001024140453117E-2</v>
      </c>
      <c r="AS291" s="30">
        <f t="shared" si="131"/>
        <v>0.87194842714894416</v>
      </c>
      <c r="AT291" s="21">
        <f t="shared" si="132"/>
        <v>2.345864322098453</v>
      </c>
      <c r="AU291" s="31">
        <f t="shared" ca="1" si="140"/>
        <v>5.8500252278770315E-4</v>
      </c>
      <c r="AV291" s="109">
        <f t="shared" ca="1" si="141"/>
        <v>5.8709921628674611E-4</v>
      </c>
      <c r="AW291" s="27" t="e">
        <f t="shared" ca="1" si="142"/>
        <v>#VALUE!</v>
      </c>
      <c r="AX291" s="29" t="e">
        <f t="shared" ca="1" si="143"/>
        <v>#VALUE!</v>
      </c>
      <c r="AY291" s="72"/>
    </row>
    <row r="292" spans="13:51" s="11" customFormat="1" ht="15.6" customHeight="1" x14ac:dyDescent="0.3">
      <c r="M292" s="20">
        <f t="shared" si="144"/>
        <v>262</v>
      </c>
      <c r="N292" s="21">
        <f t="shared" si="145"/>
        <v>4.5850000000000133</v>
      </c>
      <c r="O292" s="22">
        <f t="shared" ca="1" si="117"/>
        <v>180.75773383249998</v>
      </c>
      <c r="P292" s="23">
        <f t="shared" ca="1" si="118"/>
        <v>-1</v>
      </c>
      <c r="Q292" s="22" t="e">
        <f t="shared" ca="1" si="119"/>
        <v>#VALUE!</v>
      </c>
      <c r="R292" s="23">
        <f t="shared" ca="1" si="120"/>
        <v>-1</v>
      </c>
      <c r="S292" s="24" t="e">
        <f t="shared" ca="1" si="121"/>
        <v>#VALUE!</v>
      </c>
      <c r="T292" s="23">
        <f t="shared" ca="1" si="122"/>
        <v>-1</v>
      </c>
      <c r="U292" s="112">
        <f t="shared" si="133"/>
        <v>1.9900295853296134E-2</v>
      </c>
      <c r="V292" s="109">
        <f t="shared" si="134"/>
        <v>-1.9900295853296134E-2</v>
      </c>
      <c r="W292" s="112">
        <f t="shared" si="135"/>
        <v>1.9900295853296134E-2</v>
      </c>
      <c r="X292" s="113">
        <f t="shared" si="136"/>
        <v>-1.9900295853296134E-2</v>
      </c>
      <c r="Y292" s="32"/>
      <c r="Z292" s="32"/>
      <c r="AA292" s="32"/>
      <c r="AB292" s="32"/>
      <c r="AC292" s="32"/>
      <c r="AD292" s="32"/>
      <c r="AE292" s="32"/>
      <c r="AG292" s="26">
        <f t="shared" si="123"/>
        <v>0</v>
      </c>
      <c r="AH292" s="27">
        <f t="shared" si="124"/>
        <v>4.9882644259394135E-2</v>
      </c>
      <c r="AI292" s="28">
        <f t="shared" si="137"/>
        <v>1.9900295853296134E-2</v>
      </c>
      <c r="AJ292" s="27">
        <f t="shared" si="125"/>
        <v>1.9900295853296134E-2</v>
      </c>
      <c r="AK292" s="28">
        <f t="shared" si="126"/>
        <v>1.8587451942809429E-3</v>
      </c>
      <c r="AL292" s="27">
        <f t="shared" si="127"/>
        <v>1.9900295853296134E-2</v>
      </c>
      <c r="AM292" s="28">
        <f t="shared" si="138"/>
        <v>2.6558345460906185E-2</v>
      </c>
      <c r="AN292" s="27">
        <f t="shared" si="139"/>
        <v>-1.9900295853296134E-2</v>
      </c>
      <c r="AO292" s="28">
        <f t="shared" si="128"/>
        <v>-1.9900295853296134E-2</v>
      </c>
      <c r="AP292" s="27">
        <f t="shared" si="129"/>
        <v>-1.8587451942809433E-3</v>
      </c>
      <c r="AQ292" s="29">
        <f t="shared" si="130"/>
        <v>-1.9900295853296134E-2</v>
      </c>
      <c r="AS292" s="30">
        <f t="shared" si="131"/>
        <v>0.87149077436905742</v>
      </c>
      <c r="AT292" s="21">
        <f t="shared" si="132"/>
        <v>2.3295916296595518</v>
      </c>
      <c r="AU292" s="31">
        <f t="shared" ca="1" si="140"/>
        <v>5.8500579940135022E-4</v>
      </c>
      <c r="AV292" s="109">
        <f t="shared" ca="1" si="141"/>
        <v>5.8709907307075149E-4</v>
      </c>
      <c r="AW292" s="27" t="e">
        <f t="shared" ca="1" si="142"/>
        <v>#VALUE!</v>
      </c>
      <c r="AX292" s="29" t="e">
        <f t="shared" ca="1" si="143"/>
        <v>#VALUE!</v>
      </c>
      <c r="AY292" s="72"/>
    </row>
    <row r="293" spans="13:51" s="11" customFormat="1" ht="15.6" customHeight="1" x14ac:dyDescent="0.3">
      <c r="M293" s="20">
        <f t="shared" si="144"/>
        <v>263</v>
      </c>
      <c r="N293" s="21">
        <f t="shared" si="145"/>
        <v>4.6025000000000134</v>
      </c>
      <c r="O293" s="22">
        <f t="shared" ca="1" si="117"/>
        <v>180.94632685866873</v>
      </c>
      <c r="P293" s="23">
        <f t="shared" ca="1" si="118"/>
        <v>-1</v>
      </c>
      <c r="Q293" s="22" t="e">
        <f t="shared" ca="1" si="119"/>
        <v>#VALUE!</v>
      </c>
      <c r="R293" s="23">
        <f t="shared" ca="1" si="120"/>
        <v>-1</v>
      </c>
      <c r="S293" s="24" t="e">
        <f t="shared" ca="1" si="121"/>
        <v>#VALUE!</v>
      </c>
      <c r="T293" s="23">
        <f t="shared" ca="1" si="122"/>
        <v>-1</v>
      </c>
      <c r="U293" s="112">
        <f t="shared" si="133"/>
        <v>1.9798891386855991E-2</v>
      </c>
      <c r="V293" s="109">
        <f t="shared" si="134"/>
        <v>-1.9798891386855991E-2</v>
      </c>
      <c r="W293" s="112">
        <f t="shared" si="135"/>
        <v>1.9798891386855991E-2</v>
      </c>
      <c r="X293" s="113">
        <f t="shared" si="136"/>
        <v>-1.9798891386855991E-2</v>
      </c>
      <c r="Y293" s="32"/>
      <c r="Z293" s="32"/>
      <c r="AA293" s="32"/>
      <c r="AB293" s="32"/>
      <c r="AC293" s="32"/>
      <c r="AD293" s="32"/>
      <c r="AE293" s="32"/>
      <c r="AG293" s="26">
        <f t="shared" si="123"/>
        <v>0</v>
      </c>
      <c r="AH293" s="27">
        <f t="shared" si="124"/>
        <v>4.9628460956641404E-2</v>
      </c>
      <c r="AI293" s="28">
        <f t="shared" si="137"/>
        <v>1.9798891386855991E-2</v>
      </c>
      <c r="AJ293" s="27">
        <f t="shared" si="125"/>
        <v>1.9798891386855991E-2</v>
      </c>
      <c r="AK293" s="28">
        <f t="shared" si="126"/>
        <v>1.8457546459733371E-3</v>
      </c>
      <c r="AL293" s="27">
        <f t="shared" si="127"/>
        <v>1.9798891386855991E-2</v>
      </c>
      <c r="AM293" s="28">
        <f t="shared" si="138"/>
        <v>2.6558345460906185E-2</v>
      </c>
      <c r="AN293" s="27">
        <f t="shared" si="139"/>
        <v>-1.9798891386855991E-2</v>
      </c>
      <c r="AO293" s="28">
        <f t="shared" si="128"/>
        <v>-1.9798891386855991E-2</v>
      </c>
      <c r="AP293" s="27">
        <f t="shared" si="129"/>
        <v>-1.8457546459733371E-3</v>
      </c>
      <c r="AQ293" s="29">
        <f t="shared" si="130"/>
        <v>-1.9798891386855991E-2</v>
      </c>
      <c r="AS293" s="30">
        <f t="shared" si="131"/>
        <v>0.87103336179382085</v>
      </c>
      <c r="AT293" s="21">
        <f t="shared" si="132"/>
        <v>2.3133103918141495</v>
      </c>
      <c r="AU293" s="31">
        <f t="shared" ca="1" si="140"/>
        <v>5.8499878730100541E-4</v>
      </c>
      <c r="AV293" s="109">
        <f t="shared" ca="1" si="141"/>
        <v>5.8708864901635405E-4</v>
      </c>
      <c r="AW293" s="27" t="e">
        <f t="shared" ca="1" si="142"/>
        <v>#VALUE!</v>
      </c>
      <c r="AX293" s="29" t="e">
        <f t="shared" ca="1" si="143"/>
        <v>#VALUE!</v>
      </c>
      <c r="AY293" s="72"/>
    </row>
    <row r="294" spans="13:51" s="11" customFormat="1" ht="15.6" customHeight="1" x14ac:dyDescent="0.3">
      <c r="M294" s="20">
        <f t="shared" si="144"/>
        <v>264</v>
      </c>
      <c r="N294" s="21">
        <f t="shared" si="145"/>
        <v>4.6200000000000134</v>
      </c>
      <c r="O294" s="22">
        <f t="shared" ca="1" si="117"/>
        <v>181.13405755267343</v>
      </c>
      <c r="P294" s="23">
        <f t="shared" ca="1" si="118"/>
        <v>-1</v>
      </c>
      <c r="Q294" s="22" t="e">
        <f t="shared" ca="1" si="119"/>
        <v>#VALUE!</v>
      </c>
      <c r="R294" s="23">
        <f t="shared" ca="1" si="120"/>
        <v>-1</v>
      </c>
      <c r="S294" s="24" t="e">
        <f t="shared" ca="1" si="121"/>
        <v>#VALUE!</v>
      </c>
      <c r="T294" s="23">
        <f t="shared" ca="1" si="122"/>
        <v>-1</v>
      </c>
      <c r="U294" s="112">
        <f t="shared" si="133"/>
        <v>1.969681221191746E-2</v>
      </c>
      <c r="V294" s="109">
        <f t="shared" si="134"/>
        <v>-1.969681221191746E-2</v>
      </c>
      <c r="W294" s="112">
        <f t="shared" si="135"/>
        <v>1.969681221191746E-2</v>
      </c>
      <c r="X294" s="113">
        <f t="shared" si="136"/>
        <v>-1.969681221191746E-2</v>
      </c>
      <c r="Y294" s="32"/>
      <c r="Z294" s="32"/>
      <c r="AA294" s="32"/>
      <c r="AB294" s="32"/>
      <c r="AC294" s="32"/>
      <c r="AD294" s="32"/>
      <c r="AE294" s="32"/>
      <c r="AG294" s="26">
        <f t="shared" si="123"/>
        <v>0</v>
      </c>
      <c r="AH294" s="27">
        <f t="shared" si="124"/>
        <v>4.9372586410489479E-2</v>
      </c>
      <c r="AI294" s="28">
        <f t="shared" si="137"/>
        <v>1.969681221191746E-2</v>
      </c>
      <c r="AJ294" s="27">
        <f t="shared" si="125"/>
        <v>1.969681221191746E-2</v>
      </c>
      <c r="AK294" s="28">
        <f t="shared" si="126"/>
        <v>1.8327572758372948E-3</v>
      </c>
      <c r="AL294" s="27">
        <f t="shared" si="127"/>
        <v>1.969681221191746E-2</v>
      </c>
      <c r="AM294" s="28">
        <f t="shared" si="138"/>
        <v>2.6558345460906185E-2</v>
      </c>
      <c r="AN294" s="27">
        <f t="shared" si="139"/>
        <v>-1.969681221191746E-2</v>
      </c>
      <c r="AO294" s="28">
        <f t="shared" si="128"/>
        <v>-1.969681221191746E-2</v>
      </c>
      <c r="AP294" s="27">
        <f t="shared" si="129"/>
        <v>-1.8327572758372948E-3</v>
      </c>
      <c r="AQ294" s="29">
        <f t="shared" si="130"/>
        <v>-1.969681221191746E-2</v>
      </c>
      <c r="AS294" s="30">
        <f t="shared" si="131"/>
        <v>0.87057618929716019</v>
      </c>
      <c r="AT294" s="21">
        <f t="shared" si="132"/>
        <v>2.2970206040747252</v>
      </c>
      <c r="AU294" s="31">
        <f t="shared" ca="1" si="140"/>
        <v>5.8498522556305055E-4</v>
      </c>
      <c r="AV294" s="109">
        <f t="shared" ca="1" si="141"/>
        <v>5.8707168044180857E-4</v>
      </c>
      <c r="AW294" s="27" t="e">
        <f t="shared" ca="1" si="142"/>
        <v>#VALUE!</v>
      </c>
      <c r="AX294" s="29" t="e">
        <f t="shared" ca="1" si="143"/>
        <v>#VALUE!</v>
      </c>
      <c r="AY294" s="72"/>
    </row>
    <row r="295" spans="13:51" s="11" customFormat="1" ht="15.6" customHeight="1" x14ac:dyDescent="0.3">
      <c r="M295" s="20">
        <f t="shared" si="144"/>
        <v>265</v>
      </c>
      <c r="N295" s="21">
        <f t="shared" si="145"/>
        <v>4.6375000000000135</v>
      </c>
      <c r="O295" s="22">
        <f t="shared" ca="1" si="117"/>
        <v>181.3209306323605</v>
      </c>
      <c r="P295" s="23">
        <f t="shared" ca="1" si="118"/>
        <v>-1</v>
      </c>
      <c r="Q295" s="22" t="e">
        <f t="shared" ca="1" si="119"/>
        <v>#VALUE!</v>
      </c>
      <c r="R295" s="23">
        <f t="shared" ca="1" si="120"/>
        <v>-1</v>
      </c>
      <c r="S295" s="24" t="e">
        <f t="shared" ca="1" si="121"/>
        <v>#VALUE!</v>
      </c>
      <c r="T295" s="23">
        <f t="shared" ca="1" si="122"/>
        <v>-1</v>
      </c>
      <c r="U295" s="112">
        <f t="shared" si="133"/>
        <v>1.9594059785166901E-2</v>
      </c>
      <c r="V295" s="109">
        <f t="shared" si="134"/>
        <v>-1.9594059785166901E-2</v>
      </c>
      <c r="W295" s="112">
        <f t="shared" si="135"/>
        <v>1.9594059785166901E-2</v>
      </c>
      <c r="X295" s="113">
        <f t="shared" si="136"/>
        <v>-1.9594059785166901E-2</v>
      </c>
      <c r="Y295" s="32"/>
      <c r="Z295" s="32"/>
      <c r="AA295" s="32"/>
      <c r="AB295" s="32"/>
      <c r="AC295" s="32"/>
      <c r="AD295" s="32"/>
      <c r="AE295" s="32"/>
      <c r="AG295" s="26">
        <f t="shared" si="123"/>
        <v>0</v>
      </c>
      <c r="AH295" s="27">
        <f t="shared" si="124"/>
        <v>4.9115024272309578E-2</v>
      </c>
      <c r="AI295" s="28">
        <f t="shared" si="137"/>
        <v>1.9594059785166901E-2</v>
      </c>
      <c r="AJ295" s="27">
        <f t="shared" si="125"/>
        <v>1.9594059785166901E-2</v>
      </c>
      <c r="AK295" s="28">
        <f t="shared" si="126"/>
        <v>1.8197530802904192E-3</v>
      </c>
      <c r="AL295" s="27">
        <f t="shared" si="127"/>
        <v>1.9594059785166901E-2</v>
      </c>
      <c r="AM295" s="28">
        <f t="shared" si="138"/>
        <v>2.6558345460906185E-2</v>
      </c>
      <c r="AN295" s="27">
        <f t="shared" si="139"/>
        <v>-1.9594059785166901E-2</v>
      </c>
      <c r="AO295" s="28">
        <f t="shared" si="128"/>
        <v>-1.9594059785166901E-2</v>
      </c>
      <c r="AP295" s="27">
        <f t="shared" si="129"/>
        <v>-1.8197530802904192E-3</v>
      </c>
      <c r="AQ295" s="29">
        <f t="shared" si="130"/>
        <v>-1.9594059785166901E-2</v>
      </c>
      <c r="AS295" s="30">
        <f t="shared" si="131"/>
        <v>0.87011925675306723</v>
      </c>
      <c r="AT295" s="21">
        <f t="shared" si="132"/>
        <v>2.2807222619514107</v>
      </c>
      <c r="AU295" s="31">
        <f t="shared" ca="1" si="140"/>
        <v>5.8496777380179221E-4</v>
      </c>
      <c r="AV295" s="109">
        <f t="shared" ca="1" si="141"/>
        <v>5.8705082498322625E-4</v>
      </c>
      <c r="AW295" s="27" t="e">
        <f t="shared" ca="1" si="142"/>
        <v>#VALUE!</v>
      </c>
      <c r="AX295" s="29" t="e">
        <f t="shared" ca="1" si="143"/>
        <v>#VALUE!</v>
      </c>
      <c r="AY295" s="72"/>
    </row>
    <row r="296" spans="13:51" s="11" customFormat="1" ht="15.6" customHeight="1" x14ac:dyDescent="0.3">
      <c r="M296" s="20">
        <f t="shared" si="144"/>
        <v>266</v>
      </c>
      <c r="N296" s="21">
        <f t="shared" si="145"/>
        <v>4.6550000000000136</v>
      </c>
      <c r="O296" s="22">
        <f t="shared" ca="1" si="117"/>
        <v>181.50694498501366</v>
      </c>
      <c r="P296" s="23">
        <f t="shared" ca="1" si="118"/>
        <v>-1</v>
      </c>
      <c r="Q296" s="22" t="e">
        <f t="shared" ca="1" si="119"/>
        <v>#VALUE!</v>
      </c>
      <c r="R296" s="23">
        <f t="shared" ca="1" si="120"/>
        <v>-1</v>
      </c>
      <c r="S296" s="24" t="e">
        <f t="shared" ca="1" si="121"/>
        <v>#VALUE!</v>
      </c>
      <c r="T296" s="23">
        <f t="shared" ca="1" si="122"/>
        <v>-1</v>
      </c>
      <c r="U296" s="112">
        <f t="shared" si="133"/>
        <v>1.9490635549365004E-2</v>
      </c>
      <c r="V296" s="109">
        <f t="shared" si="134"/>
        <v>-1.9490635549365004E-2</v>
      </c>
      <c r="W296" s="112">
        <f t="shared" si="135"/>
        <v>1.9490635549365004E-2</v>
      </c>
      <c r="X296" s="113">
        <f t="shared" si="136"/>
        <v>-1.9490635549365004E-2</v>
      </c>
      <c r="Y296" s="32"/>
      <c r="Z296" s="32"/>
      <c r="AA296" s="32"/>
      <c r="AB296" s="32"/>
      <c r="AC296" s="32"/>
      <c r="AD296" s="32"/>
      <c r="AE296" s="32"/>
      <c r="AG296" s="26">
        <f t="shared" si="123"/>
        <v>0</v>
      </c>
      <c r="AH296" s="27">
        <f t="shared" si="124"/>
        <v>4.885577815856644E-2</v>
      </c>
      <c r="AI296" s="28">
        <f t="shared" si="137"/>
        <v>1.9490635549365004E-2</v>
      </c>
      <c r="AJ296" s="27">
        <f t="shared" si="125"/>
        <v>1.9490635549365004E-2</v>
      </c>
      <c r="AK296" s="28">
        <f t="shared" si="126"/>
        <v>1.8067420557484272E-3</v>
      </c>
      <c r="AL296" s="27">
        <f t="shared" si="127"/>
        <v>1.9490635549365004E-2</v>
      </c>
      <c r="AM296" s="28">
        <f t="shared" si="138"/>
        <v>2.6558345460906185E-2</v>
      </c>
      <c r="AN296" s="27">
        <f t="shared" si="139"/>
        <v>-1.9490635549365004E-2</v>
      </c>
      <c r="AO296" s="28">
        <f t="shared" si="128"/>
        <v>-1.9490635549365004E-2</v>
      </c>
      <c r="AP296" s="27">
        <f t="shared" si="129"/>
        <v>-1.8067420557484272E-3</v>
      </c>
      <c r="AQ296" s="29">
        <f t="shared" si="130"/>
        <v>-1.9490635549365004E-2</v>
      </c>
      <c r="AS296" s="30">
        <f t="shared" si="131"/>
        <v>0.86966256403559983</v>
      </c>
      <c r="AT296" s="21">
        <f t="shared" si="132"/>
        <v>2.2644153609519733</v>
      </c>
      <c r="AU296" s="31">
        <f t="shared" ca="1" si="140"/>
        <v>5.8494255994623323E-4</v>
      </c>
      <c r="AV296" s="109">
        <f t="shared" ca="1" si="141"/>
        <v>5.8702221361739415E-4</v>
      </c>
      <c r="AW296" s="27" t="e">
        <f t="shared" ca="1" si="142"/>
        <v>#VALUE!</v>
      </c>
      <c r="AX296" s="29" t="e">
        <f t="shared" ca="1" si="143"/>
        <v>#VALUE!</v>
      </c>
      <c r="AY296" s="72"/>
    </row>
    <row r="297" spans="13:51" s="11" customFormat="1" ht="15.6" customHeight="1" x14ac:dyDescent="0.3">
      <c r="M297" s="20">
        <f t="shared" si="144"/>
        <v>267</v>
      </c>
      <c r="N297" s="21">
        <f t="shared" si="145"/>
        <v>4.6725000000000136</v>
      </c>
      <c r="O297" s="22">
        <f t="shared" ca="1" si="117"/>
        <v>181.69209957963579</v>
      </c>
      <c r="P297" s="23">
        <f t="shared" ca="1" si="118"/>
        <v>-1</v>
      </c>
      <c r="Q297" s="22" t="e">
        <f t="shared" ca="1" si="119"/>
        <v>#VALUE!</v>
      </c>
      <c r="R297" s="23">
        <f t="shared" ca="1" si="120"/>
        <v>-1</v>
      </c>
      <c r="S297" s="24" t="e">
        <f t="shared" ca="1" si="121"/>
        <v>#VALUE!</v>
      </c>
      <c r="T297" s="23">
        <f t="shared" ca="1" si="122"/>
        <v>-1</v>
      </c>
      <c r="U297" s="112">
        <f t="shared" si="133"/>
        <v>1.938654093351691E-2</v>
      </c>
      <c r="V297" s="109">
        <f t="shared" si="134"/>
        <v>-1.938654093351691E-2</v>
      </c>
      <c r="W297" s="112">
        <f t="shared" si="135"/>
        <v>1.938654093351691E-2</v>
      </c>
      <c r="X297" s="113">
        <f t="shared" si="136"/>
        <v>-1.938654093351691E-2</v>
      </c>
      <c r="Y297" s="32"/>
      <c r="Z297" s="32"/>
      <c r="AA297" s="32"/>
      <c r="AB297" s="32"/>
      <c r="AC297" s="32"/>
      <c r="AD297" s="32"/>
      <c r="AE297" s="32"/>
      <c r="AG297" s="26">
        <f t="shared" si="123"/>
        <v>0</v>
      </c>
      <c r="AH297" s="27">
        <f t="shared" si="124"/>
        <v>4.8594851651244754E-2</v>
      </c>
      <c r="AI297" s="28">
        <f t="shared" si="137"/>
        <v>1.938654093351691E-2</v>
      </c>
      <c r="AJ297" s="27">
        <f t="shared" si="125"/>
        <v>1.938654093351691E-2</v>
      </c>
      <c r="AK297" s="28">
        <f t="shared" si="126"/>
        <v>1.7937241986251526E-3</v>
      </c>
      <c r="AL297" s="27">
        <f t="shared" si="127"/>
        <v>1.938654093351691E-2</v>
      </c>
      <c r="AM297" s="28">
        <f t="shared" si="138"/>
        <v>2.6558345460906185E-2</v>
      </c>
      <c r="AN297" s="27">
        <f t="shared" si="139"/>
        <v>-1.938654093351691E-2</v>
      </c>
      <c r="AO297" s="28">
        <f t="shared" si="128"/>
        <v>-1.938654093351691E-2</v>
      </c>
      <c r="AP297" s="27">
        <f t="shared" si="129"/>
        <v>-1.7937241986251526E-3</v>
      </c>
      <c r="AQ297" s="29">
        <f t="shared" si="130"/>
        <v>-1.938654093351691E-2</v>
      </c>
      <c r="AS297" s="30">
        <f t="shared" si="131"/>
        <v>0.86920611101888212</v>
      </c>
      <c r="AT297" s="21">
        <f t="shared" si="132"/>
        <v>2.2480998965818197</v>
      </c>
      <c r="AU297" s="31">
        <f t="shared" ca="1" si="140"/>
        <v>5.8490964790203215E-4</v>
      </c>
      <c r="AV297" s="109">
        <f t="shared" ca="1" si="141"/>
        <v>5.8698591029093805E-4</v>
      </c>
      <c r="AW297" s="27" t="e">
        <f t="shared" ca="1" si="142"/>
        <v>#VALUE!</v>
      </c>
      <c r="AX297" s="29" t="e">
        <f t="shared" ca="1" si="143"/>
        <v>#VALUE!</v>
      </c>
      <c r="AY297" s="72"/>
    </row>
    <row r="298" spans="13:51" s="11" customFormat="1" ht="15.6" customHeight="1" x14ac:dyDescent="0.3">
      <c r="M298" s="20">
        <f t="shared" si="144"/>
        <v>268</v>
      </c>
      <c r="N298" s="21">
        <f t="shared" si="145"/>
        <v>4.6900000000000137</v>
      </c>
      <c r="O298" s="22">
        <f t="shared" ca="1" si="117"/>
        <v>181.876399108378</v>
      </c>
      <c r="P298" s="23">
        <f t="shared" ca="1" si="118"/>
        <v>-1</v>
      </c>
      <c r="Q298" s="22" t="e">
        <f t="shared" ca="1" si="119"/>
        <v>#VALUE!</v>
      </c>
      <c r="R298" s="23">
        <f t="shared" ca="1" si="120"/>
        <v>-1</v>
      </c>
      <c r="S298" s="24" t="e">
        <f t="shared" ca="1" si="121"/>
        <v>#VALUE!</v>
      </c>
      <c r="T298" s="23">
        <f t="shared" ca="1" si="122"/>
        <v>-1</v>
      </c>
      <c r="U298" s="112">
        <f t="shared" si="133"/>
        <v>1.9281777353039608E-2</v>
      </c>
      <c r="V298" s="109">
        <f t="shared" si="134"/>
        <v>-1.9281777353039608E-2</v>
      </c>
      <c r="W298" s="112">
        <f t="shared" si="135"/>
        <v>1.9281777353039608E-2</v>
      </c>
      <c r="X298" s="113">
        <f t="shared" si="136"/>
        <v>-1.9281777353039608E-2</v>
      </c>
      <c r="Y298" s="32"/>
      <c r="Z298" s="32"/>
      <c r="AA298" s="32"/>
      <c r="AB298" s="32"/>
      <c r="AC298" s="32"/>
      <c r="AD298" s="32"/>
      <c r="AE298" s="32"/>
      <c r="AG298" s="26">
        <f t="shared" si="123"/>
        <v>0</v>
      </c>
      <c r="AH298" s="27">
        <f t="shared" si="124"/>
        <v>4.8332248298268765E-2</v>
      </c>
      <c r="AI298" s="28">
        <f t="shared" si="137"/>
        <v>1.9281777353039608E-2</v>
      </c>
      <c r="AJ298" s="27">
        <f t="shared" si="125"/>
        <v>1.9281777353039608E-2</v>
      </c>
      <c r="AK298" s="28">
        <f t="shared" si="126"/>
        <v>1.7806995053325531E-3</v>
      </c>
      <c r="AL298" s="27">
        <f t="shared" si="127"/>
        <v>1.9281777353039608E-2</v>
      </c>
      <c r="AM298" s="28">
        <f t="shared" si="138"/>
        <v>2.6558345460906185E-2</v>
      </c>
      <c r="AN298" s="27">
        <f t="shared" si="139"/>
        <v>-1.9281777353039608E-2</v>
      </c>
      <c r="AO298" s="28">
        <f t="shared" si="128"/>
        <v>-1.9281777353039608E-2</v>
      </c>
      <c r="AP298" s="27">
        <f t="shared" si="129"/>
        <v>-1.7806995053325531E-3</v>
      </c>
      <c r="AQ298" s="29">
        <f t="shared" si="130"/>
        <v>-1.9281777353039608E-2</v>
      </c>
      <c r="AS298" s="30">
        <f t="shared" si="131"/>
        <v>0.8687498975771043</v>
      </c>
      <c r="AT298" s="21">
        <f t="shared" si="132"/>
        <v>2.2317758643440064</v>
      </c>
      <c r="AU298" s="31">
        <f t="shared" ca="1" si="140"/>
        <v>5.8487292778552913E-4</v>
      </c>
      <c r="AV298" s="109">
        <f t="shared" ca="1" si="141"/>
        <v>5.8694580217033554E-4</v>
      </c>
      <c r="AW298" s="27" t="e">
        <f t="shared" ca="1" si="142"/>
        <v>#VALUE!</v>
      </c>
      <c r="AX298" s="29" t="e">
        <f t="shared" ca="1" si="143"/>
        <v>#VALUE!</v>
      </c>
      <c r="AY298" s="72"/>
    </row>
    <row r="299" spans="13:51" s="11" customFormat="1" ht="15.6" customHeight="1" x14ac:dyDescent="0.3">
      <c r="M299" s="20">
        <f t="shared" si="144"/>
        <v>269</v>
      </c>
      <c r="N299" s="21">
        <f t="shared" si="145"/>
        <v>4.7075000000000138</v>
      </c>
      <c r="O299" s="22">
        <f t="shared" ca="1" si="117"/>
        <v>182.05984245687048</v>
      </c>
      <c r="P299" s="23">
        <f t="shared" ca="1" si="118"/>
        <v>-1</v>
      </c>
      <c r="Q299" s="22" t="e">
        <f t="shared" ca="1" si="119"/>
        <v>#VALUE!</v>
      </c>
      <c r="R299" s="23">
        <f t="shared" ca="1" si="120"/>
        <v>-1</v>
      </c>
      <c r="S299" s="24" t="e">
        <f t="shared" ca="1" si="121"/>
        <v>#VALUE!</v>
      </c>
      <c r="T299" s="23">
        <f t="shared" ca="1" si="122"/>
        <v>-1</v>
      </c>
      <c r="U299" s="112">
        <f t="shared" si="133"/>
        <v>1.9176346209926417E-2</v>
      </c>
      <c r="V299" s="109">
        <f t="shared" si="134"/>
        <v>-1.9176346209926417E-2</v>
      </c>
      <c r="W299" s="112">
        <f t="shared" si="135"/>
        <v>1.9176346209926417E-2</v>
      </c>
      <c r="X299" s="113">
        <f t="shared" si="136"/>
        <v>-1.9176346209926417E-2</v>
      </c>
      <c r="Y299" s="32"/>
      <c r="Z299" s="32"/>
      <c r="AA299" s="32"/>
      <c r="AB299" s="32"/>
      <c r="AC299" s="32"/>
      <c r="AD299" s="32"/>
      <c r="AE299" s="32"/>
      <c r="AG299" s="26">
        <f t="shared" si="123"/>
        <v>0</v>
      </c>
      <c r="AH299" s="27">
        <f t="shared" si="124"/>
        <v>4.806797161391458E-2</v>
      </c>
      <c r="AI299" s="28">
        <f t="shared" si="137"/>
        <v>1.9176346209926417E-2</v>
      </c>
      <c r="AJ299" s="27">
        <f t="shared" si="125"/>
        <v>1.9176346209926417E-2</v>
      </c>
      <c r="AK299" s="28">
        <f t="shared" si="126"/>
        <v>1.7676679722806942E-3</v>
      </c>
      <c r="AL299" s="27">
        <f t="shared" si="127"/>
        <v>1.9176346209926417E-2</v>
      </c>
      <c r="AM299" s="28">
        <f t="shared" si="138"/>
        <v>2.6558345460906185E-2</v>
      </c>
      <c r="AN299" s="27">
        <f t="shared" si="139"/>
        <v>-1.9176346209926417E-2</v>
      </c>
      <c r="AO299" s="28">
        <f t="shared" si="128"/>
        <v>-1.9176346209926417E-2</v>
      </c>
      <c r="AP299" s="27">
        <f t="shared" si="129"/>
        <v>-1.7676679722806944E-3</v>
      </c>
      <c r="AQ299" s="29">
        <f t="shared" si="130"/>
        <v>-1.9176346209926417E-2</v>
      </c>
      <c r="AS299" s="30">
        <f t="shared" si="131"/>
        <v>0.86829392358452262</v>
      </c>
      <c r="AT299" s="21">
        <f t="shared" si="132"/>
        <v>2.2154432597392177</v>
      </c>
      <c r="AU299" s="31">
        <f t="shared" ca="1" si="140"/>
        <v>5.8482850712615608E-4</v>
      </c>
      <c r="AV299" s="109">
        <f t="shared" ca="1" si="141"/>
        <v>5.8689799988231872E-4</v>
      </c>
      <c r="AW299" s="27" t="e">
        <f t="shared" ca="1" si="142"/>
        <v>#VALUE!</v>
      </c>
      <c r="AX299" s="29" t="e">
        <f t="shared" ca="1" si="143"/>
        <v>#VALUE!</v>
      </c>
      <c r="AY299" s="72"/>
    </row>
    <row r="300" spans="13:51" s="11" customFormat="1" ht="15.6" customHeight="1" x14ac:dyDescent="0.3">
      <c r="M300" s="20">
        <f t="shared" si="144"/>
        <v>270</v>
      </c>
      <c r="N300" s="21">
        <f t="shared" si="145"/>
        <v>4.7250000000000139</v>
      </c>
      <c r="O300" s="22">
        <f t="shared" ca="1" si="117"/>
        <v>182.24243053101833</v>
      </c>
      <c r="P300" s="23">
        <f t="shared" ca="1" si="118"/>
        <v>-1</v>
      </c>
      <c r="Q300" s="22" t="e">
        <f t="shared" ca="1" si="119"/>
        <v>#VALUE!</v>
      </c>
      <c r="R300" s="23">
        <f t="shared" ca="1" si="120"/>
        <v>-1</v>
      </c>
      <c r="S300" s="24" t="e">
        <f t="shared" ca="1" si="121"/>
        <v>#VALUE!</v>
      </c>
      <c r="T300" s="23">
        <f t="shared" ca="1" si="122"/>
        <v>-1</v>
      </c>
      <c r="U300" s="112">
        <f t="shared" si="133"/>
        <v>1.9070248892909088E-2</v>
      </c>
      <c r="V300" s="109">
        <f t="shared" si="134"/>
        <v>-1.9070248892909088E-2</v>
      </c>
      <c r="W300" s="112">
        <f t="shared" si="135"/>
        <v>1.9070248892909088E-2</v>
      </c>
      <c r="X300" s="113">
        <f t="shared" si="136"/>
        <v>-1.9070248892909088E-2</v>
      </c>
      <c r="Y300" s="32"/>
      <c r="Z300" s="32"/>
      <c r="AA300" s="32"/>
      <c r="AB300" s="32"/>
      <c r="AC300" s="32"/>
      <c r="AD300" s="32"/>
      <c r="AE300" s="32"/>
      <c r="AG300" s="26">
        <f t="shared" si="123"/>
        <v>0</v>
      </c>
      <c r="AH300" s="27">
        <f t="shared" si="124"/>
        <v>4.7802025079216451E-2</v>
      </c>
      <c r="AI300" s="28">
        <f t="shared" si="137"/>
        <v>1.9070248892909088E-2</v>
      </c>
      <c r="AJ300" s="27">
        <f t="shared" si="125"/>
        <v>1.9070248892909088E-2</v>
      </c>
      <c r="AK300" s="28">
        <f t="shared" si="126"/>
        <v>1.7546295958777605E-3</v>
      </c>
      <c r="AL300" s="27">
        <f t="shared" si="127"/>
        <v>1.9070248892909088E-2</v>
      </c>
      <c r="AM300" s="28">
        <f t="shared" si="138"/>
        <v>2.6558345460906185E-2</v>
      </c>
      <c r="AN300" s="27">
        <f t="shared" si="139"/>
        <v>-1.9070248892909088E-2</v>
      </c>
      <c r="AO300" s="28">
        <f t="shared" si="128"/>
        <v>-1.9070248892909088E-2</v>
      </c>
      <c r="AP300" s="27">
        <f t="shared" si="129"/>
        <v>-1.7546295958777605E-3</v>
      </c>
      <c r="AQ300" s="29">
        <f t="shared" si="130"/>
        <v>-1.9070248892909088E-2</v>
      </c>
      <c r="AS300" s="30">
        <f t="shared" si="131"/>
        <v>0.86783818891545905</v>
      </c>
      <c r="AT300" s="21">
        <f t="shared" si="132"/>
        <v>2.19910207826578</v>
      </c>
      <c r="AU300" s="31">
        <f t="shared" ca="1" si="140"/>
        <v>5.8477777282617271E-4</v>
      </c>
      <c r="AV300" s="109">
        <f t="shared" ca="1" si="141"/>
        <v>5.8684388932694898E-4</v>
      </c>
      <c r="AW300" s="27" t="e">
        <f t="shared" ca="1" si="142"/>
        <v>#VALUE!</v>
      </c>
      <c r="AX300" s="29" t="e">
        <f t="shared" ca="1" si="143"/>
        <v>#VALUE!</v>
      </c>
      <c r="AY300" s="72"/>
    </row>
    <row r="301" spans="13:51" s="11" customFormat="1" ht="15.6" customHeight="1" x14ac:dyDescent="0.3">
      <c r="M301" s="20">
        <f t="shared" si="144"/>
        <v>271</v>
      </c>
      <c r="N301" s="21">
        <f t="shared" si="145"/>
        <v>4.7425000000000139</v>
      </c>
      <c r="O301" s="22">
        <f t="shared" ca="1" si="117"/>
        <v>182.42416221548913</v>
      </c>
      <c r="P301" s="23">
        <f t="shared" ca="1" si="118"/>
        <v>-1</v>
      </c>
      <c r="Q301" s="22" t="e">
        <f t="shared" ca="1" si="119"/>
        <v>#VALUE!</v>
      </c>
      <c r="R301" s="23">
        <f t="shared" ca="1" si="120"/>
        <v>-1</v>
      </c>
      <c r="S301" s="24" t="e">
        <f t="shared" ca="1" si="121"/>
        <v>#VALUE!</v>
      </c>
      <c r="T301" s="23">
        <f t="shared" ca="1" si="122"/>
        <v>-1</v>
      </c>
      <c r="U301" s="112">
        <f t="shared" si="133"/>
        <v>1.896348677761717E-2</v>
      </c>
      <c r="V301" s="109">
        <f t="shared" si="134"/>
        <v>-1.896348677761717E-2</v>
      </c>
      <c r="W301" s="112">
        <f t="shared" si="135"/>
        <v>1.896348677761717E-2</v>
      </c>
      <c r="X301" s="113">
        <f t="shared" si="136"/>
        <v>-1.896348677761717E-2</v>
      </c>
      <c r="Y301" s="32"/>
      <c r="Z301" s="32"/>
      <c r="AA301" s="32"/>
      <c r="AB301" s="32"/>
      <c r="AC301" s="32"/>
      <c r="AD301" s="32"/>
      <c r="AE301" s="32"/>
      <c r="AG301" s="26">
        <f t="shared" si="123"/>
        <v>0</v>
      </c>
      <c r="AH301" s="27">
        <f t="shared" si="124"/>
        <v>4.7534412142366318E-2</v>
      </c>
      <c r="AI301" s="28">
        <f t="shared" si="137"/>
        <v>1.896348677761717E-2</v>
      </c>
      <c r="AJ301" s="27">
        <f t="shared" si="125"/>
        <v>1.896348677761717E-2</v>
      </c>
      <c r="AK301" s="28">
        <f t="shared" si="126"/>
        <v>1.7415843725300498E-3</v>
      </c>
      <c r="AL301" s="27">
        <f t="shared" si="127"/>
        <v>1.896348677761717E-2</v>
      </c>
      <c r="AM301" s="28">
        <f t="shared" si="138"/>
        <v>2.6558345460906185E-2</v>
      </c>
      <c r="AN301" s="27">
        <f t="shared" si="139"/>
        <v>-1.896348677761717E-2</v>
      </c>
      <c r="AO301" s="28">
        <f t="shared" si="128"/>
        <v>-1.896348677761717E-2</v>
      </c>
      <c r="AP301" s="27">
        <f t="shared" si="129"/>
        <v>-1.7415843725300498E-3</v>
      </c>
      <c r="AQ301" s="29">
        <f t="shared" si="130"/>
        <v>-1.896348677761717E-2</v>
      </c>
      <c r="AS301" s="30">
        <f t="shared" si="131"/>
        <v>0.86738269344430174</v>
      </c>
      <c r="AT301" s="21">
        <f t="shared" si="132"/>
        <v>2.182752315419656</v>
      </c>
      <c r="AU301" s="31">
        <f t="shared" ca="1" si="140"/>
        <v>5.847193671459916E-4</v>
      </c>
      <c r="AV301" s="109">
        <f t="shared" ca="1" si="141"/>
        <v>5.8678211391116619E-4</v>
      </c>
      <c r="AW301" s="27" t="e">
        <f t="shared" ca="1" si="142"/>
        <v>#VALUE!</v>
      </c>
      <c r="AX301" s="29" t="e">
        <f t="shared" ca="1" si="143"/>
        <v>#VALUE!</v>
      </c>
      <c r="AY301" s="72"/>
    </row>
    <row r="302" spans="13:51" s="11" customFormat="1" ht="15.6" customHeight="1" x14ac:dyDescent="0.3">
      <c r="M302" s="20">
        <f t="shared" si="144"/>
        <v>272</v>
      </c>
      <c r="N302" s="21">
        <f t="shared" si="145"/>
        <v>4.760000000000014</v>
      </c>
      <c r="O302" s="22">
        <f t="shared" ca="1" si="117"/>
        <v>182.60504221723332</v>
      </c>
      <c r="P302" s="23">
        <f t="shared" ca="1" si="118"/>
        <v>-1</v>
      </c>
      <c r="Q302" s="22" t="e">
        <f t="shared" ca="1" si="119"/>
        <v>#VALUE!</v>
      </c>
      <c r="R302" s="23">
        <f t="shared" ca="1" si="120"/>
        <v>-1</v>
      </c>
      <c r="S302" s="24" t="e">
        <f t="shared" ca="1" si="121"/>
        <v>#VALUE!</v>
      </c>
      <c r="T302" s="23">
        <f t="shared" ca="1" si="122"/>
        <v>-1</v>
      </c>
      <c r="U302" s="112">
        <f t="shared" si="133"/>
        <v>1.8856061226734836E-2</v>
      </c>
      <c r="V302" s="109">
        <f t="shared" si="134"/>
        <v>-1.8856061226734836E-2</v>
      </c>
      <c r="W302" s="112">
        <f t="shared" si="135"/>
        <v>1.8856061226734836E-2</v>
      </c>
      <c r="X302" s="113">
        <f t="shared" si="136"/>
        <v>-1.8856061226734836E-2</v>
      </c>
      <c r="Y302" s="32"/>
      <c r="Z302" s="32"/>
      <c r="AA302" s="32"/>
      <c r="AB302" s="32"/>
      <c r="AC302" s="32"/>
      <c r="AD302" s="32"/>
      <c r="AE302" s="32"/>
      <c r="AG302" s="26">
        <f t="shared" si="123"/>
        <v>0</v>
      </c>
      <c r="AH302" s="27">
        <f t="shared" si="124"/>
        <v>4.7265136219106843E-2</v>
      </c>
      <c r="AI302" s="28">
        <f t="shared" si="137"/>
        <v>1.8856061226734836E-2</v>
      </c>
      <c r="AJ302" s="27">
        <f t="shared" si="125"/>
        <v>1.8856061226734836E-2</v>
      </c>
      <c r="AK302" s="28">
        <f t="shared" si="126"/>
        <v>1.7285322986419732E-3</v>
      </c>
      <c r="AL302" s="27">
        <f t="shared" si="127"/>
        <v>1.8856061226734836E-2</v>
      </c>
      <c r="AM302" s="28">
        <f t="shared" si="138"/>
        <v>2.6558345460906185E-2</v>
      </c>
      <c r="AN302" s="27">
        <f t="shared" si="139"/>
        <v>-1.8856061226734836E-2</v>
      </c>
      <c r="AO302" s="28">
        <f t="shared" si="128"/>
        <v>-1.8856061226734836E-2</v>
      </c>
      <c r="AP302" s="27">
        <f t="shared" si="129"/>
        <v>-1.7285322986419732E-3</v>
      </c>
      <c r="AQ302" s="29">
        <f t="shared" si="130"/>
        <v>-1.8856061226734836E-2</v>
      </c>
      <c r="AS302" s="30">
        <f t="shared" si="131"/>
        <v>0.86692743704550479</v>
      </c>
      <c r="AT302" s="21">
        <f t="shared" si="132"/>
        <v>2.166393966694443</v>
      </c>
      <c r="AU302" s="31">
        <f t="shared" ca="1" si="140"/>
        <v>5.8465729482271023E-4</v>
      </c>
      <c r="AV302" s="109">
        <f t="shared" ca="1" si="141"/>
        <v>5.8671667528564786E-4</v>
      </c>
      <c r="AW302" s="27" t="e">
        <f t="shared" ca="1" si="142"/>
        <v>#VALUE!</v>
      </c>
      <c r="AX302" s="29" t="e">
        <f t="shared" ca="1" si="143"/>
        <v>#VALUE!</v>
      </c>
      <c r="AY302" s="72"/>
    </row>
    <row r="303" spans="13:51" s="11" customFormat="1" ht="15.6" customHeight="1" x14ac:dyDescent="0.3">
      <c r="M303" s="20">
        <f t="shared" si="144"/>
        <v>273</v>
      </c>
      <c r="N303" s="21">
        <f t="shared" si="145"/>
        <v>4.7775000000000141</v>
      </c>
      <c r="O303" s="22">
        <f t="shared" ca="1" si="117"/>
        <v>182.78506946374361</v>
      </c>
      <c r="P303" s="23">
        <f t="shared" ca="1" si="118"/>
        <v>-1</v>
      </c>
      <c r="Q303" s="22" t="e">
        <f t="shared" ca="1" si="119"/>
        <v>#VALUE!</v>
      </c>
      <c r="R303" s="23">
        <f t="shared" ca="1" si="120"/>
        <v>-1</v>
      </c>
      <c r="S303" s="24" t="e">
        <f t="shared" ca="1" si="121"/>
        <v>#VALUE!</v>
      </c>
      <c r="T303" s="23">
        <f t="shared" ca="1" si="122"/>
        <v>-1</v>
      </c>
      <c r="U303" s="112">
        <f t="shared" si="133"/>
        <v>1.8747973590155235E-2</v>
      </c>
      <c r="V303" s="109">
        <f t="shared" si="134"/>
        <v>-1.8747973590155235E-2</v>
      </c>
      <c r="W303" s="112">
        <f t="shared" si="135"/>
        <v>1.8747973590155235E-2</v>
      </c>
      <c r="X303" s="113">
        <f t="shared" si="136"/>
        <v>-1.8747973590155235E-2</v>
      </c>
      <c r="Y303" s="32"/>
      <c r="Z303" s="32"/>
      <c r="AA303" s="32"/>
      <c r="AB303" s="32"/>
      <c r="AC303" s="32"/>
      <c r="AD303" s="32"/>
      <c r="AE303" s="32"/>
      <c r="AG303" s="26">
        <f t="shared" si="123"/>
        <v>0</v>
      </c>
      <c r="AH303" s="27">
        <f t="shared" si="124"/>
        <v>4.6994200693118375E-2</v>
      </c>
      <c r="AI303" s="28">
        <f t="shared" si="137"/>
        <v>1.8747973590155235E-2</v>
      </c>
      <c r="AJ303" s="27">
        <f t="shared" si="125"/>
        <v>1.8747973590155235E-2</v>
      </c>
      <c r="AK303" s="28">
        <f t="shared" si="126"/>
        <v>1.7154733706160482E-3</v>
      </c>
      <c r="AL303" s="27">
        <f t="shared" si="127"/>
        <v>1.8747973590155235E-2</v>
      </c>
      <c r="AM303" s="28">
        <f t="shared" si="138"/>
        <v>2.6558345460906185E-2</v>
      </c>
      <c r="AN303" s="27">
        <f t="shared" si="139"/>
        <v>-1.8747973590155235E-2</v>
      </c>
      <c r="AO303" s="28">
        <f t="shared" si="128"/>
        <v>-1.8747973590155235E-2</v>
      </c>
      <c r="AP303" s="27">
        <f t="shared" si="129"/>
        <v>-1.7154733706160484E-3</v>
      </c>
      <c r="AQ303" s="29">
        <f t="shared" si="130"/>
        <v>-1.8747973590155235E-2</v>
      </c>
      <c r="AS303" s="30">
        <f t="shared" si="131"/>
        <v>0.86647241959358823</v>
      </c>
      <c r="AT303" s="21">
        <f t="shared" si="132"/>
        <v>2.1500270275813658</v>
      </c>
      <c r="AU303" s="31">
        <f t="shared" ca="1" si="140"/>
        <v>5.8458763389079849E-4</v>
      </c>
      <c r="AV303" s="109">
        <f t="shared" ca="1" si="141"/>
        <v>5.8664365464877744E-4</v>
      </c>
      <c r="AW303" s="27" t="e">
        <f t="shared" ca="1" si="142"/>
        <v>#VALUE!</v>
      </c>
      <c r="AX303" s="29" t="e">
        <f t="shared" ca="1" si="143"/>
        <v>#VALUE!</v>
      </c>
      <c r="AY303" s="72"/>
    </row>
    <row r="304" spans="13:51" s="11" customFormat="1" ht="15.6" customHeight="1" x14ac:dyDescent="0.3">
      <c r="M304" s="20">
        <f t="shared" si="144"/>
        <v>274</v>
      </c>
      <c r="N304" s="21">
        <f t="shared" si="145"/>
        <v>4.7950000000000141</v>
      </c>
      <c r="O304" s="22">
        <f t="shared" ca="1" si="117"/>
        <v>182.96424480421439</v>
      </c>
      <c r="P304" s="23">
        <f t="shared" ca="1" si="118"/>
        <v>-1</v>
      </c>
      <c r="Q304" s="22" t="e">
        <f t="shared" ca="1" si="119"/>
        <v>#VALUE!</v>
      </c>
      <c r="R304" s="23">
        <f t="shared" ca="1" si="120"/>
        <v>-1</v>
      </c>
      <c r="S304" s="24" t="e">
        <f t="shared" ca="1" si="121"/>
        <v>#VALUE!</v>
      </c>
      <c r="T304" s="23">
        <f t="shared" ca="1" si="122"/>
        <v>-1</v>
      </c>
      <c r="U304" s="112">
        <f t="shared" si="133"/>
        <v>1.8639225205132559E-2</v>
      </c>
      <c r="V304" s="109">
        <f t="shared" si="134"/>
        <v>-1.8639225205132559E-2</v>
      </c>
      <c r="W304" s="112">
        <f t="shared" si="135"/>
        <v>1.8639225205132559E-2</v>
      </c>
      <c r="X304" s="113">
        <f t="shared" si="136"/>
        <v>-1.8639225205132559E-2</v>
      </c>
      <c r="Y304" s="32"/>
      <c r="Z304" s="32"/>
      <c r="AA304" s="32"/>
      <c r="AB304" s="32"/>
      <c r="AC304" s="32"/>
      <c r="AD304" s="32"/>
      <c r="AE304" s="32"/>
      <c r="AG304" s="26">
        <f t="shared" si="123"/>
        <v>0</v>
      </c>
      <c r="AH304" s="27">
        <f t="shared" si="124"/>
        <v>4.6721608916400079E-2</v>
      </c>
      <c r="AI304" s="28">
        <f t="shared" si="137"/>
        <v>1.8639225205132559E-2</v>
      </c>
      <c r="AJ304" s="27">
        <f t="shared" si="125"/>
        <v>1.8639225205132559E-2</v>
      </c>
      <c r="AK304" s="28">
        <f t="shared" si="126"/>
        <v>1.7024075848529156E-3</v>
      </c>
      <c r="AL304" s="27">
        <f t="shared" si="127"/>
        <v>1.8639225205132559E-2</v>
      </c>
      <c r="AM304" s="28">
        <f t="shared" si="138"/>
        <v>2.6558345460906185E-2</v>
      </c>
      <c r="AN304" s="27">
        <f t="shared" si="139"/>
        <v>-1.8639225205132559E-2</v>
      </c>
      <c r="AO304" s="28">
        <f t="shared" si="128"/>
        <v>-1.8639225205132559E-2</v>
      </c>
      <c r="AP304" s="27">
        <f t="shared" si="129"/>
        <v>-1.7024075848529158E-3</v>
      </c>
      <c r="AQ304" s="29">
        <f t="shared" si="130"/>
        <v>-1.8639225205132559E-2</v>
      </c>
      <c r="AS304" s="30">
        <f t="shared" si="131"/>
        <v>0.86601764096313782</v>
      </c>
      <c r="AT304" s="21">
        <f t="shared" si="132"/>
        <v>2.1336514935692961</v>
      </c>
      <c r="AU304" s="31">
        <f t="shared" ca="1" si="140"/>
        <v>5.8451172015561159E-4</v>
      </c>
      <c r="AV304" s="109">
        <f t="shared" ca="1" si="141"/>
        <v>5.8656438682813672E-4</v>
      </c>
      <c r="AW304" s="27" t="e">
        <f t="shared" ca="1" si="142"/>
        <v>#VALUE!</v>
      </c>
      <c r="AX304" s="29" t="e">
        <f t="shared" ca="1" si="143"/>
        <v>#VALUE!</v>
      </c>
      <c r="AY304" s="72"/>
    </row>
    <row r="305" spans="13:51" s="11" customFormat="1" ht="15.6" customHeight="1" x14ac:dyDescent="0.3">
      <c r="M305" s="20">
        <f t="shared" si="144"/>
        <v>275</v>
      </c>
      <c r="N305" s="21">
        <f t="shared" si="145"/>
        <v>4.8125000000000142</v>
      </c>
      <c r="O305" s="22">
        <f t="shared" ca="1" si="117"/>
        <v>183.14256908783992</v>
      </c>
      <c r="P305" s="23">
        <f t="shared" ca="1" si="118"/>
        <v>-1</v>
      </c>
      <c r="Q305" s="22" t="e">
        <f t="shared" ca="1" si="119"/>
        <v>#VALUE!</v>
      </c>
      <c r="R305" s="23">
        <f t="shared" ca="1" si="120"/>
        <v>-1</v>
      </c>
      <c r="S305" s="24" t="e">
        <f t="shared" ca="1" si="121"/>
        <v>#VALUE!</v>
      </c>
      <c r="T305" s="23">
        <f t="shared" ca="1" si="122"/>
        <v>-1</v>
      </c>
      <c r="U305" s="112">
        <f t="shared" si="133"/>
        <v>1.8529817396431329E-2</v>
      </c>
      <c r="V305" s="109">
        <f t="shared" si="134"/>
        <v>-1.8529817396431329E-2</v>
      </c>
      <c r="W305" s="112">
        <f t="shared" si="135"/>
        <v>1.8529817396431329E-2</v>
      </c>
      <c r="X305" s="113">
        <f t="shared" si="136"/>
        <v>-1.8529817396431329E-2</v>
      </c>
      <c r="Y305" s="32"/>
      <c r="Z305" s="32"/>
      <c r="AA305" s="32"/>
      <c r="AB305" s="32"/>
      <c r="AC305" s="32"/>
      <c r="AD305" s="32"/>
      <c r="AE305" s="32"/>
      <c r="AG305" s="26">
        <f t="shared" si="123"/>
        <v>0</v>
      </c>
      <c r="AH305" s="27">
        <f t="shared" si="124"/>
        <v>4.6447364209644154E-2</v>
      </c>
      <c r="AI305" s="28">
        <f t="shared" si="137"/>
        <v>1.8529817396431329E-2</v>
      </c>
      <c r="AJ305" s="27">
        <f t="shared" si="125"/>
        <v>1.8529817396431329E-2</v>
      </c>
      <c r="AK305" s="28">
        <f t="shared" si="126"/>
        <v>1.6893349377513111E-3</v>
      </c>
      <c r="AL305" s="27">
        <f t="shared" si="127"/>
        <v>1.8529817396431329E-2</v>
      </c>
      <c r="AM305" s="28">
        <f t="shared" si="138"/>
        <v>2.6558345460906185E-2</v>
      </c>
      <c r="AN305" s="27">
        <f t="shared" si="139"/>
        <v>-1.8529817396431329E-2</v>
      </c>
      <c r="AO305" s="28">
        <f t="shared" si="128"/>
        <v>-1.8529817396431329E-2</v>
      </c>
      <c r="AP305" s="27">
        <f t="shared" si="129"/>
        <v>-1.6893349377513111E-3</v>
      </c>
      <c r="AQ305" s="29">
        <f t="shared" si="130"/>
        <v>-1.8529817396431329E-2</v>
      </c>
      <c r="AS305" s="30">
        <f t="shared" si="131"/>
        <v>0.86556310102880507</v>
      </c>
      <c r="AT305" s="21">
        <f t="shared" si="132"/>
        <v>2.1172673601447185</v>
      </c>
      <c r="AU305" s="31">
        <f t="shared" ca="1" si="140"/>
        <v>5.8442957837234744E-4</v>
      </c>
      <c r="AV305" s="109">
        <f t="shared" ca="1" si="141"/>
        <v>5.8647889663110409E-4</v>
      </c>
      <c r="AW305" s="27" t="e">
        <f t="shared" ca="1" si="142"/>
        <v>#VALUE!</v>
      </c>
      <c r="AX305" s="29" t="e">
        <f t="shared" ca="1" si="143"/>
        <v>#VALUE!</v>
      </c>
      <c r="AY305" s="72"/>
    </row>
    <row r="306" spans="13:51" s="11" customFormat="1" ht="15.6" customHeight="1" x14ac:dyDescent="0.3">
      <c r="M306" s="20">
        <f t="shared" si="144"/>
        <v>276</v>
      </c>
      <c r="N306" s="21">
        <f t="shared" si="145"/>
        <v>4.8300000000000143</v>
      </c>
      <c r="O306" s="22">
        <f t="shared" ca="1" si="117"/>
        <v>183.32004316381457</v>
      </c>
      <c r="P306" s="23">
        <f t="shared" ca="1" si="118"/>
        <v>-1</v>
      </c>
      <c r="Q306" s="22" t="e">
        <f t="shared" ca="1" si="119"/>
        <v>#VALUE!</v>
      </c>
      <c r="R306" s="23">
        <f t="shared" ca="1" si="120"/>
        <v>-1</v>
      </c>
      <c r="S306" s="24" t="e">
        <f t="shared" ca="1" si="121"/>
        <v>#VALUE!</v>
      </c>
      <c r="T306" s="23">
        <f t="shared" ca="1" si="122"/>
        <v>-1</v>
      </c>
      <c r="U306" s="112">
        <f t="shared" si="133"/>
        <v>1.841975147647382E-2</v>
      </c>
      <c r="V306" s="109">
        <f t="shared" si="134"/>
        <v>-1.841975147647382E-2</v>
      </c>
      <c r="W306" s="112">
        <f t="shared" si="135"/>
        <v>1.841975147647382E-2</v>
      </c>
      <c r="X306" s="113">
        <f t="shared" si="136"/>
        <v>-1.841975147647382E-2</v>
      </c>
      <c r="Y306" s="32"/>
      <c r="Z306" s="32"/>
      <c r="AA306" s="32"/>
      <c r="AB306" s="32"/>
      <c r="AC306" s="32"/>
      <c r="AD306" s="32"/>
      <c r="AE306" s="32"/>
      <c r="AG306" s="26">
        <f t="shared" si="123"/>
        <v>0</v>
      </c>
      <c r="AH306" s="27">
        <f t="shared" si="124"/>
        <v>4.6171469862605397E-2</v>
      </c>
      <c r="AI306" s="28">
        <f t="shared" si="137"/>
        <v>1.841975147647382E-2</v>
      </c>
      <c r="AJ306" s="27">
        <f t="shared" si="125"/>
        <v>1.841975147647382E-2</v>
      </c>
      <c r="AK306" s="28">
        <f t="shared" si="126"/>
        <v>1.6762554257080885E-3</v>
      </c>
      <c r="AL306" s="27">
        <f t="shared" si="127"/>
        <v>1.841975147647382E-2</v>
      </c>
      <c r="AM306" s="28">
        <f t="shared" si="138"/>
        <v>2.6558345460906185E-2</v>
      </c>
      <c r="AN306" s="27">
        <f t="shared" si="139"/>
        <v>-1.841975147647382E-2</v>
      </c>
      <c r="AO306" s="28">
        <f t="shared" si="128"/>
        <v>-1.841975147647382E-2</v>
      </c>
      <c r="AP306" s="27">
        <f t="shared" si="129"/>
        <v>-1.6762554257080885E-3</v>
      </c>
      <c r="AQ306" s="29">
        <f t="shared" si="130"/>
        <v>-1.841975147647382E-2</v>
      </c>
      <c r="AS306" s="30">
        <f t="shared" si="131"/>
        <v>0.86510879966530763</v>
      </c>
      <c r="AT306" s="21">
        <f t="shared" si="132"/>
        <v>2.1008746227917596</v>
      </c>
      <c r="AU306" s="31">
        <f t="shared" ca="1" si="140"/>
        <v>5.8434123326200904E-4</v>
      </c>
      <c r="AV306" s="109">
        <f t="shared" ca="1" si="141"/>
        <v>5.8638720883197326E-4</v>
      </c>
      <c r="AW306" s="27" t="e">
        <f t="shared" ca="1" si="142"/>
        <v>#VALUE!</v>
      </c>
      <c r="AX306" s="29" t="e">
        <f t="shared" ca="1" si="143"/>
        <v>#VALUE!</v>
      </c>
      <c r="AY306" s="72"/>
    </row>
    <row r="307" spans="13:51" s="11" customFormat="1" ht="15.6" customHeight="1" x14ac:dyDescent="0.3">
      <c r="M307" s="20">
        <f t="shared" si="144"/>
        <v>277</v>
      </c>
      <c r="N307" s="21">
        <f t="shared" si="145"/>
        <v>4.8475000000000144</v>
      </c>
      <c r="O307" s="22">
        <f t="shared" ca="1" si="117"/>
        <v>183.49666788133266</v>
      </c>
      <c r="P307" s="23">
        <f t="shared" ca="1" si="118"/>
        <v>-1</v>
      </c>
      <c r="Q307" s="22" t="e">
        <f t="shared" ca="1" si="119"/>
        <v>#VALUE!</v>
      </c>
      <c r="R307" s="23">
        <f t="shared" ca="1" si="120"/>
        <v>-1</v>
      </c>
      <c r="S307" s="24" t="e">
        <f t="shared" ca="1" si="121"/>
        <v>#VALUE!</v>
      </c>
      <c r="T307" s="23">
        <f t="shared" ca="1" si="122"/>
        <v>-1</v>
      </c>
      <c r="U307" s="112">
        <f t="shared" si="133"/>
        <v>1.8309028745484832E-2</v>
      </c>
      <c r="V307" s="109">
        <f t="shared" si="134"/>
        <v>-1.8309028745484832E-2</v>
      </c>
      <c r="W307" s="112">
        <f t="shared" si="135"/>
        <v>1.8309028745484832E-2</v>
      </c>
      <c r="X307" s="113">
        <f t="shared" si="136"/>
        <v>-1.8309028745484832E-2</v>
      </c>
      <c r="Y307" s="32"/>
      <c r="Z307" s="32"/>
      <c r="AA307" s="32"/>
      <c r="AB307" s="32"/>
      <c r="AC307" s="32"/>
      <c r="AD307" s="32"/>
      <c r="AE307" s="32"/>
      <c r="AG307" s="26">
        <f t="shared" si="123"/>
        <v>0</v>
      </c>
      <c r="AH307" s="27">
        <f t="shared" si="124"/>
        <v>4.589392913446403E-2</v>
      </c>
      <c r="AI307" s="28">
        <f t="shared" si="137"/>
        <v>1.8309028745484832E-2</v>
      </c>
      <c r="AJ307" s="27">
        <f t="shared" si="125"/>
        <v>1.8309028745484832E-2</v>
      </c>
      <c r="AK307" s="28">
        <f t="shared" si="126"/>
        <v>1.6631690451182081E-3</v>
      </c>
      <c r="AL307" s="27">
        <f t="shared" si="127"/>
        <v>1.8309028745484832E-2</v>
      </c>
      <c r="AM307" s="28">
        <f t="shared" si="138"/>
        <v>2.6558345460906185E-2</v>
      </c>
      <c r="AN307" s="27">
        <f t="shared" si="139"/>
        <v>-1.8309028745484832E-2</v>
      </c>
      <c r="AO307" s="28">
        <f t="shared" si="128"/>
        <v>-1.8309028745484832E-2</v>
      </c>
      <c r="AP307" s="27">
        <f t="shared" si="129"/>
        <v>-1.6631690451182086E-3</v>
      </c>
      <c r="AQ307" s="29">
        <f t="shared" si="130"/>
        <v>-1.8309028745484832E-2</v>
      </c>
      <c r="AS307" s="30">
        <f t="shared" si="131"/>
        <v>0.86465473674742854</v>
      </c>
      <c r="AT307" s="21">
        <f t="shared" si="132"/>
        <v>2.0844732769921714</v>
      </c>
      <c r="AU307" s="31">
        <f t="shared" ca="1" si="140"/>
        <v>5.8424670951118252E-4</v>
      </c>
      <c r="AV307" s="109">
        <f t="shared" ca="1" si="141"/>
        <v>5.8628934816939982E-4</v>
      </c>
      <c r="AW307" s="27" t="e">
        <f t="shared" ca="1" si="142"/>
        <v>#VALUE!</v>
      </c>
      <c r="AX307" s="29" t="e">
        <f t="shared" ca="1" si="143"/>
        <v>#VALUE!</v>
      </c>
      <c r="AY307" s="72"/>
    </row>
    <row r="308" spans="13:51" s="11" customFormat="1" ht="15.6" customHeight="1" x14ac:dyDescent="0.3">
      <c r="M308" s="20">
        <f t="shared" si="144"/>
        <v>278</v>
      </c>
      <c r="N308" s="21">
        <f t="shared" si="145"/>
        <v>4.8650000000000144</v>
      </c>
      <c r="O308" s="22">
        <f t="shared" ca="1" si="117"/>
        <v>183.67244313591416</v>
      </c>
      <c r="P308" s="23">
        <f t="shared" ca="1" si="118"/>
        <v>-1</v>
      </c>
      <c r="Q308" s="22" t="e">
        <f t="shared" ca="1" si="119"/>
        <v>#VALUE!</v>
      </c>
      <c r="R308" s="23">
        <f t="shared" ca="1" si="120"/>
        <v>-1</v>
      </c>
      <c r="S308" s="24" t="e">
        <f t="shared" ca="1" si="121"/>
        <v>#VALUE!</v>
      </c>
      <c r="T308" s="23">
        <f t="shared" ca="1" si="122"/>
        <v>-1</v>
      </c>
      <c r="U308" s="112">
        <f t="shared" si="133"/>
        <v>1.8197650491634323E-2</v>
      </c>
      <c r="V308" s="109">
        <f t="shared" si="134"/>
        <v>-1.8197650491634323E-2</v>
      </c>
      <c r="W308" s="112">
        <f t="shared" si="135"/>
        <v>1.8197650491634323E-2</v>
      </c>
      <c r="X308" s="113">
        <f t="shared" si="136"/>
        <v>-1.8197650491634323E-2</v>
      </c>
      <c r="Y308" s="32"/>
      <c r="Z308" s="32"/>
      <c r="AA308" s="32"/>
      <c r="AB308" s="32"/>
      <c r="AC308" s="32"/>
      <c r="AD308" s="32"/>
      <c r="AE308" s="32"/>
      <c r="AG308" s="26">
        <f t="shared" si="123"/>
        <v>0</v>
      </c>
      <c r="AH308" s="27">
        <f t="shared" si="124"/>
        <v>4.5614745254183318E-2</v>
      </c>
      <c r="AI308" s="28">
        <f t="shared" si="137"/>
        <v>1.8197650491634323E-2</v>
      </c>
      <c r="AJ308" s="27">
        <f t="shared" si="125"/>
        <v>1.8197650491634323E-2</v>
      </c>
      <c r="AK308" s="28">
        <f t="shared" si="126"/>
        <v>1.6500757923747359E-3</v>
      </c>
      <c r="AL308" s="27">
        <f t="shared" si="127"/>
        <v>1.8197650491634323E-2</v>
      </c>
      <c r="AM308" s="28">
        <f t="shared" si="138"/>
        <v>2.6558345460906185E-2</v>
      </c>
      <c r="AN308" s="27">
        <f t="shared" si="139"/>
        <v>-1.8197650491634323E-2</v>
      </c>
      <c r="AO308" s="28">
        <f t="shared" si="128"/>
        <v>-1.8197650491634323E-2</v>
      </c>
      <c r="AP308" s="27">
        <f t="shared" si="129"/>
        <v>-1.6500757923747363E-3</v>
      </c>
      <c r="AQ308" s="29">
        <f t="shared" si="130"/>
        <v>-1.8197650491634323E-2</v>
      </c>
      <c r="AS308" s="30">
        <f t="shared" si="131"/>
        <v>0.86420091215001671</v>
      </c>
      <c r="AT308" s="21">
        <f t="shared" si="132"/>
        <v>2.0680633182253327</v>
      </c>
      <c r="AU308" s="31">
        <f t="shared" ca="1" si="140"/>
        <v>5.8414536549700191E-4</v>
      </c>
      <c r="AV308" s="109">
        <f t="shared" ca="1" si="141"/>
        <v>5.8618467361259974E-4</v>
      </c>
      <c r="AW308" s="27" t="e">
        <f t="shared" ca="1" si="142"/>
        <v>#VALUE!</v>
      </c>
      <c r="AX308" s="29" t="e">
        <f t="shared" ca="1" si="143"/>
        <v>#VALUE!</v>
      </c>
      <c r="AY308" s="72"/>
    </row>
    <row r="309" spans="13:51" s="11" customFormat="1" ht="15.6" customHeight="1" x14ac:dyDescent="0.3">
      <c r="M309" s="20">
        <f t="shared" si="144"/>
        <v>279</v>
      </c>
      <c r="N309" s="21">
        <f t="shared" si="145"/>
        <v>4.8825000000000145</v>
      </c>
      <c r="O309" s="22">
        <f t="shared" ca="1" si="117"/>
        <v>183.84737072289857</v>
      </c>
      <c r="P309" s="23">
        <f t="shared" ca="1" si="118"/>
        <v>-1</v>
      </c>
      <c r="Q309" s="22" t="e">
        <f t="shared" ca="1" si="119"/>
        <v>#VALUE!</v>
      </c>
      <c r="R309" s="23">
        <f t="shared" ca="1" si="120"/>
        <v>-1</v>
      </c>
      <c r="S309" s="24" t="e">
        <f t="shared" ca="1" si="121"/>
        <v>#VALUE!</v>
      </c>
      <c r="T309" s="23">
        <f t="shared" ca="1" si="122"/>
        <v>-1</v>
      </c>
      <c r="U309" s="112">
        <f t="shared" si="133"/>
        <v>1.8085617991177839E-2</v>
      </c>
      <c r="V309" s="109">
        <f t="shared" si="134"/>
        <v>-1.8085617991177839E-2</v>
      </c>
      <c r="W309" s="112">
        <f t="shared" si="135"/>
        <v>1.8085617991177839E-2</v>
      </c>
      <c r="X309" s="113">
        <f t="shared" si="136"/>
        <v>-1.8085617991177839E-2</v>
      </c>
      <c r="Y309" s="32"/>
      <c r="Z309" s="32"/>
      <c r="AA309" s="32"/>
      <c r="AB309" s="32"/>
      <c r="AC309" s="32"/>
      <c r="AD309" s="32"/>
      <c r="AE309" s="32"/>
      <c r="AG309" s="26">
        <f t="shared" si="123"/>
        <v>0</v>
      </c>
      <c r="AH309" s="27">
        <f t="shared" si="124"/>
        <v>4.5333921420861484E-2</v>
      </c>
      <c r="AI309" s="28">
        <f t="shared" si="137"/>
        <v>1.8085617991177839E-2</v>
      </c>
      <c r="AJ309" s="27">
        <f t="shared" si="125"/>
        <v>1.8085617991177839E-2</v>
      </c>
      <c r="AK309" s="28">
        <f t="shared" si="126"/>
        <v>1.6369756638688429E-3</v>
      </c>
      <c r="AL309" s="27">
        <f t="shared" si="127"/>
        <v>1.8085617991177839E-2</v>
      </c>
      <c r="AM309" s="28">
        <f t="shared" si="138"/>
        <v>2.6558345460906185E-2</v>
      </c>
      <c r="AN309" s="27">
        <f t="shared" si="139"/>
        <v>-1.8085617991177839E-2</v>
      </c>
      <c r="AO309" s="28">
        <f t="shared" si="128"/>
        <v>-1.8085617991177839E-2</v>
      </c>
      <c r="AP309" s="27">
        <f t="shared" si="129"/>
        <v>-1.6369756638688429E-3</v>
      </c>
      <c r="AQ309" s="29">
        <f t="shared" si="130"/>
        <v>-1.8085617991177839E-2</v>
      </c>
      <c r="AS309" s="30">
        <f t="shared" si="131"/>
        <v>0.86374732574798685</v>
      </c>
      <c r="AT309" s="21">
        <f t="shared" si="132"/>
        <v>2.0516447419682469</v>
      </c>
      <c r="AU309" s="31">
        <f t="shared" ca="1" si="140"/>
        <v>5.8403854922262077E-4</v>
      </c>
      <c r="AV309" s="109">
        <f t="shared" ca="1" si="141"/>
        <v>5.8607453214798433E-4</v>
      </c>
      <c r="AW309" s="27" t="e">
        <f t="shared" ca="1" si="142"/>
        <v>#VALUE!</v>
      </c>
      <c r="AX309" s="29" t="e">
        <f t="shared" ca="1" si="143"/>
        <v>#VALUE!</v>
      </c>
      <c r="AY309" s="72"/>
    </row>
    <row r="310" spans="13:51" s="11" customFormat="1" ht="15.6" customHeight="1" x14ac:dyDescent="0.3">
      <c r="M310" s="20">
        <f t="shared" si="144"/>
        <v>280</v>
      </c>
      <c r="N310" s="21">
        <f t="shared" si="145"/>
        <v>4.9000000000000146</v>
      </c>
      <c r="O310" s="22">
        <f t="shared" ca="1" si="117"/>
        <v>184.02145246019117</v>
      </c>
      <c r="P310" s="23">
        <f t="shared" ca="1" si="118"/>
        <v>-1</v>
      </c>
      <c r="Q310" s="22" t="e">
        <f t="shared" ca="1" si="119"/>
        <v>#VALUE!</v>
      </c>
      <c r="R310" s="23">
        <f t="shared" ca="1" si="120"/>
        <v>-1</v>
      </c>
      <c r="S310" s="24" t="e">
        <f t="shared" ca="1" si="121"/>
        <v>#VALUE!</v>
      </c>
      <c r="T310" s="23">
        <f t="shared" ca="1" si="122"/>
        <v>-1</v>
      </c>
      <c r="U310" s="112">
        <f t="shared" si="133"/>
        <v>1.7972932508594774E-2</v>
      </c>
      <c r="V310" s="109">
        <f t="shared" si="134"/>
        <v>-1.7972932508594774E-2</v>
      </c>
      <c r="W310" s="112">
        <f t="shared" si="135"/>
        <v>1.7972932508594774E-2</v>
      </c>
      <c r="X310" s="113">
        <f t="shared" si="136"/>
        <v>-1.7972932508594774E-2</v>
      </c>
      <c r="Y310" s="32"/>
      <c r="Z310" s="32"/>
      <c r="AA310" s="32"/>
      <c r="AB310" s="32"/>
      <c r="AC310" s="32"/>
      <c r="AD310" s="32"/>
      <c r="AE310" s="32"/>
      <c r="AG310" s="26">
        <f t="shared" si="123"/>
        <v>0</v>
      </c>
      <c r="AH310" s="27">
        <f t="shared" si="124"/>
        <v>4.505146080407834E-2</v>
      </c>
      <c r="AI310" s="28">
        <f t="shared" si="137"/>
        <v>1.7972932508594774E-2</v>
      </c>
      <c r="AJ310" s="27">
        <f t="shared" si="125"/>
        <v>1.7972932508594774E-2</v>
      </c>
      <c r="AK310" s="28">
        <f t="shared" si="126"/>
        <v>1.623868655989806E-3</v>
      </c>
      <c r="AL310" s="27">
        <f t="shared" si="127"/>
        <v>1.7972932508594774E-2</v>
      </c>
      <c r="AM310" s="28">
        <f t="shared" si="138"/>
        <v>2.6558345460906185E-2</v>
      </c>
      <c r="AN310" s="27">
        <f t="shared" si="139"/>
        <v>-1.7972932508594774E-2</v>
      </c>
      <c r="AO310" s="28">
        <f t="shared" si="128"/>
        <v>-1.7972932508594774E-2</v>
      </c>
      <c r="AP310" s="27">
        <f t="shared" si="129"/>
        <v>-1.623868655989806E-3</v>
      </c>
      <c r="AQ310" s="29">
        <f t="shared" si="130"/>
        <v>-1.7972932508594774E-2</v>
      </c>
      <c r="AS310" s="30">
        <f t="shared" si="131"/>
        <v>0.86329397741631908</v>
      </c>
      <c r="AT310" s="21">
        <f t="shared" si="132"/>
        <v>2.0352175436955444</v>
      </c>
      <c r="AU310" s="31">
        <f t="shared" ca="1" si="140"/>
        <v>5.8392630884496199E-4</v>
      </c>
      <c r="AV310" s="109">
        <f t="shared" ca="1" si="141"/>
        <v>5.8595897195656832E-4</v>
      </c>
      <c r="AW310" s="27" t="e">
        <f t="shared" ca="1" si="142"/>
        <v>#VALUE!</v>
      </c>
      <c r="AX310" s="29" t="e">
        <f t="shared" ca="1" si="143"/>
        <v>#VALUE!</v>
      </c>
      <c r="AY310" s="72"/>
    </row>
    <row r="311" spans="13:51" s="11" customFormat="1" ht="15.6" customHeight="1" x14ac:dyDescent="0.3">
      <c r="M311" s="20">
        <f t="shared" si="144"/>
        <v>281</v>
      </c>
      <c r="N311" s="21">
        <f t="shared" si="145"/>
        <v>4.9175000000000146</v>
      </c>
      <c r="O311" s="22">
        <f t="shared" ca="1" si="117"/>
        <v>184.194688235808</v>
      </c>
      <c r="P311" s="23">
        <f t="shared" ca="1" si="118"/>
        <v>-1</v>
      </c>
      <c r="Q311" s="22" t="e">
        <f t="shared" ca="1" si="119"/>
        <v>#VALUE!</v>
      </c>
      <c r="R311" s="23">
        <f t="shared" ca="1" si="120"/>
        <v>-1</v>
      </c>
      <c r="S311" s="24" t="e">
        <f t="shared" ca="1" si="121"/>
        <v>#VALUE!</v>
      </c>
      <c r="T311" s="23">
        <f t="shared" ca="1" si="122"/>
        <v>-1</v>
      </c>
      <c r="U311" s="112">
        <f t="shared" si="133"/>
        <v>1.7859595296724512E-2</v>
      </c>
      <c r="V311" s="109">
        <f t="shared" si="134"/>
        <v>-1.7859595296724512E-2</v>
      </c>
      <c r="W311" s="112">
        <f t="shared" si="135"/>
        <v>1.7859595296724512E-2</v>
      </c>
      <c r="X311" s="113">
        <f t="shared" si="136"/>
        <v>-1.7859595296724512E-2</v>
      </c>
      <c r="Y311" s="32"/>
      <c r="Z311" s="32"/>
      <c r="AA311" s="32"/>
      <c r="AB311" s="32"/>
      <c r="AC311" s="32"/>
      <c r="AD311" s="32"/>
      <c r="AE311" s="32"/>
      <c r="AG311" s="26">
        <f t="shared" si="123"/>
        <v>0</v>
      </c>
      <c r="AH311" s="27">
        <f t="shared" si="124"/>
        <v>4.4767366544236492E-2</v>
      </c>
      <c r="AI311" s="28">
        <f t="shared" si="137"/>
        <v>1.7859595296724512E-2</v>
      </c>
      <c r="AJ311" s="27">
        <f t="shared" si="125"/>
        <v>1.7859595296724512E-2</v>
      </c>
      <c r="AK311" s="28">
        <f t="shared" si="126"/>
        <v>1.6107547651250083E-3</v>
      </c>
      <c r="AL311" s="27">
        <f t="shared" si="127"/>
        <v>1.7859595296724512E-2</v>
      </c>
      <c r="AM311" s="28">
        <f t="shared" si="138"/>
        <v>2.6558345460906185E-2</v>
      </c>
      <c r="AN311" s="27">
        <f t="shared" si="139"/>
        <v>-1.7859595296724512E-2</v>
      </c>
      <c r="AO311" s="28">
        <f t="shared" si="128"/>
        <v>-1.7859595296724512E-2</v>
      </c>
      <c r="AP311" s="27">
        <f t="shared" si="129"/>
        <v>-1.6107547651250083E-3</v>
      </c>
      <c r="AQ311" s="29">
        <f t="shared" si="130"/>
        <v>-1.7859595296724512E-2</v>
      </c>
      <c r="AS311" s="30">
        <f t="shared" si="131"/>
        <v>0.86284086703005924</v>
      </c>
      <c r="AT311" s="21">
        <f t="shared" si="132"/>
        <v>2.018781718879481</v>
      </c>
      <c r="AU311" s="31">
        <f t="shared" ca="1" si="140"/>
        <v>5.8380731670326647E-4</v>
      </c>
      <c r="AV311" s="109">
        <f t="shared" ca="1" si="141"/>
        <v>5.8583666652878286E-4</v>
      </c>
      <c r="AW311" s="27" t="e">
        <f t="shared" ca="1" si="142"/>
        <v>#VALUE!</v>
      </c>
      <c r="AX311" s="29" t="e">
        <f t="shared" ca="1" si="143"/>
        <v>#VALUE!</v>
      </c>
      <c r="AY311" s="72"/>
    </row>
    <row r="312" spans="13:51" s="11" customFormat="1" ht="15.6" customHeight="1" x14ac:dyDescent="0.3">
      <c r="M312" s="20">
        <f t="shared" si="144"/>
        <v>282</v>
      </c>
      <c r="N312" s="21">
        <f t="shared" si="145"/>
        <v>4.9350000000000147</v>
      </c>
      <c r="O312" s="22">
        <f t="shared" ca="1" si="117"/>
        <v>184.3670779376852</v>
      </c>
      <c r="P312" s="23">
        <f t="shared" ca="1" si="118"/>
        <v>-1</v>
      </c>
      <c r="Q312" s="22" t="e">
        <f t="shared" ca="1" si="119"/>
        <v>#VALUE!</v>
      </c>
      <c r="R312" s="23">
        <f t="shared" ca="1" si="120"/>
        <v>-1</v>
      </c>
      <c r="S312" s="24" t="e">
        <f t="shared" ca="1" si="121"/>
        <v>#VALUE!</v>
      </c>
      <c r="T312" s="23">
        <f t="shared" ca="1" si="122"/>
        <v>-1</v>
      </c>
      <c r="U312" s="112">
        <f t="shared" si="133"/>
        <v>1.774560759690038E-2</v>
      </c>
      <c r="V312" s="109">
        <f t="shared" si="134"/>
        <v>-1.774560759690038E-2</v>
      </c>
      <c r="W312" s="112">
        <f t="shared" si="135"/>
        <v>1.774560759690038E-2</v>
      </c>
      <c r="X312" s="113">
        <f t="shared" si="136"/>
        <v>-1.774560759690038E-2</v>
      </c>
      <c r="Y312" s="32"/>
      <c r="Z312" s="32"/>
      <c r="AA312" s="32"/>
      <c r="AB312" s="32"/>
      <c r="AC312" s="32"/>
      <c r="AD312" s="32"/>
      <c r="AE312" s="32"/>
      <c r="AG312" s="26">
        <f t="shared" si="123"/>
        <v>0</v>
      </c>
      <c r="AH312" s="27">
        <f t="shared" si="124"/>
        <v>4.4481641752897171E-2</v>
      </c>
      <c r="AI312" s="28">
        <f t="shared" si="137"/>
        <v>1.774560759690038E-2</v>
      </c>
      <c r="AJ312" s="27">
        <f t="shared" si="125"/>
        <v>1.774560759690038E-2</v>
      </c>
      <c r="AK312" s="28">
        <f t="shared" si="126"/>
        <v>1.5976339876599337E-3</v>
      </c>
      <c r="AL312" s="27">
        <f t="shared" si="127"/>
        <v>1.774560759690038E-2</v>
      </c>
      <c r="AM312" s="28">
        <f t="shared" si="138"/>
        <v>2.6558345460906185E-2</v>
      </c>
      <c r="AN312" s="27">
        <f t="shared" si="139"/>
        <v>-1.774560759690038E-2</v>
      </c>
      <c r="AO312" s="28">
        <f t="shared" si="128"/>
        <v>-1.774560759690038E-2</v>
      </c>
      <c r="AP312" s="27">
        <f t="shared" si="129"/>
        <v>-1.5976339876599341E-3</v>
      </c>
      <c r="AQ312" s="29">
        <f t="shared" si="130"/>
        <v>-1.774560759690038E-2</v>
      </c>
      <c r="AS312" s="30">
        <f t="shared" si="131"/>
        <v>0.86238799446431891</v>
      </c>
      <c r="AT312" s="21">
        <f t="shared" si="132"/>
        <v>2.0023372629899323</v>
      </c>
      <c r="AU312" s="31">
        <f t="shared" ca="1" si="140"/>
        <v>5.8368158943333803E-4</v>
      </c>
      <c r="AV312" s="109">
        <f t="shared" ca="1" si="141"/>
        <v>5.8570763256549085E-4</v>
      </c>
      <c r="AW312" s="27" t="e">
        <f t="shared" ca="1" si="142"/>
        <v>#VALUE!</v>
      </c>
      <c r="AX312" s="29" t="e">
        <f t="shared" ca="1" si="143"/>
        <v>#VALUE!</v>
      </c>
      <c r="AY312" s="72"/>
    </row>
    <row r="313" spans="13:51" s="11" customFormat="1" ht="15.6" customHeight="1" x14ac:dyDescent="0.3">
      <c r="M313" s="20">
        <f t="shared" si="144"/>
        <v>283</v>
      </c>
      <c r="N313" s="21">
        <f t="shared" si="145"/>
        <v>4.9525000000000148</v>
      </c>
      <c r="O313" s="22">
        <f t="shared" ca="1" si="117"/>
        <v>184.53862409910366</v>
      </c>
      <c r="P313" s="23">
        <f t="shared" ca="1" si="118"/>
        <v>-1</v>
      </c>
      <c r="Q313" s="22" t="e">
        <f t="shared" ca="1" si="119"/>
        <v>#VALUE!</v>
      </c>
      <c r="R313" s="23">
        <f t="shared" ca="1" si="120"/>
        <v>-1</v>
      </c>
      <c r="S313" s="24" t="e">
        <f t="shared" ca="1" si="121"/>
        <v>#VALUE!</v>
      </c>
      <c r="T313" s="23">
        <f t="shared" ca="1" si="122"/>
        <v>-1</v>
      </c>
      <c r="U313" s="112">
        <f t="shared" si="133"/>
        <v>1.7630970639081631E-2</v>
      </c>
      <c r="V313" s="109">
        <f t="shared" si="134"/>
        <v>-1.7630970639081631E-2</v>
      </c>
      <c r="W313" s="112">
        <f t="shared" si="135"/>
        <v>1.7630970639081631E-2</v>
      </c>
      <c r="X313" s="113">
        <f t="shared" si="136"/>
        <v>-1.7630970639081631E-2</v>
      </c>
      <c r="Y313" s="32"/>
      <c r="Z313" s="32"/>
      <c r="AA313" s="32"/>
      <c r="AB313" s="32"/>
      <c r="AC313" s="32"/>
      <c r="AD313" s="32"/>
      <c r="AE313" s="32"/>
      <c r="AG313" s="26">
        <f t="shared" si="123"/>
        <v>0</v>
      </c>
      <c r="AH313" s="27">
        <f t="shared" si="124"/>
        <v>4.419428951311101E-2</v>
      </c>
      <c r="AI313" s="28">
        <f t="shared" si="137"/>
        <v>1.7630970639081631E-2</v>
      </c>
      <c r="AJ313" s="27">
        <f t="shared" si="125"/>
        <v>1.7630970639081631E-2</v>
      </c>
      <c r="AK313" s="28">
        <f t="shared" si="126"/>
        <v>1.5845063199781634E-3</v>
      </c>
      <c r="AL313" s="27">
        <f t="shared" si="127"/>
        <v>1.7630970639081631E-2</v>
      </c>
      <c r="AM313" s="28">
        <f t="shared" si="138"/>
        <v>2.6558345460906185E-2</v>
      </c>
      <c r="AN313" s="27">
        <f t="shared" si="139"/>
        <v>-1.7630970639081631E-2</v>
      </c>
      <c r="AO313" s="28">
        <f t="shared" si="128"/>
        <v>-1.7630970639081631E-2</v>
      </c>
      <c r="AP313" s="27">
        <f t="shared" si="129"/>
        <v>-1.5845063199781634E-3</v>
      </c>
      <c r="AQ313" s="29">
        <f t="shared" si="130"/>
        <v>-1.7630970639081631E-2</v>
      </c>
      <c r="AS313" s="30">
        <f t="shared" si="131"/>
        <v>0.86193535959427492</v>
      </c>
      <c r="AT313" s="21">
        <f t="shared" si="132"/>
        <v>1.9858841714943898</v>
      </c>
      <c r="AU313" s="31">
        <f t="shared" ca="1" si="140"/>
        <v>5.8355101873053261E-4</v>
      </c>
      <c r="AV313" s="109">
        <f t="shared" ca="1" si="141"/>
        <v>5.8557376027934538E-4</v>
      </c>
      <c r="AW313" s="27" t="e">
        <f t="shared" ca="1" si="142"/>
        <v>#VALUE!</v>
      </c>
      <c r="AX313" s="29" t="e">
        <f t="shared" ca="1" si="143"/>
        <v>#VALUE!</v>
      </c>
      <c r="AY313" s="72"/>
    </row>
    <row r="314" spans="13:51" s="11" customFormat="1" ht="15.6" customHeight="1" x14ac:dyDescent="0.3">
      <c r="M314" s="20">
        <f t="shared" si="144"/>
        <v>284</v>
      </c>
      <c r="N314" s="21">
        <f t="shared" si="145"/>
        <v>4.9700000000000149</v>
      </c>
      <c r="O314" s="22">
        <f t="shared" ca="1" si="117"/>
        <v>184.70932660611354</v>
      </c>
      <c r="P314" s="23">
        <f t="shared" ca="1" si="118"/>
        <v>-1</v>
      </c>
      <c r="Q314" s="22" t="e">
        <f t="shared" ca="1" si="119"/>
        <v>#VALUE!</v>
      </c>
      <c r="R314" s="23">
        <f t="shared" ca="1" si="120"/>
        <v>-1</v>
      </c>
      <c r="S314" s="24" t="e">
        <f t="shared" ca="1" si="121"/>
        <v>#VALUE!</v>
      </c>
      <c r="T314" s="23">
        <f t="shared" ca="1" si="122"/>
        <v>-1</v>
      </c>
      <c r="U314" s="112">
        <f t="shared" si="133"/>
        <v>1.7515685641983518E-2</v>
      </c>
      <c r="V314" s="109">
        <f t="shared" si="134"/>
        <v>-1.7515685641983518E-2</v>
      </c>
      <c r="W314" s="112">
        <f t="shared" si="135"/>
        <v>1.7515685641983518E-2</v>
      </c>
      <c r="X314" s="113">
        <f t="shared" si="136"/>
        <v>-1.7515685641983518E-2</v>
      </c>
      <c r="Y314" s="32"/>
      <c r="Z314" s="32"/>
      <c r="AA314" s="32"/>
      <c r="AB314" s="32"/>
      <c r="AC314" s="32"/>
      <c r="AD314" s="32"/>
      <c r="AE314" s="32"/>
      <c r="AG314" s="26">
        <f t="shared" si="123"/>
        <v>0</v>
      </c>
      <c r="AH314" s="27">
        <f t="shared" si="124"/>
        <v>4.3905312879744134E-2</v>
      </c>
      <c r="AI314" s="28">
        <f t="shared" si="137"/>
        <v>1.7515685641983518E-2</v>
      </c>
      <c r="AJ314" s="27">
        <f t="shared" si="125"/>
        <v>1.7515685641983518E-2</v>
      </c>
      <c r="AK314" s="28">
        <f t="shared" si="126"/>
        <v>1.5713717584613875E-3</v>
      </c>
      <c r="AL314" s="27">
        <f t="shared" si="127"/>
        <v>1.7515685641983518E-2</v>
      </c>
      <c r="AM314" s="28">
        <f t="shared" si="138"/>
        <v>2.6558345460906185E-2</v>
      </c>
      <c r="AN314" s="27">
        <f t="shared" si="139"/>
        <v>-1.7515685641983518E-2</v>
      </c>
      <c r="AO314" s="28">
        <f t="shared" si="128"/>
        <v>-1.7515685641983518E-2</v>
      </c>
      <c r="AP314" s="27">
        <f t="shared" si="129"/>
        <v>-1.5713717584613875E-3</v>
      </c>
      <c r="AQ314" s="29">
        <f t="shared" si="130"/>
        <v>-1.7515685641983518E-2</v>
      </c>
      <c r="AS314" s="30">
        <f t="shared" si="131"/>
        <v>0.86148296229516996</v>
      </c>
      <c r="AT314" s="21">
        <f t="shared" si="132"/>
        <v>1.9694224398579745</v>
      </c>
      <c r="AU314" s="31">
        <f t="shared" ca="1" si="140"/>
        <v>5.8341376096737729E-4</v>
      </c>
      <c r="AV314" s="109">
        <f t="shared" ca="1" si="141"/>
        <v>5.854332076262736E-4</v>
      </c>
      <c r="AW314" s="27" t="e">
        <f t="shared" ca="1" si="142"/>
        <v>#VALUE!</v>
      </c>
      <c r="AX314" s="29" t="e">
        <f t="shared" ca="1" si="143"/>
        <v>#VALUE!</v>
      </c>
      <c r="AY314" s="72"/>
    </row>
    <row r="315" spans="13:51" s="11" customFormat="1" ht="15.6" customHeight="1" x14ac:dyDescent="0.3">
      <c r="M315" s="20">
        <f t="shared" si="144"/>
        <v>285</v>
      </c>
      <c r="N315" s="21">
        <f t="shared" si="145"/>
        <v>4.9875000000000149</v>
      </c>
      <c r="O315" s="22">
        <f t="shared" ca="1" si="117"/>
        <v>184.87918678759578</v>
      </c>
      <c r="P315" s="23">
        <f t="shared" ca="1" si="118"/>
        <v>185</v>
      </c>
      <c r="Q315" s="22" t="e">
        <f t="shared" ca="1" si="119"/>
        <v>#VALUE!</v>
      </c>
      <c r="R315" s="23">
        <f t="shared" ca="1" si="120"/>
        <v>0</v>
      </c>
      <c r="S315" s="24" t="e">
        <f t="shared" ca="1" si="121"/>
        <v>#VALUE!</v>
      </c>
      <c r="T315" s="23">
        <f t="shared" ca="1" si="122"/>
        <v>0</v>
      </c>
      <c r="U315" s="112">
        <f t="shared" si="133"/>
        <v>1.7399753813205212E-2</v>
      </c>
      <c r="V315" s="109">
        <f t="shared" si="134"/>
        <v>-1.7399753813205212E-2</v>
      </c>
      <c r="W315" s="112">
        <f t="shared" si="135"/>
        <v>1.7399753813205212E-2</v>
      </c>
      <c r="X315" s="113">
        <f t="shared" si="136"/>
        <v>-1.7399753813205212E-2</v>
      </c>
      <c r="Y315" s="32"/>
      <c r="Z315" s="32"/>
      <c r="AA315" s="32"/>
      <c r="AB315" s="32"/>
      <c r="AC315" s="32"/>
      <c r="AD315" s="32"/>
      <c r="AE315" s="32"/>
      <c r="AG315" s="26">
        <f t="shared" si="123"/>
        <v>0</v>
      </c>
      <c r="AH315" s="27">
        <f t="shared" si="124"/>
        <v>4.3614714879798754E-2</v>
      </c>
      <c r="AI315" s="28">
        <f t="shared" si="137"/>
        <v>1.7399753813205212E-2</v>
      </c>
      <c r="AJ315" s="27">
        <f t="shared" si="125"/>
        <v>1.7399753813205212E-2</v>
      </c>
      <c r="AK315" s="28">
        <f t="shared" si="126"/>
        <v>1.5582302994893936E-3</v>
      </c>
      <c r="AL315" s="27">
        <f t="shared" si="127"/>
        <v>1.7399753813205212E-2</v>
      </c>
      <c r="AM315" s="28">
        <f t="shared" si="138"/>
        <v>2.6558345460906185E-2</v>
      </c>
      <c r="AN315" s="27">
        <f t="shared" si="139"/>
        <v>-1.7399753813205212E-2</v>
      </c>
      <c r="AO315" s="28">
        <f t="shared" si="128"/>
        <v>-1.7399753813205212E-2</v>
      </c>
      <c r="AP315" s="27">
        <f t="shared" si="129"/>
        <v>-1.5582302994893936E-3</v>
      </c>
      <c r="AQ315" s="29">
        <f t="shared" si="130"/>
        <v>-1.7399753813205212E-2</v>
      </c>
      <c r="AS315" s="30">
        <f t="shared" si="131"/>
        <v>0.86103080244231189</v>
      </c>
      <c r="AT315" s="21">
        <f t="shared" si="132"/>
        <v>1.9529520635434228</v>
      </c>
      <c r="AU315" s="31">
        <f t="shared" ca="1" si="140"/>
        <v>5.8327086125131711E-4</v>
      </c>
      <c r="AV315" s="109">
        <f t="shared" ca="1" si="141"/>
        <v>5.8528701892324175E-4</v>
      </c>
      <c r="AW315" s="27" t="e">
        <f t="shared" ca="1" si="142"/>
        <v>#VALUE!</v>
      </c>
      <c r="AX315" s="29" t="e">
        <f t="shared" ca="1" si="143"/>
        <v>#VALUE!</v>
      </c>
      <c r="AY315" s="72"/>
    </row>
    <row r="316" spans="13:51" s="11" customFormat="1" ht="15.6" customHeight="1" x14ac:dyDescent="0.3">
      <c r="M316" s="20">
        <f t="shared" si="144"/>
        <v>286</v>
      </c>
      <c r="N316" s="21">
        <f t="shared" si="145"/>
        <v>5.005000000000015</v>
      </c>
      <c r="O316" s="22">
        <f t="shared" ca="1" si="117"/>
        <v>185.04821121892104</v>
      </c>
      <c r="P316" s="23">
        <f t="shared" ca="1" si="118"/>
        <v>-1</v>
      </c>
      <c r="Q316" s="22" t="e">
        <f t="shared" ca="1" si="119"/>
        <v>#VALUE!</v>
      </c>
      <c r="R316" s="23">
        <f t="shared" ca="1" si="120"/>
        <v>-1</v>
      </c>
      <c r="S316" s="24" t="e">
        <f t="shared" ca="1" si="121"/>
        <v>#VALUE!</v>
      </c>
      <c r="T316" s="23">
        <f t="shared" ca="1" si="122"/>
        <v>-1</v>
      </c>
      <c r="U316" s="112">
        <f t="shared" si="133"/>
        <v>1.7283176349355802E-2</v>
      </c>
      <c r="V316" s="109">
        <f t="shared" si="134"/>
        <v>-1.7283176349355802E-2</v>
      </c>
      <c r="W316" s="112">
        <f t="shared" si="135"/>
        <v>1.7283176349355802E-2</v>
      </c>
      <c r="X316" s="113">
        <f t="shared" si="136"/>
        <v>-1.7283176349355802E-2</v>
      </c>
      <c r="Y316" s="32"/>
      <c r="Z316" s="32"/>
      <c r="AA316" s="32"/>
      <c r="AB316" s="32"/>
      <c r="AC316" s="32"/>
      <c r="AD316" s="32"/>
      <c r="AE316" s="32"/>
      <c r="AG316" s="26">
        <f t="shared" si="123"/>
        <v>0</v>
      </c>
      <c r="AH316" s="27">
        <f t="shared" si="124"/>
        <v>4.3322498512729048E-2</v>
      </c>
      <c r="AI316" s="28">
        <f t="shared" si="137"/>
        <v>1.7283176349355802E-2</v>
      </c>
      <c r="AJ316" s="27">
        <f t="shared" si="125"/>
        <v>1.7283176349355802E-2</v>
      </c>
      <c r="AK316" s="28">
        <f t="shared" si="126"/>
        <v>1.5450819394400618E-3</v>
      </c>
      <c r="AL316" s="27">
        <f t="shared" si="127"/>
        <v>1.7283176349355802E-2</v>
      </c>
      <c r="AM316" s="28">
        <f t="shared" si="138"/>
        <v>2.6558345460906185E-2</v>
      </c>
      <c r="AN316" s="27">
        <f t="shared" si="139"/>
        <v>-1.7283176349355802E-2</v>
      </c>
      <c r="AO316" s="28">
        <f t="shared" si="128"/>
        <v>-1.7283176349355802E-2</v>
      </c>
      <c r="AP316" s="27">
        <f t="shared" si="129"/>
        <v>-1.545081939440062E-3</v>
      </c>
      <c r="AQ316" s="29">
        <f t="shared" si="130"/>
        <v>-1.7283176349355802E-2</v>
      </c>
      <c r="AS316" s="30">
        <f t="shared" si="131"/>
        <v>0.86057887991107429</v>
      </c>
      <c r="AT316" s="21">
        <f t="shared" si="132"/>
        <v>1.9364730380110811</v>
      </c>
      <c r="AU316" s="31">
        <f t="shared" ca="1" si="140"/>
        <v>5.8312609826172146E-4</v>
      </c>
      <c r="AV316" s="109">
        <f t="shared" ca="1" si="141"/>
        <v>5.8513896976442048E-4</v>
      </c>
      <c r="AW316" s="27" t="e">
        <f t="shared" ca="1" si="142"/>
        <v>#VALUE!</v>
      </c>
      <c r="AX316" s="29" t="e">
        <f t="shared" ca="1" si="143"/>
        <v>#VALUE!</v>
      </c>
      <c r="AY316" s="72"/>
    </row>
    <row r="317" spans="13:51" s="11" customFormat="1" ht="15.6" customHeight="1" x14ac:dyDescent="0.3">
      <c r="M317" s="20">
        <f t="shared" si="144"/>
        <v>287</v>
      </c>
      <c r="N317" s="21">
        <f t="shared" si="145"/>
        <v>5.0225000000000151</v>
      </c>
      <c r="O317" s="22">
        <f t="shared" ca="1" si="117"/>
        <v>185.21638098145112</v>
      </c>
      <c r="P317" s="23">
        <f t="shared" ca="1" si="118"/>
        <v>-1</v>
      </c>
      <c r="Q317" s="22" t="e">
        <f t="shared" ca="1" si="119"/>
        <v>#VALUE!</v>
      </c>
      <c r="R317" s="23">
        <f t="shared" ca="1" si="120"/>
        <v>-1</v>
      </c>
      <c r="S317" s="24" t="e">
        <f t="shared" ca="1" si="121"/>
        <v>#VALUE!</v>
      </c>
      <c r="T317" s="23">
        <f t="shared" ca="1" si="122"/>
        <v>-1</v>
      </c>
      <c r="U317" s="112">
        <f t="shared" si="133"/>
        <v>1.7165954436178642E-2</v>
      </c>
      <c r="V317" s="109">
        <f t="shared" si="134"/>
        <v>-1.7165954436178642E-2</v>
      </c>
      <c r="W317" s="112">
        <f t="shared" si="135"/>
        <v>1.7165954436178642E-2</v>
      </c>
      <c r="X317" s="113">
        <f t="shared" si="136"/>
        <v>-1.7165954436178642E-2</v>
      </c>
      <c r="Y317" s="32"/>
      <c r="Z317" s="32"/>
      <c r="AA317" s="32"/>
      <c r="AB317" s="32"/>
      <c r="AC317" s="32"/>
      <c r="AD317" s="32"/>
      <c r="AE317" s="32"/>
      <c r="AG317" s="26">
        <f t="shared" si="123"/>
        <v>0</v>
      </c>
      <c r="AH317" s="27">
        <f t="shared" si="124"/>
        <v>4.3028666750752835E-2</v>
      </c>
      <c r="AI317" s="28">
        <f t="shared" si="137"/>
        <v>1.7165954436178642E-2</v>
      </c>
      <c r="AJ317" s="27">
        <f t="shared" si="125"/>
        <v>1.7165954436178642E-2</v>
      </c>
      <c r="AK317" s="28">
        <f t="shared" si="126"/>
        <v>1.531926674689383E-3</v>
      </c>
      <c r="AL317" s="27">
        <f t="shared" si="127"/>
        <v>1.7165954436178642E-2</v>
      </c>
      <c r="AM317" s="28">
        <f t="shared" si="138"/>
        <v>2.6558345460906185E-2</v>
      </c>
      <c r="AN317" s="27">
        <f t="shared" si="139"/>
        <v>-1.7165954436178642E-2</v>
      </c>
      <c r="AO317" s="28">
        <f t="shared" si="128"/>
        <v>-1.7165954436178642E-2</v>
      </c>
      <c r="AP317" s="27">
        <f t="shared" si="129"/>
        <v>-1.531926674689383E-3</v>
      </c>
      <c r="AQ317" s="29">
        <f t="shared" si="130"/>
        <v>-1.7165954436178642E-2</v>
      </c>
      <c r="AS317" s="30">
        <f t="shared" si="131"/>
        <v>0.86012719457689579</v>
      </c>
      <c r="AT317" s="21">
        <f t="shared" si="132"/>
        <v>1.9199853587189268</v>
      </c>
      <c r="AU317" s="31">
        <f t="shared" ca="1" si="140"/>
        <v>5.8296126672308102E-4</v>
      </c>
      <c r="AV317" s="109">
        <f t="shared" ca="1" si="141"/>
        <v>5.849708701292089E-4</v>
      </c>
      <c r="AW317" s="27" t="e">
        <f t="shared" ca="1" si="142"/>
        <v>#VALUE!</v>
      </c>
      <c r="AX317" s="29" t="e">
        <f t="shared" ca="1" si="143"/>
        <v>#VALUE!</v>
      </c>
      <c r="AY317" s="72"/>
    </row>
    <row r="318" spans="13:51" s="11" customFormat="1" ht="15.6" customHeight="1" x14ac:dyDescent="0.3">
      <c r="M318" s="20">
        <f t="shared" si="144"/>
        <v>288</v>
      </c>
      <c r="N318" s="21">
        <f t="shared" si="145"/>
        <v>5.0400000000000151</v>
      </c>
      <c r="O318" s="22">
        <f t="shared" ca="1" si="117"/>
        <v>185.3837308712755</v>
      </c>
      <c r="P318" s="23">
        <f t="shared" ca="1" si="118"/>
        <v>-1</v>
      </c>
      <c r="Q318" s="22" t="e">
        <f t="shared" ca="1" si="119"/>
        <v>#VALUE!</v>
      </c>
      <c r="R318" s="23">
        <f t="shared" ca="1" si="120"/>
        <v>-1</v>
      </c>
      <c r="S318" s="24" t="e">
        <f t="shared" ca="1" si="121"/>
        <v>#VALUE!</v>
      </c>
      <c r="T318" s="23">
        <f t="shared" ca="1" si="122"/>
        <v>-1</v>
      </c>
      <c r="U318" s="112">
        <f t="shared" si="133"/>
        <v>1.7048089248673352E-2</v>
      </c>
      <c r="V318" s="109">
        <f t="shared" si="134"/>
        <v>-1.7048089248673352E-2</v>
      </c>
      <c r="W318" s="112">
        <f t="shared" si="135"/>
        <v>1.7048089248673352E-2</v>
      </c>
      <c r="X318" s="113">
        <f t="shared" si="136"/>
        <v>-1.7048089248673352E-2</v>
      </c>
      <c r="Y318" s="32"/>
      <c r="Z318" s="32"/>
      <c r="AA318" s="32"/>
      <c r="AB318" s="32"/>
      <c r="AC318" s="32"/>
      <c r="AD318" s="32"/>
      <c r="AE318" s="32"/>
      <c r="AG318" s="26">
        <f t="shared" si="123"/>
        <v>0</v>
      </c>
      <c r="AH318" s="27">
        <f t="shared" si="124"/>
        <v>4.2733222539157394E-2</v>
      </c>
      <c r="AI318" s="28">
        <f t="shared" si="137"/>
        <v>1.7048089248673352E-2</v>
      </c>
      <c r="AJ318" s="27">
        <f t="shared" si="125"/>
        <v>1.7048089248673352E-2</v>
      </c>
      <c r="AK318" s="28">
        <f t="shared" si="126"/>
        <v>1.5187645016114281E-3</v>
      </c>
      <c r="AL318" s="27">
        <f t="shared" si="127"/>
        <v>1.7048089248673352E-2</v>
      </c>
      <c r="AM318" s="28">
        <f t="shared" si="138"/>
        <v>2.6558345460906185E-2</v>
      </c>
      <c r="AN318" s="27">
        <f t="shared" si="139"/>
        <v>-1.7048089248673352E-2</v>
      </c>
      <c r="AO318" s="28">
        <f t="shared" si="128"/>
        <v>-1.7048089248673352E-2</v>
      </c>
      <c r="AP318" s="27">
        <f t="shared" si="129"/>
        <v>-1.5187645016114281E-3</v>
      </c>
      <c r="AQ318" s="29">
        <f t="shared" si="130"/>
        <v>-1.7048089248673352E-2</v>
      </c>
      <c r="AS318" s="30">
        <f t="shared" si="131"/>
        <v>0.85967574631528088</v>
      </c>
      <c r="AT318" s="21">
        <f t="shared" si="132"/>
        <v>1.9034890211225324</v>
      </c>
      <c r="AU318" s="31">
        <f t="shared" ca="1" si="140"/>
        <v>5.8281484587519028E-4</v>
      </c>
      <c r="AV318" s="109">
        <f t="shared" ca="1" si="141"/>
        <v>5.848211671819481E-4</v>
      </c>
      <c r="AW318" s="27" t="e">
        <f t="shared" ca="1" si="142"/>
        <v>#VALUE!</v>
      </c>
      <c r="AX318" s="29" t="e">
        <f t="shared" ca="1" si="143"/>
        <v>#VALUE!</v>
      </c>
      <c r="AY318" s="72"/>
    </row>
    <row r="319" spans="13:51" s="11" customFormat="1" ht="15.6" customHeight="1" x14ac:dyDescent="0.3">
      <c r="M319" s="20">
        <f t="shared" si="144"/>
        <v>289</v>
      </c>
      <c r="N319" s="21">
        <f t="shared" si="145"/>
        <v>5.0575000000000152</v>
      </c>
      <c r="O319" s="22">
        <f t="shared" ca="1" si="117"/>
        <v>185.55023559918533</v>
      </c>
      <c r="P319" s="23">
        <f t="shared" ca="1" si="118"/>
        <v>-1</v>
      </c>
      <c r="Q319" s="22" t="e">
        <f t="shared" ca="1" si="119"/>
        <v>#VALUE!</v>
      </c>
      <c r="R319" s="23">
        <f t="shared" ca="1" si="120"/>
        <v>-1</v>
      </c>
      <c r="S319" s="24" t="e">
        <f t="shared" ca="1" si="121"/>
        <v>#VALUE!</v>
      </c>
      <c r="T319" s="23">
        <f t="shared" ca="1" si="122"/>
        <v>-1</v>
      </c>
      <c r="U319" s="112">
        <f t="shared" si="133"/>
        <v>1.6929581951216657E-2</v>
      </c>
      <c r="V319" s="109">
        <f t="shared" si="134"/>
        <v>-1.6929581951216657E-2</v>
      </c>
      <c r="W319" s="112">
        <f t="shared" si="135"/>
        <v>1.6929581951216657E-2</v>
      </c>
      <c r="X319" s="113">
        <f t="shared" si="136"/>
        <v>-1.6929581951216657E-2</v>
      </c>
      <c r="Y319" s="32"/>
      <c r="Z319" s="32"/>
      <c r="AA319" s="32"/>
      <c r="AB319" s="32"/>
      <c r="AC319" s="32"/>
      <c r="AD319" s="32"/>
      <c r="AE319" s="32"/>
      <c r="AG319" s="26">
        <f t="shared" si="123"/>
        <v>0</v>
      </c>
      <c r="AH319" s="27">
        <f t="shared" si="124"/>
        <v>4.2436168796602336E-2</v>
      </c>
      <c r="AI319" s="28">
        <f t="shared" si="137"/>
        <v>1.6929581951216657E-2</v>
      </c>
      <c r="AJ319" s="27">
        <f t="shared" si="125"/>
        <v>1.6929581951216657E-2</v>
      </c>
      <c r="AK319" s="28">
        <f t="shared" si="126"/>
        <v>1.5055954165783814E-3</v>
      </c>
      <c r="AL319" s="27">
        <f t="shared" si="127"/>
        <v>1.6929581951216657E-2</v>
      </c>
      <c r="AM319" s="28">
        <f t="shared" si="138"/>
        <v>2.6558345460906185E-2</v>
      </c>
      <c r="AN319" s="27">
        <f t="shared" si="139"/>
        <v>-1.6929581951216657E-2</v>
      </c>
      <c r="AO319" s="28">
        <f t="shared" si="128"/>
        <v>-1.6929581951216657E-2</v>
      </c>
      <c r="AP319" s="27">
        <f t="shared" si="129"/>
        <v>-1.5055954165783814E-3</v>
      </c>
      <c r="AQ319" s="29">
        <f t="shared" si="130"/>
        <v>-1.6929581951216657E-2</v>
      </c>
      <c r="AS319" s="30">
        <f t="shared" si="131"/>
        <v>0.85922453500179885</v>
      </c>
      <c r="AT319" s="21">
        <f t="shared" si="132"/>
        <v>1.8869840206751052</v>
      </c>
      <c r="AU319" s="31">
        <f t="shared" ca="1" si="140"/>
        <v>5.8264381853256886E-4</v>
      </c>
      <c r="AV319" s="109">
        <f t="shared" ca="1" si="141"/>
        <v>5.846468797676696E-4</v>
      </c>
      <c r="AW319" s="27" t="e">
        <f t="shared" ca="1" si="142"/>
        <v>#VALUE!</v>
      </c>
      <c r="AX319" s="29" t="e">
        <f t="shared" ca="1" si="143"/>
        <v>#VALUE!</v>
      </c>
      <c r="AY319" s="72"/>
    </row>
    <row r="320" spans="13:51" s="11" customFormat="1" ht="15.6" customHeight="1" x14ac:dyDescent="0.3">
      <c r="M320" s="20">
        <f t="shared" si="144"/>
        <v>290</v>
      </c>
      <c r="N320" s="21">
        <f t="shared" si="145"/>
        <v>5.0750000000000153</v>
      </c>
      <c r="O320" s="22">
        <f t="shared" ca="1" si="117"/>
        <v>185.7159302839822</v>
      </c>
      <c r="P320" s="23">
        <f t="shared" ca="1" si="118"/>
        <v>-1</v>
      </c>
      <c r="Q320" s="22" t="e">
        <f t="shared" ca="1" si="119"/>
        <v>#VALUE!</v>
      </c>
      <c r="R320" s="23">
        <f t="shared" ca="1" si="120"/>
        <v>-1</v>
      </c>
      <c r="S320" s="24" t="e">
        <f t="shared" ca="1" si="121"/>
        <v>#VALUE!</v>
      </c>
      <c r="T320" s="23">
        <f t="shared" ca="1" si="122"/>
        <v>-1</v>
      </c>
      <c r="U320" s="112">
        <f t="shared" si="133"/>
        <v>1.6810433697680701E-2</v>
      </c>
      <c r="V320" s="109">
        <f t="shared" si="134"/>
        <v>-1.6810433697680701E-2</v>
      </c>
      <c r="W320" s="112">
        <f t="shared" si="135"/>
        <v>1.6810433697680701E-2</v>
      </c>
      <c r="X320" s="113">
        <f t="shared" si="136"/>
        <v>-1.6810433697680701E-2</v>
      </c>
      <c r="Y320" s="32"/>
      <c r="Z320" s="32"/>
      <c r="AA320" s="32"/>
      <c r="AB320" s="32"/>
      <c r="AC320" s="32"/>
      <c r="AD320" s="32"/>
      <c r="AE320" s="32"/>
      <c r="AG320" s="26">
        <f t="shared" si="123"/>
        <v>0</v>
      </c>
      <c r="AH320" s="27">
        <f t="shared" si="124"/>
        <v>4.2137508415416199E-2</v>
      </c>
      <c r="AI320" s="28">
        <f t="shared" si="137"/>
        <v>1.6810433697680701E-2</v>
      </c>
      <c r="AJ320" s="27">
        <f t="shared" si="125"/>
        <v>1.6810433697680701E-2</v>
      </c>
      <c r="AK320" s="28">
        <f t="shared" si="126"/>
        <v>1.4924194159605083E-3</v>
      </c>
      <c r="AL320" s="27">
        <f t="shared" si="127"/>
        <v>1.6810433697680701E-2</v>
      </c>
      <c r="AM320" s="28">
        <f t="shared" si="138"/>
        <v>2.6558345460906185E-2</v>
      </c>
      <c r="AN320" s="27">
        <f t="shared" si="139"/>
        <v>-1.6810433697680701E-2</v>
      </c>
      <c r="AO320" s="28">
        <f t="shared" si="128"/>
        <v>-1.6810433697680701E-2</v>
      </c>
      <c r="AP320" s="27">
        <f t="shared" si="129"/>
        <v>-1.4924194159605083E-3</v>
      </c>
      <c r="AQ320" s="29">
        <f t="shared" si="130"/>
        <v>-1.6810433697680701E-2</v>
      </c>
      <c r="AS320" s="30">
        <f t="shared" si="131"/>
        <v>0.85877356051208475</v>
      </c>
      <c r="AT320" s="21">
        <f t="shared" si="132"/>
        <v>1.8704703528274469</v>
      </c>
      <c r="AU320" s="31">
        <f t="shared" ca="1" si="140"/>
        <v>5.8249166671608954E-4</v>
      </c>
      <c r="AV320" s="109">
        <f t="shared" ca="1" si="141"/>
        <v>5.8449145343086872E-4</v>
      </c>
      <c r="AW320" s="27" t="e">
        <f t="shared" ca="1" si="142"/>
        <v>#VALUE!</v>
      </c>
      <c r="AX320" s="29" t="e">
        <f t="shared" ca="1" si="143"/>
        <v>#VALUE!</v>
      </c>
      <c r="AY320" s="72"/>
    </row>
    <row r="321" spans="13:51" s="11" customFormat="1" ht="15.6" customHeight="1" x14ac:dyDescent="0.3">
      <c r="M321" s="20">
        <f t="shared" si="144"/>
        <v>291</v>
      </c>
      <c r="N321" s="21">
        <f t="shared" si="145"/>
        <v>5.0925000000000153</v>
      </c>
      <c r="O321" s="22">
        <f t="shared" ca="1" si="117"/>
        <v>185.88080429036012</v>
      </c>
      <c r="P321" s="23">
        <f t="shared" ca="1" si="118"/>
        <v>-1</v>
      </c>
      <c r="Q321" s="22" t="e">
        <f t="shared" ca="1" si="119"/>
        <v>#VALUE!</v>
      </c>
      <c r="R321" s="23">
        <f t="shared" ca="1" si="120"/>
        <v>-1</v>
      </c>
      <c r="S321" s="24" t="e">
        <f t="shared" ca="1" si="121"/>
        <v>#VALUE!</v>
      </c>
      <c r="T321" s="23">
        <f t="shared" ca="1" si="122"/>
        <v>-1</v>
      </c>
      <c r="U321" s="112">
        <f t="shared" si="133"/>
        <v>1.669064563155016E-2</v>
      </c>
      <c r="V321" s="109">
        <f t="shared" si="134"/>
        <v>-1.669064563155016E-2</v>
      </c>
      <c r="W321" s="112">
        <f t="shared" si="135"/>
        <v>1.669064563155016E-2</v>
      </c>
      <c r="X321" s="113">
        <f t="shared" si="136"/>
        <v>-1.669064563155016E-2</v>
      </c>
      <c r="Y321" s="32"/>
      <c r="Z321" s="32"/>
      <c r="AA321" s="32"/>
      <c r="AB321" s="32"/>
      <c r="AC321" s="32"/>
      <c r="AD321" s="32"/>
      <c r="AE321" s="32"/>
      <c r="AG321" s="26">
        <f t="shared" si="123"/>
        <v>0</v>
      </c>
      <c r="AH321" s="27">
        <f t="shared" si="124"/>
        <v>4.1837244261890019E-2</v>
      </c>
      <c r="AI321" s="28">
        <f t="shared" si="137"/>
        <v>1.669064563155016E-2</v>
      </c>
      <c r="AJ321" s="27">
        <f t="shared" si="125"/>
        <v>1.669064563155016E-2</v>
      </c>
      <c r="AK321" s="28">
        <f t="shared" si="126"/>
        <v>1.4792364961261752E-3</v>
      </c>
      <c r="AL321" s="27">
        <f t="shared" si="127"/>
        <v>1.669064563155016E-2</v>
      </c>
      <c r="AM321" s="28">
        <f t="shared" si="138"/>
        <v>2.6558345460906185E-2</v>
      </c>
      <c r="AN321" s="27">
        <f t="shared" si="139"/>
        <v>-1.669064563155016E-2</v>
      </c>
      <c r="AO321" s="28">
        <f t="shared" si="128"/>
        <v>-1.669064563155016E-2</v>
      </c>
      <c r="AP321" s="27">
        <f t="shared" si="129"/>
        <v>-1.4792364961261754E-3</v>
      </c>
      <c r="AQ321" s="29">
        <f t="shared" si="130"/>
        <v>-1.669064563155016E-2</v>
      </c>
      <c r="AS321" s="30">
        <f t="shared" si="131"/>
        <v>0.8583228227218388</v>
      </c>
      <c r="AT321" s="21">
        <f t="shared" si="132"/>
        <v>1.8539480130279804</v>
      </c>
      <c r="AU321" s="31">
        <f t="shared" ca="1" si="140"/>
        <v>5.8232552266701543E-4</v>
      </c>
      <c r="AV321" s="109">
        <f t="shared" ca="1" si="141"/>
        <v>5.8432204807723487E-4</v>
      </c>
      <c r="AW321" s="27" t="e">
        <f t="shared" ca="1" si="142"/>
        <v>#VALUE!</v>
      </c>
      <c r="AX321" s="29" t="e">
        <f t="shared" ca="1" si="143"/>
        <v>#VALUE!</v>
      </c>
      <c r="AY321" s="72"/>
    </row>
    <row r="322" spans="13:51" s="11" customFormat="1" ht="15.6" customHeight="1" x14ac:dyDescent="0.3">
      <c r="M322" s="20">
        <f t="shared" si="144"/>
        <v>292</v>
      </c>
      <c r="N322" s="21">
        <f t="shared" si="145"/>
        <v>5.1100000000000154</v>
      </c>
      <c r="O322" s="22">
        <f t="shared" ca="1" si="117"/>
        <v>186.04484755451</v>
      </c>
      <c r="P322" s="23">
        <f t="shared" ca="1" si="118"/>
        <v>-1</v>
      </c>
      <c r="Q322" s="22" t="e">
        <f t="shared" ca="1" si="119"/>
        <v>#VALUE!</v>
      </c>
      <c r="R322" s="23">
        <f t="shared" ca="1" si="120"/>
        <v>-1</v>
      </c>
      <c r="S322" s="24" t="e">
        <f t="shared" ca="1" si="121"/>
        <v>#VALUE!</v>
      </c>
      <c r="T322" s="23">
        <f t="shared" ca="1" si="122"/>
        <v>-1</v>
      </c>
      <c r="U322" s="112">
        <f t="shared" si="133"/>
        <v>1.6570218886037401E-2</v>
      </c>
      <c r="V322" s="109">
        <f t="shared" si="134"/>
        <v>-1.6570218886037401E-2</v>
      </c>
      <c r="W322" s="112">
        <f t="shared" si="135"/>
        <v>1.6570218886037401E-2</v>
      </c>
      <c r="X322" s="113">
        <f t="shared" si="136"/>
        <v>-1.6570218886037401E-2</v>
      </c>
      <c r="Y322" s="32"/>
      <c r="Z322" s="32"/>
      <c r="AA322" s="32"/>
      <c r="AB322" s="32"/>
      <c r="AC322" s="32"/>
      <c r="AD322" s="32"/>
      <c r="AE322" s="32"/>
      <c r="AG322" s="26">
        <f t="shared" si="123"/>
        <v>0</v>
      </c>
      <c r="AH322" s="27">
        <f t="shared" si="124"/>
        <v>4.1535379176565947E-2</v>
      </c>
      <c r="AI322" s="28">
        <f t="shared" si="137"/>
        <v>1.6570218886037401E-2</v>
      </c>
      <c r="AJ322" s="27">
        <f t="shared" si="125"/>
        <v>1.6570218886037401E-2</v>
      </c>
      <c r="AK322" s="28">
        <f t="shared" si="126"/>
        <v>1.4660466534418409E-3</v>
      </c>
      <c r="AL322" s="27">
        <f t="shared" si="127"/>
        <v>1.6570218886037401E-2</v>
      </c>
      <c r="AM322" s="28">
        <f t="shared" si="138"/>
        <v>2.6558345460906185E-2</v>
      </c>
      <c r="AN322" s="27">
        <f t="shared" si="139"/>
        <v>-1.6570218886037401E-2</v>
      </c>
      <c r="AO322" s="28">
        <f t="shared" si="128"/>
        <v>-1.6570218886037401E-2</v>
      </c>
      <c r="AP322" s="27">
        <f t="shared" si="129"/>
        <v>-1.4660466534418409E-3</v>
      </c>
      <c r="AQ322" s="29">
        <f t="shared" si="130"/>
        <v>-1.6570218886037401E-2</v>
      </c>
      <c r="AS322" s="30">
        <f t="shared" si="131"/>
        <v>0.85787232150682613</v>
      </c>
      <c r="AT322" s="21">
        <f t="shared" si="132"/>
        <v>1.837416996722737</v>
      </c>
      <c r="AU322" s="31">
        <f t="shared" ca="1" si="140"/>
        <v>5.8214573370463096E-4</v>
      </c>
      <c r="AV322" s="109">
        <f t="shared" ca="1" si="141"/>
        <v>5.8413901089371389E-4</v>
      </c>
      <c r="AW322" s="27" t="e">
        <f t="shared" ca="1" si="142"/>
        <v>#VALUE!</v>
      </c>
      <c r="AX322" s="29" t="e">
        <f t="shared" ca="1" si="143"/>
        <v>#VALUE!</v>
      </c>
      <c r="AY322" s="72"/>
    </row>
    <row r="323" spans="13:51" s="11" customFormat="1" ht="15.6" customHeight="1" x14ac:dyDescent="0.3">
      <c r="M323" s="20">
        <f t="shared" si="144"/>
        <v>293</v>
      </c>
      <c r="N323" s="21">
        <f t="shared" si="145"/>
        <v>5.1275000000000155</v>
      </c>
      <c r="O323" s="22">
        <f t="shared" ca="1" si="117"/>
        <v>186.20807995321425</v>
      </c>
      <c r="P323" s="23">
        <f t="shared" ca="1" si="118"/>
        <v>-1</v>
      </c>
      <c r="Q323" s="22" t="e">
        <f t="shared" ca="1" si="119"/>
        <v>#VALUE!</v>
      </c>
      <c r="R323" s="23">
        <f t="shared" ca="1" si="120"/>
        <v>-1</v>
      </c>
      <c r="S323" s="24" t="e">
        <f t="shared" ca="1" si="121"/>
        <v>#VALUE!</v>
      </c>
      <c r="T323" s="23">
        <f t="shared" ca="1" si="122"/>
        <v>-1</v>
      </c>
      <c r="U323" s="112">
        <f t="shared" si="133"/>
        <v>1.6449154584195866E-2</v>
      </c>
      <c r="V323" s="109">
        <f t="shared" si="134"/>
        <v>-1.6449154584195866E-2</v>
      </c>
      <c r="W323" s="112">
        <f t="shared" si="135"/>
        <v>1.6449154584195866E-2</v>
      </c>
      <c r="X323" s="113">
        <f t="shared" si="136"/>
        <v>-1.6449154584195866E-2</v>
      </c>
      <c r="Y323" s="32"/>
      <c r="Z323" s="32"/>
      <c r="AA323" s="32"/>
      <c r="AB323" s="32"/>
      <c r="AC323" s="32"/>
      <c r="AD323" s="32"/>
      <c r="AE323" s="32"/>
      <c r="AG323" s="26">
        <f t="shared" si="123"/>
        <v>0</v>
      </c>
      <c r="AH323" s="27">
        <f t="shared" si="124"/>
        <v>4.1231915974521492E-2</v>
      </c>
      <c r="AI323" s="28">
        <f t="shared" si="137"/>
        <v>1.6449154584195866E-2</v>
      </c>
      <c r="AJ323" s="27">
        <f t="shared" si="125"/>
        <v>1.6449154584195866E-2</v>
      </c>
      <c r="AK323" s="28">
        <f t="shared" si="126"/>
        <v>1.4528498842720542E-3</v>
      </c>
      <c r="AL323" s="27">
        <f t="shared" si="127"/>
        <v>1.6449154584195866E-2</v>
      </c>
      <c r="AM323" s="28">
        <f t="shared" si="138"/>
        <v>2.6558345460906185E-2</v>
      </c>
      <c r="AN323" s="27">
        <f t="shared" si="139"/>
        <v>-1.6449154584195866E-2</v>
      </c>
      <c r="AO323" s="28">
        <f t="shared" si="128"/>
        <v>-1.6449154584195866E-2</v>
      </c>
      <c r="AP323" s="27">
        <f t="shared" si="129"/>
        <v>-1.4528498842720544E-3</v>
      </c>
      <c r="AQ323" s="29">
        <f t="shared" si="130"/>
        <v>-1.6449154584195866E-2</v>
      </c>
      <c r="AS323" s="30">
        <f t="shared" si="131"/>
        <v>0.85742205674287764</v>
      </c>
      <c r="AT323" s="21">
        <f t="shared" si="132"/>
        <v>1.8208772993553539</v>
      </c>
      <c r="AU323" s="31">
        <f t="shared" ca="1" si="140"/>
        <v>5.819740591752609E-4</v>
      </c>
      <c r="AV323" s="109">
        <f t="shared" ca="1" si="141"/>
        <v>5.8396408279859369E-4</v>
      </c>
      <c r="AW323" s="27" t="e">
        <f t="shared" ca="1" si="142"/>
        <v>#VALUE!</v>
      </c>
      <c r="AX323" s="29" t="e">
        <f t="shared" ca="1" si="143"/>
        <v>#VALUE!</v>
      </c>
      <c r="AY323" s="72"/>
    </row>
    <row r="324" spans="13:51" s="11" customFormat="1" ht="15.6" customHeight="1" x14ac:dyDescent="0.3">
      <c r="M324" s="20">
        <f t="shared" si="144"/>
        <v>294</v>
      </c>
      <c r="N324" s="21">
        <f t="shared" si="145"/>
        <v>5.1450000000000156</v>
      </c>
      <c r="O324" s="22">
        <f t="shared" ca="1" si="117"/>
        <v>186.37053664370228</v>
      </c>
      <c r="P324" s="23">
        <f t="shared" ca="1" si="118"/>
        <v>-1</v>
      </c>
      <c r="Q324" s="22" t="e">
        <f t="shared" ca="1" si="119"/>
        <v>#VALUE!</v>
      </c>
      <c r="R324" s="23">
        <f t="shared" ca="1" si="120"/>
        <v>-1</v>
      </c>
      <c r="S324" s="24" t="e">
        <f t="shared" ca="1" si="121"/>
        <v>#VALUE!</v>
      </c>
      <c r="T324" s="23">
        <f t="shared" ca="1" si="122"/>
        <v>-1</v>
      </c>
      <c r="U324" s="112">
        <f t="shared" si="133"/>
        <v>1.6327453839031978E-2</v>
      </c>
      <c r="V324" s="109">
        <f t="shared" si="134"/>
        <v>-1.6327453839031978E-2</v>
      </c>
      <c r="W324" s="112">
        <f t="shared" si="135"/>
        <v>1.6327453839031978E-2</v>
      </c>
      <c r="X324" s="113">
        <f t="shared" si="136"/>
        <v>-1.6327453839031978E-2</v>
      </c>
      <c r="Y324" s="32"/>
      <c r="Z324" s="32"/>
      <c r="AA324" s="32"/>
      <c r="AB324" s="32"/>
      <c r="AC324" s="32"/>
      <c r="AD324" s="32"/>
      <c r="AE324" s="32"/>
      <c r="AG324" s="26">
        <f t="shared" si="123"/>
        <v>0</v>
      </c>
      <c r="AH324" s="27">
        <f t="shared" si="124"/>
        <v>4.0926857445650028E-2</v>
      </c>
      <c r="AI324" s="28">
        <f t="shared" si="137"/>
        <v>1.6327453839031978E-2</v>
      </c>
      <c r="AJ324" s="27">
        <f t="shared" si="125"/>
        <v>1.6327453839031978E-2</v>
      </c>
      <c r="AK324" s="28">
        <f t="shared" si="126"/>
        <v>1.4396461849794562E-3</v>
      </c>
      <c r="AL324" s="27">
        <f t="shared" si="127"/>
        <v>1.6327453839031978E-2</v>
      </c>
      <c r="AM324" s="28">
        <f t="shared" si="138"/>
        <v>2.6558345460906185E-2</v>
      </c>
      <c r="AN324" s="27">
        <f t="shared" si="139"/>
        <v>-1.6327453839031978E-2</v>
      </c>
      <c r="AO324" s="28">
        <f t="shared" si="128"/>
        <v>-1.6327453839031978E-2</v>
      </c>
      <c r="AP324" s="27">
        <f t="shared" si="129"/>
        <v>-1.4396461849794564E-3</v>
      </c>
      <c r="AQ324" s="29">
        <f t="shared" si="130"/>
        <v>-1.6327453839031978E-2</v>
      </c>
      <c r="AS324" s="30">
        <f t="shared" si="131"/>
        <v>0.85697202830588892</v>
      </c>
      <c r="AT324" s="21">
        <f t="shared" si="132"/>
        <v>1.8043289163670782</v>
      </c>
      <c r="AU324" s="31">
        <f t="shared" ca="1" si="140"/>
        <v>5.8182184208288579E-4</v>
      </c>
      <c r="AV324" s="109">
        <f t="shared" ca="1" si="141"/>
        <v>5.8380859697837462E-4</v>
      </c>
      <c r="AW324" s="27" t="e">
        <f t="shared" ca="1" si="142"/>
        <v>#VALUE!</v>
      </c>
      <c r="AX324" s="29" t="e">
        <f t="shared" ca="1" si="143"/>
        <v>#VALUE!</v>
      </c>
      <c r="AY324" s="72"/>
    </row>
    <row r="325" spans="13:51" s="11" customFormat="1" ht="15.6" customHeight="1" x14ac:dyDescent="0.3">
      <c r="M325" s="20">
        <f t="shared" si="144"/>
        <v>295</v>
      </c>
      <c r="N325" s="21">
        <f t="shared" si="145"/>
        <v>5.1625000000000156</v>
      </c>
      <c r="O325" s="22">
        <f t="shared" ca="1" si="117"/>
        <v>186.53216175331096</v>
      </c>
      <c r="P325" s="23">
        <f t="shared" ca="1" si="118"/>
        <v>-1</v>
      </c>
      <c r="Q325" s="22" t="e">
        <f t="shared" ca="1" si="119"/>
        <v>#VALUE!</v>
      </c>
      <c r="R325" s="23">
        <f t="shared" ca="1" si="120"/>
        <v>-1</v>
      </c>
      <c r="S325" s="24" t="e">
        <f t="shared" ca="1" si="121"/>
        <v>#VALUE!</v>
      </c>
      <c r="T325" s="23">
        <f t="shared" ca="1" si="122"/>
        <v>-1</v>
      </c>
      <c r="U325" s="112">
        <f t="shared" si="133"/>
        <v>1.6205117753615206E-2</v>
      </c>
      <c r="V325" s="109">
        <f t="shared" si="134"/>
        <v>-1.6205117753615206E-2</v>
      </c>
      <c r="W325" s="112">
        <f t="shared" si="135"/>
        <v>1.6205117753615206E-2</v>
      </c>
      <c r="X325" s="113">
        <f t="shared" si="136"/>
        <v>-1.6205117753615206E-2</v>
      </c>
      <c r="Y325" s="32"/>
      <c r="Z325" s="32"/>
      <c r="AA325" s="32"/>
      <c r="AB325" s="32"/>
      <c r="AC325" s="32"/>
      <c r="AD325" s="32"/>
      <c r="AE325" s="32"/>
      <c r="AG325" s="26">
        <f t="shared" si="123"/>
        <v>0</v>
      </c>
      <c r="AH325" s="27">
        <f t="shared" si="124"/>
        <v>4.0620206354936676E-2</v>
      </c>
      <c r="AI325" s="28">
        <f t="shared" si="137"/>
        <v>1.6205117753615206E-2</v>
      </c>
      <c r="AJ325" s="27">
        <f t="shared" si="125"/>
        <v>1.6205117753615206E-2</v>
      </c>
      <c r="AK325" s="28">
        <f t="shared" si="126"/>
        <v>1.4264355519247743E-3</v>
      </c>
      <c r="AL325" s="27">
        <f t="shared" si="127"/>
        <v>1.6205117753615206E-2</v>
      </c>
      <c r="AM325" s="28">
        <f t="shared" si="138"/>
        <v>2.6558345460906185E-2</v>
      </c>
      <c r="AN325" s="27">
        <f t="shared" si="139"/>
        <v>-1.6205117753615206E-2</v>
      </c>
      <c r="AO325" s="28">
        <f t="shared" si="128"/>
        <v>-1.6205117753615206E-2</v>
      </c>
      <c r="AP325" s="27">
        <f t="shared" si="129"/>
        <v>-1.4264355519247745E-3</v>
      </c>
      <c r="AQ325" s="29">
        <f t="shared" si="130"/>
        <v>-1.6205117753615206E-2</v>
      </c>
      <c r="AS325" s="30">
        <f t="shared" si="131"/>
        <v>0.85652223607182099</v>
      </c>
      <c r="AT325" s="21">
        <f t="shared" si="132"/>
        <v>1.787771843196758</v>
      </c>
      <c r="AU325" s="31">
        <f t="shared" ca="1" si="140"/>
        <v>5.8162266846462085E-4</v>
      </c>
      <c r="AV325" s="109">
        <f t="shared" ca="1" si="141"/>
        <v>5.8360619636266264E-4</v>
      </c>
      <c r="AW325" s="27" t="e">
        <f t="shared" ca="1" si="142"/>
        <v>#VALUE!</v>
      </c>
      <c r="AX325" s="29" t="e">
        <f t="shared" ca="1" si="143"/>
        <v>#VALUE!</v>
      </c>
      <c r="AY325" s="72"/>
    </row>
    <row r="326" spans="13:51" s="11" customFormat="1" ht="15.6" customHeight="1" x14ac:dyDescent="0.3">
      <c r="M326" s="20">
        <f t="shared" si="144"/>
        <v>296</v>
      </c>
      <c r="N326" s="21">
        <f t="shared" si="145"/>
        <v>5.1800000000000157</v>
      </c>
      <c r="O326" s="22">
        <f t="shared" ca="1" si="117"/>
        <v>186.69300553073001</v>
      </c>
      <c r="P326" s="23">
        <f t="shared" ca="1" si="118"/>
        <v>-1</v>
      </c>
      <c r="Q326" s="22" t="e">
        <f t="shared" ca="1" si="119"/>
        <v>#VALUE!</v>
      </c>
      <c r="R326" s="23">
        <f t="shared" ca="1" si="120"/>
        <v>-1</v>
      </c>
      <c r="S326" s="24" t="e">
        <f t="shared" ca="1" si="121"/>
        <v>#VALUE!</v>
      </c>
      <c r="T326" s="23">
        <f t="shared" ca="1" si="122"/>
        <v>-1</v>
      </c>
      <c r="U326" s="112">
        <f t="shared" si="133"/>
        <v>1.6082147421186778E-2</v>
      </c>
      <c r="V326" s="109">
        <f t="shared" si="134"/>
        <v>-1.6082147421186778E-2</v>
      </c>
      <c r="W326" s="112">
        <f t="shared" si="135"/>
        <v>1.6082147421186778E-2</v>
      </c>
      <c r="X326" s="113">
        <f t="shared" si="136"/>
        <v>-1.6082147421186778E-2</v>
      </c>
      <c r="Y326" s="32"/>
      <c r="Z326" s="32"/>
      <c r="AA326" s="32"/>
      <c r="AB326" s="32"/>
      <c r="AC326" s="32"/>
      <c r="AD326" s="32"/>
      <c r="AE326" s="32"/>
      <c r="AG326" s="26">
        <f t="shared" si="123"/>
        <v>0</v>
      </c>
      <c r="AH326" s="27">
        <f t="shared" si="124"/>
        <v>4.0311965442730802E-2</v>
      </c>
      <c r="AI326" s="28">
        <f t="shared" si="137"/>
        <v>1.6082147421186778E-2</v>
      </c>
      <c r="AJ326" s="27">
        <f t="shared" si="125"/>
        <v>1.6082147421186778E-2</v>
      </c>
      <c r="AK326" s="28">
        <f t="shared" si="126"/>
        <v>1.4132179814668319E-3</v>
      </c>
      <c r="AL326" s="27">
        <f t="shared" si="127"/>
        <v>1.6082147421186778E-2</v>
      </c>
      <c r="AM326" s="28">
        <f t="shared" si="138"/>
        <v>2.6558345460906185E-2</v>
      </c>
      <c r="AN326" s="27">
        <f t="shared" si="139"/>
        <v>-1.6082147421186778E-2</v>
      </c>
      <c r="AO326" s="28">
        <f t="shared" si="128"/>
        <v>-1.6082147421186778E-2</v>
      </c>
      <c r="AP326" s="27">
        <f t="shared" si="129"/>
        <v>-1.4132179814668321E-3</v>
      </c>
      <c r="AQ326" s="29">
        <f t="shared" si="130"/>
        <v>-1.6082147421186778E-2</v>
      </c>
      <c r="AS326" s="30">
        <f t="shared" si="131"/>
        <v>0.85607267991669966</v>
      </c>
      <c r="AT326" s="21">
        <f t="shared" si="132"/>
        <v>1.7712060752808549</v>
      </c>
      <c r="AU326" s="31">
        <f t="shared" ca="1" si="140"/>
        <v>5.8145409125254233E-4</v>
      </c>
      <c r="AV326" s="109">
        <f t="shared" ca="1" si="141"/>
        <v>5.8343436750596389E-4</v>
      </c>
      <c r="AW326" s="27" t="e">
        <f t="shared" ca="1" si="142"/>
        <v>#VALUE!</v>
      </c>
      <c r="AX326" s="29" t="e">
        <f t="shared" ca="1" si="143"/>
        <v>#VALUE!</v>
      </c>
      <c r="AY326" s="72"/>
    </row>
    <row r="327" spans="13:51" s="11" customFormat="1" ht="15.6" customHeight="1" x14ac:dyDescent="0.3">
      <c r="M327" s="20">
        <f t="shared" si="144"/>
        <v>297</v>
      </c>
      <c r="N327" s="21">
        <f t="shared" si="145"/>
        <v>5.1975000000000158</v>
      </c>
      <c r="O327" s="22">
        <f t="shared" ca="1" si="117"/>
        <v>186.85304259971795</v>
      </c>
      <c r="P327" s="23">
        <f t="shared" ca="1" si="118"/>
        <v>-1</v>
      </c>
      <c r="Q327" s="22" t="e">
        <f t="shared" ca="1" si="119"/>
        <v>#VALUE!</v>
      </c>
      <c r="R327" s="23">
        <f t="shared" ca="1" si="120"/>
        <v>-1</v>
      </c>
      <c r="S327" s="24" t="e">
        <f t="shared" ca="1" si="121"/>
        <v>#VALUE!</v>
      </c>
      <c r="T327" s="23">
        <f t="shared" ca="1" si="122"/>
        <v>-1</v>
      </c>
      <c r="U327" s="112">
        <f t="shared" si="133"/>
        <v>1.5958543925266491E-2</v>
      </c>
      <c r="V327" s="109">
        <f t="shared" si="134"/>
        <v>-1.5958543925266491E-2</v>
      </c>
      <c r="W327" s="112">
        <f t="shared" si="135"/>
        <v>1.5958543925266491E-2</v>
      </c>
      <c r="X327" s="113">
        <f t="shared" si="136"/>
        <v>-1.5958543925266491E-2</v>
      </c>
      <c r="Y327" s="32"/>
      <c r="Z327" s="32"/>
      <c r="AA327" s="32"/>
      <c r="AB327" s="32"/>
      <c r="AC327" s="32"/>
      <c r="AD327" s="32"/>
      <c r="AE327" s="32"/>
      <c r="AG327" s="26">
        <f t="shared" si="123"/>
        <v>0</v>
      </c>
      <c r="AH327" s="27">
        <f t="shared" si="124"/>
        <v>4.0002137425013774E-2</v>
      </c>
      <c r="AI327" s="28">
        <f t="shared" si="137"/>
        <v>1.5958543925266491E-2</v>
      </c>
      <c r="AJ327" s="27">
        <f t="shared" si="125"/>
        <v>1.5958543925266491E-2</v>
      </c>
      <c r="AK327" s="28">
        <f t="shared" si="126"/>
        <v>1.3999934699625326E-3</v>
      </c>
      <c r="AL327" s="27">
        <f t="shared" si="127"/>
        <v>1.5958543925266491E-2</v>
      </c>
      <c r="AM327" s="28">
        <f t="shared" si="138"/>
        <v>2.6558345460906185E-2</v>
      </c>
      <c r="AN327" s="27">
        <f t="shared" si="139"/>
        <v>-1.5958543925266491E-2</v>
      </c>
      <c r="AO327" s="28">
        <f t="shared" si="128"/>
        <v>-1.5958543925266491E-2</v>
      </c>
      <c r="AP327" s="27">
        <f t="shared" si="129"/>
        <v>-1.3999934699625326E-3</v>
      </c>
      <c r="AQ327" s="29">
        <f t="shared" si="130"/>
        <v>-1.5958543925266491E-2</v>
      </c>
      <c r="AS327" s="30">
        <f t="shared" si="131"/>
        <v>0.85562335971661629</v>
      </c>
      <c r="AT327" s="21">
        <f t="shared" si="132"/>
        <v>1.7546316080534252</v>
      </c>
      <c r="AU327" s="31">
        <f t="shared" ca="1" si="140"/>
        <v>5.8126080515341627E-4</v>
      </c>
      <c r="AV327" s="109">
        <f t="shared" ca="1" si="141"/>
        <v>5.8323785264546846E-4</v>
      </c>
      <c r="AW327" s="27" t="e">
        <f t="shared" ca="1" si="142"/>
        <v>#VALUE!</v>
      </c>
      <c r="AX327" s="29" t="e">
        <f t="shared" ca="1" si="143"/>
        <v>#VALUE!</v>
      </c>
      <c r="AY327" s="72"/>
    </row>
    <row r="328" spans="13:51" s="11" customFormat="1" ht="15.6" customHeight="1" x14ac:dyDescent="0.3">
      <c r="M328" s="20">
        <f t="shared" si="144"/>
        <v>298</v>
      </c>
      <c r="N328" s="21">
        <f t="shared" si="145"/>
        <v>5.2150000000000158</v>
      </c>
      <c r="O328" s="22">
        <f t="shared" ca="1" si="117"/>
        <v>187.01230812279323</v>
      </c>
      <c r="P328" s="23">
        <f t="shared" ca="1" si="118"/>
        <v>-1</v>
      </c>
      <c r="Q328" s="22" t="e">
        <f t="shared" ca="1" si="119"/>
        <v>#VALUE!</v>
      </c>
      <c r="R328" s="23">
        <f t="shared" ca="1" si="120"/>
        <v>-1</v>
      </c>
      <c r="S328" s="24" t="e">
        <f t="shared" ca="1" si="121"/>
        <v>#VALUE!</v>
      </c>
      <c r="T328" s="23">
        <f t="shared" ca="1" si="122"/>
        <v>-1</v>
      </c>
      <c r="U328" s="112">
        <f t="shared" si="133"/>
        <v>1.5834308339758251E-2</v>
      </c>
      <c r="V328" s="109">
        <f t="shared" si="134"/>
        <v>-1.5834308339758251E-2</v>
      </c>
      <c r="W328" s="112">
        <f t="shared" si="135"/>
        <v>1.5834308339758251E-2</v>
      </c>
      <c r="X328" s="113">
        <f t="shared" si="136"/>
        <v>-1.5834308339758251E-2</v>
      </c>
      <c r="Y328" s="32"/>
      <c r="Z328" s="32"/>
      <c r="AA328" s="32"/>
      <c r="AB328" s="32"/>
      <c r="AC328" s="32"/>
      <c r="AD328" s="32"/>
      <c r="AE328" s="32"/>
      <c r="AG328" s="26">
        <f t="shared" si="123"/>
        <v>0</v>
      </c>
      <c r="AH328" s="27">
        <f t="shared" si="124"/>
        <v>3.9690724993663482E-2</v>
      </c>
      <c r="AI328" s="28">
        <f t="shared" si="137"/>
        <v>1.5834308339758251E-2</v>
      </c>
      <c r="AJ328" s="27">
        <f t="shared" si="125"/>
        <v>1.5834308339758251E-2</v>
      </c>
      <c r="AK328" s="28">
        <f t="shared" si="126"/>
        <v>1.3867620137668702E-3</v>
      </c>
      <c r="AL328" s="27">
        <f t="shared" si="127"/>
        <v>1.5834308339758251E-2</v>
      </c>
      <c r="AM328" s="28">
        <f t="shared" si="138"/>
        <v>2.6558345460906185E-2</v>
      </c>
      <c r="AN328" s="27">
        <f t="shared" si="139"/>
        <v>-1.5834308339758251E-2</v>
      </c>
      <c r="AO328" s="28">
        <f t="shared" si="128"/>
        <v>-1.5834308339758251E-2</v>
      </c>
      <c r="AP328" s="27">
        <f t="shared" si="129"/>
        <v>-1.3867620137668704E-3</v>
      </c>
      <c r="AQ328" s="29">
        <f t="shared" si="130"/>
        <v>-1.5834308339758251E-2</v>
      </c>
      <c r="AS328" s="30">
        <f t="shared" si="131"/>
        <v>0.85517427534772683</v>
      </c>
      <c r="AT328" s="21">
        <f t="shared" si="132"/>
        <v>1.7380484369461306</v>
      </c>
      <c r="AU328" s="31">
        <f t="shared" ca="1" si="140"/>
        <v>5.8108735015316437E-4</v>
      </c>
      <c r="AV328" s="109">
        <f t="shared" ca="1" si="141"/>
        <v>5.8306115335959863E-4</v>
      </c>
      <c r="AW328" s="27" t="e">
        <f t="shared" ca="1" si="142"/>
        <v>#VALUE!</v>
      </c>
      <c r="AX328" s="29" t="e">
        <f t="shared" ca="1" si="143"/>
        <v>#VALUE!</v>
      </c>
      <c r="AY328" s="72"/>
    </row>
    <row r="329" spans="13:51" s="11" customFormat="1" ht="15.6" customHeight="1" x14ac:dyDescent="0.3">
      <c r="M329" s="20">
        <f t="shared" si="144"/>
        <v>299</v>
      </c>
      <c r="N329" s="21">
        <f t="shared" si="145"/>
        <v>5.2325000000000159</v>
      </c>
      <c r="O329" s="22">
        <f t="shared" ca="1" si="117"/>
        <v>187.17079150676238</v>
      </c>
      <c r="P329" s="23">
        <f t="shared" ca="1" si="118"/>
        <v>-1</v>
      </c>
      <c r="Q329" s="22" t="e">
        <f t="shared" ca="1" si="119"/>
        <v>#VALUE!</v>
      </c>
      <c r="R329" s="23">
        <f t="shared" ca="1" si="120"/>
        <v>-1</v>
      </c>
      <c r="S329" s="24" t="e">
        <f t="shared" ca="1" si="121"/>
        <v>#VALUE!</v>
      </c>
      <c r="T329" s="23">
        <f t="shared" ca="1" si="122"/>
        <v>-1</v>
      </c>
      <c r="U329" s="112">
        <f t="shared" si="133"/>
        <v>1.5709441729053995E-2</v>
      </c>
      <c r="V329" s="109">
        <f t="shared" si="134"/>
        <v>-1.5709441729053995E-2</v>
      </c>
      <c r="W329" s="112">
        <f t="shared" si="135"/>
        <v>1.5709441729053995E-2</v>
      </c>
      <c r="X329" s="113">
        <f t="shared" si="136"/>
        <v>-1.5709441729053995E-2</v>
      </c>
      <c r="Y329" s="32"/>
      <c r="Z329" s="32"/>
      <c r="AA329" s="32"/>
      <c r="AB329" s="32"/>
      <c r="AC329" s="32"/>
      <c r="AD329" s="32"/>
      <c r="AE329" s="32"/>
      <c r="AG329" s="26">
        <f t="shared" si="123"/>
        <v>0</v>
      </c>
      <c r="AH329" s="27">
        <f t="shared" si="124"/>
        <v>3.9377730816714855E-2</v>
      </c>
      <c r="AI329" s="28">
        <f t="shared" si="137"/>
        <v>1.5709441729053995E-2</v>
      </c>
      <c r="AJ329" s="27">
        <f t="shared" si="125"/>
        <v>1.5709441729053995E-2</v>
      </c>
      <c r="AK329" s="28">
        <f t="shared" si="126"/>
        <v>1.3735236092329271E-3</v>
      </c>
      <c r="AL329" s="27">
        <f t="shared" si="127"/>
        <v>1.5709441729053995E-2</v>
      </c>
      <c r="AM329" s="28">
        <f t="shared" si="138"/>
        <v>2.6558345460906185E-2</v>
      </c>
      <c r="AN329" s="27">
        <f t="shared" si="139"/>
        <v>-1.5709441729053995E-2</v>
      </c>
      <c r="AO329" s="28">
        <f t="shared" si="128"/>
        <v>-1.5709441729053995E-2</v>
      </c>
      <c r="AP329" s="27">
        <f t="shared" si="129"/>
        <v>-1.3735236092329273E-3</v>
      </c>
      <c r="AQ329" s="29">
        <f t="shared" si="130"/>
        <v>-1.5709441729053995E-2</v>
      </c>
      <c r="AS329" s="30">
        <f t="shared" si="131"/>
        <v>0.8547254266862524</v>
      </c>
      <c r="AT329" s="21">
        <f t="shared" si="132"/>
        <v>1.7214565573882383</v>
      </c>
      <c r="AU329" s="31">
        <f t="shared" ca="1" si="140"/>
        <v>5.809001270103975E-4</v>
      </c>
      <c r="AV329" s="109">
        <f t="shared" ca="1" si="141"/>
        <v>5.8287069946405534E-4</v>
      </c>
      <c r="AW329" s="27" t="e">
        <f t="shared" ca="1" si="142"/>
        <v>#VALUE!</v>
      </c>
      <c r="AX329" s="29" t="e">
        <f t="shared" ca="1" si="143"/>
        <v>#VALUE!</v>
      </c>
      <c r="AY329" s="72"/>
    </row>
    <row r="330" spans="13:51" s="11" customFormat="1" ht="15.6" customHeight="1" x14ac:dyDescent="0.3">
      <c r="M330" s="20">
        <f t="shared" si="144"/>
        <v>300</v>
      </c>
      <c r="N330" s="21">
        <f t="shared" si="145"/>
        <v>5.250000000000016</v>
      </c>
      <c r="O330" s="22">
        <f t="shared" ca="1" si="117"/>
        <v>187.3284826031902</v>
      </c>
      <c r="P330" s="23">
        <f t="shared" ca="1" si="118"/>
        <v>-1</v>
      </c>
      <c r="Q330" s="22" t="e">
        <f t="shared" ca="1" si="119"/>
        <v>#VALUE!</v>
      </c>
      <c r="R330" s="23">
        <f t="shared" ca="1" si="120"/>
        <v>-1</v>
      </c>
      <c r="S330" s="24" t="e">
        <f t="shared" ca="1" si="121"/>
        <v>#VALUE!</v>
      </c>
      <c r="T330" s="23">
        <f t="shared" ca="1" si="122"/>
        <v>-1</v>
      </c>
      <c r="U330" s="112">
        <f t="shared" si="133"/>
        <v>1.5583945148136031E-2</v>
      </c>
      <c r="V330" s="109">
        <f t="shared" si="134"/>
        <v>-1.5583945148136031E-2</v>
      </c>
      <c r="W330" s="112">
        <f t="shared" si="135"/>
        <v>1.5583945148136031E-2</v>
      </c>
      <c r="X330" s="113">
        <f t="shared" si="136"/>
        <v>-1.5583945148136031E-2</v>
      </c>
      <c r="Y330" s="32"/>
      <c r="Z330" s="32"/>
      <c r="AA330" s="32"/>
      <c r="AB330" s="32"/>
      <c r="AC330" s="32"/>
      <c r="AD330" s="32"/>
      <c r="AE330" s="32"/>
      <c r="AG330" s="26">
        <f t="shared" si="123"/>
        <v>0</v>
      </c>
      <c r="AH330" s="27">
        <f t="shared" si="124"/>
        <v>3.9063157538616368E-2</v>
      </c>
      <c r="AI330" s="28">
        <f t="shared" si="137"/>
        <v>1.5583945148136031E-2</v>
      </c>
      <c r="AJ330" s="27">
        <f t="shared" si="125"/>
        <v>1.5583945148136031E-2</v>
      </c>
      <c r="AK330" s="28">
        <f t="shared" si="126"/>
        <v>1.3602782527118674E-3</v>
      </c>
      <c r="AL330" s="27">
        <f t="shared" si="127"/>
        <v>1.5583945148136031E-2</v>
      </c>
      <c r="AM330" s="28">
        <f t="shared" si="138"/>
        <v>2.6558345460906185E-2</v>
      </c>
      <c r="AN330" s="27">
        <f t="shared" si="139"/>
        <v>-1.5583945148136031E-2</v>
      </c>
      <c r="AO330" s="28">
        <f t="shared" si="128"/>
        <v>-1.5583945148136031E-2</v>
      </c>
      <c r="AP330" s="27">
        <f t="shared" si="129"/>
        <v>-1.3602782527118676E-3</v>
      </c>
      <c r="AQ330" s="29">
        <f t="shared" si="130"/>
        <v>-1.5583945148136031E-2</v>
      </c>
      <c r="AS330" s="30">
        <f t="shared" si="131"/>
        <v>0.85427681360847907</v>
      </c>
      <c r="AT330" s="21">
        <f t="shared" si="132"/>
        <v>1.7048559648066102</v>
      </c>
      <c r="AU330" s="31">
        <f t="shared" ca="1" si="140"/>
        <v>5.8069939855609487E-4</v>
      </c>
      <c r="AV330" s="109">
        <f t="shared" ca="1" si="141"/>
        <v>5.8266675372065091E-4</v>
      </c>
      <c r="AW330" s="27" t="e">
        <f t="shared" ca="1" si="142"/>
        <v>#VALUE!</v>
      </c>
      <c r="AX330" s="29" t="e">
        <f t="shared" ca="1" si="143"/>
        <v>#VALUE!</v>
      </c>
      <c r="AY330" s="72"/>
    </row>
    <row r="331" spans="13:51" s="11" customFormat="1" ht="15.6" customHeight="1" x14ac:dyDescent="0.3">
      <c r="M331" s="20">
        <f t="shared" si="144"/>
        <v>301</v>
      </c>
      <c r="N331" s="21">
        <f t="shared" si="145"/>
        <v>5.2675000000000161</v>
      </c>
      <c r="O331" s="22">
        <f t="shared" ca="1" si="117"/>
        <v>187.48540133137269</v>
      </c>
      <c r="P331" s="23">
        <f t="shared" ca="1" si="118"/>
        <v>-1</v>
      </c>
      <c r="Q331" s="22" t="e">
        <f t="shared" ca="1" si="119"/>
        <v>#VALUE!</v>
      </c>
      <c r="R331" s="23">
        <f t="shared" ca="1" si="120"/>
        <v>-1</v>
      </c>
      <c r="S331" s="24" t="e">
        <f t="shared" ca="1" si="121"/>
        <v>#VALUE!</v>
      </c>
      <c r="T331" s="23">
        <f t="shared" ca="1" si="122"/>
        <v>-1</v>
      </c>
      <c r="U331" s="112">
        <f t="shared" si="133"/>
        <v>1.5457819642677978E-2</v>
      </c>
      <c r="V331" s="109">
        <f t="shared" si="134"/>
        <v>-1.5457819642677978E-2</v>
      </c>
      <c r="W331" s="112">
        <f t="shared" si="135"/>
        <v>1.5457819642677978E-2</v>
      </c>
      <c r="X331" s="113">
        <f t="shared" si="136"/>
        <v>-1.5457819642677978E-2</v>
      </c>
      <c r="Y331" s="32"/>
      <c r="Z331" s="32"/>
      <c r="AA331" s="32"/>
      <c r="AB331" s="32"/>
      <c r="AC331" s="32"/>
      <c r="AD331" s="32"/>
      <c r="AE331" s="32"/>
      <c r="AG331" s="26">
        <f t="shared" si="123"/>
        <v>0</v>
      </c>
      <c r="AH331" s="27">
        <f t="shared" si="124"/>
        <v>3.8747007780483088E-2</v>
      </c>
      <c r="AI331" s="28">
        <f t="shared" si="137"/>
        <v>1.5457819642677978E-2</v>
      </c>
      <c r="AJ331" s="27">
        <f t="shared" si="125"/>
        <v>1.5457819642677978E-2</v>
      </c>
      <c r="AK331" s="28">
        <f t="shared" si="126"/>
        <v>1.3470259405529384E-3</v>
      </c>
      <c r="AL331" s="27">
        <f t="shared" si="127"/>
        <v>1.5457819642677978E-2</v>
      </c>
      <c r="AM331" s="28">
        <f t="shared" si="138"/>
        <v>2.6558345460906185E-2</v>
      </c>
      <c r="AN331" s="27">
        <f t="shared" si="139"/>
        <v>-1.5457819642677978E-2</v>
      </c>
      <c r="AO331" s="28">
        <f t="shared" si="128"/>
        <v>-1.5457819642677978E-2</v>
      </c>
      <c r="AP331" s="27">
        <f t="shared" si="129"/>
        <v>-1.3470259405529384E-3</v>
      </c>
      <c r="AQ331" s="29">
        <f t="shared" si="130"/>
        <v>-1.5457819642677978E-2</v>
      </c>
      <c r="AS331" s="30">
        <f t="shared" si="131"/>
        <v>0.85382843599075797</v>
      </c>
      <c r="AT331" s="21">
        <f t="shared" si="132"/>
        <v>1.6882466546257062</v>
      </c>
      <c r="AU331" s="31">
        <f t="shared" ca="1" si="140"/>
        <v>5.8050749196869589E-4</v>
      </c>
      <c r="AV331" s="109">
        <f t="shared" ca="1" si="141"/>
        <v>5.8247162387226048E-4</v>
      </c>
      <c r="AW331" s="27" t="e">
        <f t="shared" ca="1" si="142"/>
        <v>#VALUE!</v>
      </c>
      <c r="AX331" s="29" t="e">
        <f t="shared" ca="1" si="143"/>
        <v>#VALUE!</v>
      </c>
      <c r="AY331" s="72"/>
    </row>
    <row r="332" spans="13:51" s="11" customFormat="1" ht="15.6" customHeight="1" x14ac:dyDescent="0.3">
      <c r="M332" s="20">
        <f t="shared" si="144"/>
        <v>302</v>
      </c>
      <c r="N332" s="21">
        <f t="shared" si="145"/>
        <v>5.2850000000000161</v>
      </c>
      <c r="O332" s="22">
        <f t="shared" ca="1" si="117"/>
        <v>187.64156763065949</v>
      </c>
      <c r="P332" s="23">
        <f t="shared" ca="1" si="118"/>
        <v>-1</v>
      </c>
      <c r="Q332" s="22" t="e">
        <f t="shared" ca="1" si="119"/>
        <v>#VALUE!</v>
      </c>
      <c r="R332" s="23">
        <f t="shared" ca="1" si="120"/>
        <v>-1</v>
      </c>
      <c r="S332" s="24" t="e">
        <f t="shared" ca="1" si="121"/>
        <v>#VALUE!</v>
      </c>
      <c r="T332" s="23">
        <f t="shared" ca="1" si="122"/>
        <v>-1</v>
      </c>
      <c r="U332" s="112">
        <f t="shared" si="133"/>
        <v>1.5331066249144338E-2</v>
      </c>
      <c r="V332" s="109">
        <f t="shared" si="134"/>
        <v>-1.5331066249144338E-2</v>
      </c>
      <c r="W332" s="112">
        <f t="shared" si="135"/>
        <v>1.5331066249144338E-2</v>
      </c>
      <c r="X332" s="113">
        <f t="shared" si="136"/>
        <v>-1.5331066249144338E-2</v>
      </c>
      <c r="Y332" s="32"/>
      <c r="Z332" s="32"/>
      <c r="AA332" s="32"/>
      <c r="AB332" s="32"/>
      <c r="AC332" s="32"/>
      <c r="AD332" s="32"/>
      <c r="AE332" s="32"/>
      <c r="AG332" s="26">
        <f t="shared" si="123"/>
        <v>0</v>
      </c>
      <c r="AH332" s="27">
        <f t="shared" si="124"/>
        <v>3.8429284140346236E-2</v>
      </c>
      <c r="AI332" s="28">
        <f t="shared" si="137"/>
        <v>1.5331066249144338E-2</v>
      </c>
      <c r="AJ332" s="27">
        <f t="shared" si="125"/>
        <v>1.5331066249144338E-2</v>
      </c>
      <c r="AK332" s="28">
        <f t="shared" si="126"/>
        <v>1.3337666691034709E-3</v>
      </c>
      <c r="AL332" s="27">
        <f t="shared" si="127"/>
        <v>1.5331066249144338E-2</v>
      </c>
      <c r="AM332" s="28">
        <f t="shared" si="138"/>
        <v>2.6558345460906185E-2</v>
      </c>
      <c r="AN332" s="27">
        <f t="shared" si="139"/>
        <v>-1.5331066249144338E-2</v>
      </c>
      <c r="AO332" s="28">
        <f t="shared" si="128"/>
        <v>-1.5331066249144338E-2</v>
      </c>
      <c r="AP332" s="27">
        <f t="shared" si="129"/>
        <v>-1.3337666691034709E-3</v>
      </c>
      <c r="AQ332" s="29">
        <f t="shared" si="130"/>
        <v>-1.5331066249144338E-2</v>
      </c>
      <c r="AS332" s="30">
        <f t="shared" si="131"/>
        <v>0.85338029370950486</v>
      </c>
      <c r="AT332" s="21">
        <f t="shared" si="132"/>
        <v>1.6716286222675847</v>
      </c>
      <c r="AU332" s="31">
        <f t="shared" ca="1" si="140"/>
        <v>5.8032459493728705E-4</v>
      </c>
      <c r="AV332" s="109">
        <f t="shared" ca="1" si="141"/>
        <v>5.8228549734007373E-4</v>
      </c>
      <c r="AW332" s="27" t="e">
        <f t="shared" ca="1" si="142"/>
        <v>#VALUE!</v>
      </c>
      <c r="AX332" s="29" t="e">
        <f t="shared" ca="1" si="143"/>
        <v>#VALUE!</v>
      </c>
      <c r="AY332" s="72"/>
    </row>
    <row r="333" spans="13:51" s="11" customFormat="1" ht="15.6" customHeight="1" x14ac:dyDescent="0.3">
      <c r="M333" s="20">
        <f t="shared" si="144"/>
        <v>303</v>
      </c>
      <c r="N333" s="21">
        <f t="shared" si="145"/>
        <v>5.3025000000000162</v>
      </c>
      <c r="O333" s="22">
        <f t="shared" ca="1" si="117"/>
        <v>187.79697132253497</v>
      </c>
      <c r="P333" s="23">
        <f t="shared" ca="1" si="118"/>
        <v>-1</v>
      </c>
      <c r="Q333" s="22" t="e">
        <f t="shared" ca="1" si="119"/>
        <v>#VALUE!</v>
      </c>
      <c r="R333" s="23">
        <f t="shared" ca="1" si="120"/>
        <v>-1</v>
      </c>
      <c r="S333" s="24" t="e">
        <f t="shared" ca="1" si="121"/>
        <v>#VALUE!</v>
      </c>
      <c r="T333" s="23">
        <f t="shared" ca="1" si="122"/>
        <v>-1</v>
      </c>
      <c r="U333" s="112">
        <f t="shared" si="133"/>
        <v>1.5203685994888538E-2</v>
      </c>
      <c r="V333" s="109">
        <f t="shared" si="134"/>
        <v>-1.5203685994888538E-2</v>
      </c>
      <c r="W333" s="112">
        <f t="shared" si="135"/>
        <v>1.5203685994888538E-2</v>
      </c>
      <c r="X333" s="113">
        <f t="shared" si="136"/>
        <v>-1.5203685994888538E-2</v>
      </c>
      <c r="Y333" s="32"/>
      <c r="Z333" s="32"/>
      <c r="AA333" s="32"/>
      <c r="AB333" s="32"/>
      <c r="AC333" s="32"/>
      <c r="AD333" s="32"/>
      <c r="AE333" s="32"/>
      <c r="AG333" s="26">
        <f t="shared" si="123"/>
        <v>0</v>
      </c>
      <c r="AH333" s="27">
        <f t="shared" si="124"/>
        <v>3.810998919339896E-2</v>
      </c>
      <c r="AI333" s="28">
        <f t="shared" si="137"/>
        <v>1.5203685994888538E-2</v>
      </c>
      <c r="AJ333" s="27">
        <f t="shared" si="125"/>
        <v>1.5203685994888538E-2</v>
      </c>
      <c r="AK333" s="28">
        <f t="shared" si="126"/>
        <v>1.3205004347088794E-3</v>
      </c>
      <c r="AL333" s="27">
        <f t="shared" si="127"/>
        <v>1.5203685994888538E-2</v>
      </c>
      <c r="AM333" s="28">
        <f t="shared" si="138"/>
        <v>2.6558345460906185E-2</v>
      </c>
      <c r="AN333" s="27">
        <f t="shared" si="139"/>
        <v>-1.5203685994888538E-2</v>
      </c>
      <c r="AO333" s="28">
        <f t="shared" si="128"/>
        <v>-1.5203685994888538E-2</v>
      </c>
      <c r="AP333" s="27">
        <f t="shared" si="129"/>
        <v>-1.3205004347088796E-3</v>
      </c>
      <c r="AQ333" s="29">
        <f t="shared" si="130"/>
        <v>-1.5203685994888538E-2</v>
      </c>
      <c r="AS333" s="30">
        <f t="shared" si="131"/>
        <v>0.85293238664120063</v>
      </c>
      <c r="AT333" s="21">
        <f t="shared" si="132"/>
        <v>1.6550018631519023</v>
      </c>
      <c r="AU333" s="31">
        <f t="shared" ca="1" si="140"/>
        <v>5.8012833336118508E-4</v>
      </c>
      <c r="AV333" s="109">
        <f t="shared" ca="1" si="141"/>
        <v>5.8208601968268159E-4</v>
      </c>
      <c r="AW333" s="27" t="e">
        <f t="shared" ca="1" si="142"/>
        <v>#VALUE!</v>
      </c>
      <c r="AX333" s="29" t="e">
        <f t="shared" ca="1" si="143"/>
        <v>#VALUE!</v>
      </c>
      <c r="AY333" s="72"/>
    </row>
    <row r="334" spans="13:51" s="11" customFormat="1" ht="15.6" customHeight="1" x14ac:dyDescent="0.3">
      <c r="M334" s="20">
        <f t="shared" si="144"/>
        <v>304</v>
      </c>
      <c r="N334" s="21">
        <f t="shared" si="145"/>
        <v>5.3200000000000163</v>
      </c>
      <c r="O334" s="22">
        <f t="shared" ca="1" si="117"/>
        <v>187.95160182383245</v>
      </c>
      <c r="P334" s="23">
        <f t="shared" ca="1" si="118"/>
        <v>-1</v>
      </c>
      <c r="Q334" s="22" t="e">
        <f t="shared" ca="1" si="119"/>
        <v>#VALUE!</v>
      </c>
      <c r="R334" s="23">
        <f t="shared" ca="1" si="120"/>
        <v>-1</v>
      </c>
      <c r="S334" s="24" t="e">
        <f t="shared" ca="1" si="121"/>
        <v>#VALUE!</v>
      </c>
      <c r="T334" s="23">
        <f t="shared" ca="1" si="122"/>
        <v>-1</v>
      </c>
      <c r="U334" s="112">
        <f t="shared" si="133"/>
        <v>1.507567989824962E-2</v>
      </c>
      <c r="V334" s="109">
        <f t="shared" si="134"/>
        <v>-1.507567989824962E-2</v>
      </c>
      <c r="W334" s="112">
        <f t="shared" si="135"/>
        <v>1.507567989824962E-2</v>
      </c>
      <c r="X334" s="113">
        <f t="shared" si="136"/>
        <v>-1.507567989824962E-2</v>
      </c>
      <c r="Y334" s="32"/>
      <c r="Z334" s="32"/>
      <c r="AA334" s="32"/>
      <c r="AB334" s="32"/>
      <c r="AC334" s="32"/>
      <c r="AD334" s="32"/>
      <c r="AE334" s="32"/>
      <c r="AG334" s="26">
        <f t="shared" si="123"/>
        <v>0</v>
      </c>
      <c r="AH334" s="27">
        <f t="shared" si="124"/>
        <v>3.7789125492238701E-2</v>
      </c>
      <c r="AI334" s="28">
        <f t="shared" si="137"/>
        <v>1.507567989824962E-2</v>
      </c>
      <c r="AJ334" s="27">
        <f t="shared" si="125"/>
        <v>1.507567989824962E-2</v>
      </c>
      <c r="AK334" s="28">
        <f t="shared" si="126"/>
        <v>1.3072272337126597E-3</v>
      </c>
      <c r="AL334" s="27">
        <f t="shared" si="127"/>
        <v>1.507567989824962E-2</v>
      </c>
      <c r="AM334" s="28">
        <f t="shared" si="138"/>
        <v>2.6558345460906185E-2</v>
      </c>
      <c r="AN334" s="27">
        <f t="shared" si="139"/>
        <v>-1.507567989824962E-2</v>
      </c>
      <c r="AO334" s="28">
        <f t="shared" si="128"/>
        <v>-1.507567989824962E-2</v>
      </c>
      <c r="AP334" s="27">
        <f t="shared" si="129"/>
        <v>-1.3072272337126597E-3</v>
      </c>
      <c r="AQ334" s="29">
        <f t="shared" si="130"/>
        <v>-1.507567989824962E-2</v>
      </c>
      <c r="AS334" s="30">
        <f t="shared" si="131"/>
        <v>0.85248471466239095</v>
      </c>
      <c r="AT334" s="21">
        <f t="shared" si="132"/>
        <v>1.6383663726959097</v>
      </c>
      <c r="AU334" s="31">
        <f t="shared" ca="1" si="140"/>
        <v>5.7991833939796678E-4</v>
      </c>
      <c r="AV334" s="109">
        <f t="shared" ca="1" si="141"/>
        <v>5.8187282353916459E-4</v>
      </c>
      <c r="AW334" s="27" t="e">
        <f t="shared" ca="1" si="142"/>
        <v>#VALUE!</v>
      </c>
      <c r="AX334" s="29" t="e">
        <f t="shared" ca="1" si="143"/>
        <v>#VALUE!</v>
      </c>
      <c r="AY334" s="72"/>
    </row>
    <row r="335" spans="13:51" s="11" customFormat="1" ht="15.6" customHeight="1" x14ac:dyDescent="0.3">
      <c r="M335" s="20">
        <f t="shared" si="144"/>
        <v>305</v>
      </c>
      <c r="N335" s="21">
        <f t="shared" si="145"/>
        <v>5.3375000000000163</v>
      </c>
      <c r="O335" s="22">
        <f t="shared" ca="1" si="117"/>
        <v>188.10549434720446</v>
      </c>
      <c r="P335" s="23">
        <f t="shared" ca="1" si="118"/>
        <v>-1</v>
      </c>
      <c r="Q335" s="22" t="e">
        <f t="shared" ca="1" si="119"/>
        <v>#VALUE!</v>
      </c>
      <c r="R335" s="23">
        <f t="shared" ca="1" si="120"/>
        <v>-1</v>
      </c>
      <c r="S335" s="24" t="e">
        <f t="shared" ca="1" si="121"/>
        <v>#VALUE!</v>
      </c>
      <c r="T335" s="23">
        <f t="shared" ca="1" si="122"/>
        <v>-1</v>
      </c>
      <c r="U335" s="112">
        <f t="shared" si="133"/>
        <v>1.4947048968647502E-2</v>
      </c>
      <c r="V335" s="109">
        <f t="shared" si="134"/>
        <v>-1.4947048968647502E-2</v>
      </c>
      <c r="W335" s="112">
        <f t="shared" si="135"/>
        <v>1.4947048968647502E-2</v>
      </c>
      <c r="X335" s="113">
        <f t="shared" si="136"/>
        <v>-1.4947048968647502E-2</v>
      </c>
      <c r="Y335" s="32"/>
      <c r="Z335" s="32"/>
      <c r="AA335" s="32"/>
      <c r="AB335" s="32"/>
      <c r="AC335" s="32"/>
      <c r="AD335" s="32"/>
      <c r="AE335" s="32"/>
      <c r="AG335" s="26">
        <f t="shared" si="123"/>
        <v>0</v>
      </c>
      <c r="AH335" s="27">
        <f t="shared" si="124"/>
        <v>3.7466695567105961E-2</v>
      </c>
      <c r="AI335" s="28">
        <f t="shared" si="137"/>
        <v>1.4947048968647502E-2</v>
      </c>
      <c r="AJ335" s="27">
        <f t="shared" si="125"/>
        <v>1.4947048968647502E-2</v>
      </c>
      <c r="AK335" s="28">
        <f t="shared" si="126"/>
        <v>1.2939470624563814E-3</v>
      </c>
      <c r="AL335" s="27">
        <f t="shared" si="127"/>
        <v>1.4947048968647502E-2</v>
      </c>
      <c r="AM335" s="28">
        <f t="shared" si="138"/>
        <v>2.6558345460906185E-2</v>
      </c>
      <c r="AN335" s="27">
        <f t="shared" si="139"/>
        <v>-1.4947048968647502E-2</v>
      </c>
      <c r="AO335" s="28">
        <f t="shared" si="128"/>
        <v>-1.4947048968647502E-2</v>
      </c>
      <c r="AP335" s="27">
        <f t="shared" si="129"/>
        <v>-1.2939470624563816E-3</v>
      </c>
      <c r="AQ335" s="29">
        <f t="shared" si="130"/>
        <v>-1.4947048968647502E-2</v>
      </c>
      <c r="AS335" s="30">
        <f t="shared" si="131"/>
        <v>0.85203727764968606</v>
      </c>
      <c r="AT335" s="21">
        <f t="shared" si="132"/>
        <v>1.6217221463144453</v>
      </c>
      <c r="AU335" s="31">
        <f t="shared" ca="1" si="140"/>
        <v>5.7972900800029592E-4</v>
      </c>
      <c r="AV335" s="109">
        <f t="shared" ca="1" si="141"/>
        <v>5.8168027343930007E-4</v>
      </c>
      <c r="AW335" s="27" t="e">
        <f t="shared" ca="1" si="142"/>
        <v>#VALUE!</v>
      </c>
      <c r="AX335" s="29" t="e">
        <f t="shared" ca="1" si="143"/>
        <v>#VALUE!</v>
      </c>
      <c r="AY335" s="72"/>
    </row>
    <row r="336" spans="13:51" s="11" customFormat="1" ht="15.6" customHeight="1" x14ac:dyDescent="0.3">
      <c r="M336" s="20">
        <f t="shared" si="144"/>
        <v>306</v>
      </c>
      <c r="N336" s="21">
        <f t="shared" si="145"/>
        <v>5.3550000000000164</v>
      </c>
      <c r="O336" s="22">
        <f t="shared" ca="1" si="117"/>
        <v>188.25862342616821</v>
      </c>
      <c r="P336" s="23">
        <f t="shared" ca="1" si="118"/>
        <v>-1</v>
      </c>
      <c r="Q336" s="22" t="e">
        <f t="shared" ca="1" si="119"/>
        <v>#VALUE!</v>
      </c>
      <c r="R336" s="23">
        <f t="shared" ca="1" si="120"/>
        <v>-1</v>
      </c>
      <c r="S336" s="24" t="e">
        <f t="shared" ca="1" si="121"/>
        <v>#VALUE!</v>
      </c>
      <c r="T336" s="23">
        <f t="shared" ca="1" si="122"/>
        <v>-1</v>
      </c>
      <c r="U336" s="112">
        <f t="shared" si="133"/>
        <v>1.4817794206677089E-2</v>
      </c>
      <c r="V336" s="109">
        <f t="shared" si="134"/>
        <v>-1.4817794206677089E-2</v>
      </c>
      <c r="W336" s="112">
        <f t="shared" si="135"/>
        <v>1.4817794206677089E-2</v>
      </c>
      <c r="X336" s="113">
        <f t="shared" si="136"/>
        <v>-1.4817794206677089E-2</v>
      </c>
      <c r="Y336" s="32"/>
      <c r="Z336" s="32"/>
      <c r="AA336" s="32"/>
      <c r="AB336" s="32"/>
      <c r="AC336" s="32"/>
      <c r="AD336" s="32"/>
      <c r="AE336" s="32"/>
      <c r="AG336" s="26">
        <f t="shared" si="123"/>
        <v>0</v>
      </c>
      <c r="AH336" s="27">
        <f t="shared" si="124"/>
        <v>3.7142701926120222E-2</v>
      </c>
      <c r="AI336" s="28">
        <f t="shared" si="137"/>
        <v>1.4817794206677089E-2</v>
      </c>
      <c r="AJ336" s="27">
        <f t="shared" si="125"/>
        <v>1.4817794206677089E-2</v>
      </c>
      <c r="AK336" s="28">
        <f t="shared" si="126"/>
        <v>1.2806599172797016E-3</v>
      </c>
      <c r="AL336" s="27">
        <f t="shared" si="127"/>
        <v>1.4817794206677089E-2</v>
      </c>
      <c r="AM336" s="28">
        <f t="shared" si="138"/>
        <v>2.6558345460906185E-2</v>
      </c>
      <c r="AN336" s="27">
        <f t="shared" si="139"/>
        <v>-1.4817794206677089E-2</v>
      </c>
      <c r="AO336" s="28">
        <f t="shared" si="128"/>
        <v>-1.4817794206677089E-2</v>
      </c>
      <c r="AP336" s="27">
        <f t="shared" si="129"/>
        <v>-1.2806599172797016E-3</v>
      </c>
      <c r="AQ336" s="29">
        <f t="shared" si="130"/>
        <v>-1.4817794206677089E-2</v>
      </c>
      <c r="AS336" s="30">
        <f t="shared" si="131"/>
        <v>0.85159007547976129</v>
      </c>
      <c r="AT336" s="21">
        <f t="shared" si="132"/>
        <v>1.605069179419949</v>
      </c>
      <c r="AU336" s="31">
        <f t="shared" ca="1" si="140"/>
        <v>5.7951484959339883E-4</v>
      </c>
      <c r="AV336" s="109">
        <f t="shared" ca="1" si="141"/>
        <v>5.814629201480459E-4</v>
      </c>
      <c r="AW336" s="27" t="e">
        <f t="shared" ca="1" si="142"/>
        <v>#VALUE!</v>
      </c>
      <c r="AX336" s="29" t="e">
        <f t="shared" ca="1" si="143"/>
        <v>#VALUE!</v>
      </c>
      <c r="AY336" s="72"/>
    </row>
    <row r="337" spans="13:51" s="11" customFormat="1" ht="15.6" customHeight="1" x14ac:dyDescent="0.3">
      <c r="M337" s="20">
        <f t="shared" si="144"/>
        <v>307</v>
      </c>
      <c r="N337" s="21">
        <f t="shared" si="145"/>
        <v>5.3725000000000165</v>
      </c>
      <c r="O337" s="22">
        <f t="shared" ca="1" si="117"/>
        <v>188.41103941970826</v>
      </c>
      <c r="P337" s="23">
        <f t="shared" ca="1" si="118"/>
        <v>-1</v>
      </c>
      <c r="Q337" s="22" t="e">
        <f t="shared" ca="1" si="119"/>
        <v>#VALUE!</v>
      </c>
      <c r="R337" s="23">
        <f t="shared" ca="1" si="120"/>
        <v>-1</v>
      </c>
      <c r="S337" s="24" t="e">
        <f t="shared" ca="1" si="121"/>
        <v>#VALUE!</v>
      </c>
      <c r="T337" s="23">
        <f t="shared" ca="1" si="122"/>
        <v>-1</v>
      </c>
      <c r="U337" s="112">
        <f t="shared" si="133"/>
        <v>1.4687916604200775E-2</v>
      </c>
      <c r="V337" s="109">
        <f t="shared" si="134"/>
        <v>-1.4687916604200775E-2</v>
      </c>
      <c r="W337" s="112">
        <f t="shared" si="135"/>
        <v>1.4687916604200775E-2</v>
      </c>
      <c r="X337" s="113">
        <f t="shared" si="136"/>
        <v>-1.4687916604200775E-2</v>
      </c>
      <c r="Y337" s="32"/>
      <c r="Z337" s="32"/>
      <c r="AA337" s="32"/>
      <c r="AB337" s="32"/>
      <c r="AC337" s="32"/>
      <c r="AD337" s="32"/>
      <c r="AE337" s="32"/>
      <c r="AG337" s="26">
        <f t="shared" si="123"/>
        <v>0</v>
      </c>
      <c r="AH337" s="27">
        <f t="shared" si="124"/>
        <v>3.6817147055511812E-2</v>
      </c>
      <c r="AI337" s="28">
        <f t="shared" si="137"/>
        <v>1.4687916604200775E-2</v>
      </c>
      <c r="AJ337" s="27">
        <f t="shared" si="125"/>
        <v>1.4687916604200775E-2</v>
      </c>
      <c r="AK337" s="28">
        <f t="shared" si="126"/>
        <v>1.2673657945203489E-3</v>
      </c>
      <c r="AL337" s="27">
        <f t="shared" si="127"/>
        <v>1.4687916604200775E-2</v>
      </c>
      <c r="AM337" s="28">
        <f t="shared" si="138"/>
        <v>2.6558345460906185E-2</v>
      </c>
      <c r="AN337" s="27">
        <f t="shared" si="139"/>
        <v>-1.4687916604200775E-2</v>
      </c>
      <c r="AO337" s="28">
        <f t="shared" si="128"/>
        <v>-1.4687916604200775E-2</v>
      </c>
      <c r="AP337" s="27">
        <f t="shared" si="129"/>
        <v>-1.2673657945203489E-3</v>
      </c>
      <c r="AQ337" s="29">
        <f t="shared" si="130"/>
        <v>-1.4687916604200775E-2</v>
      </c>
      <c r="AS337" s="30">
        <f t="shared" si="131"/>
        <v>0.85114310802935644</v>
      </c>
      <c r="AT337" s="21">
        <f t="shared" si="132"/>
        <v>1.5884074674224444</v>
      </c>
      <c r="AU337" s="31">
        <f t="shared" ca="1" si="140"/>
        <v>5.7933303616830578E-4</v>
      </c>
      <c r="AV337" s="109">
        <f t="shared" ca="1" si="141"/>
        <v>5.8127788477657649E-4</v>
      </c>
      <c r="AW337" s="27" t="e">
        <f t="shared" ca="1" si="142"/>
        <v>#VALUE!</v>
      </c>
      <c r="AX337" s="29" t="e">
        <f t="shared" ca="1" si="143"/>
        <v>#VALUE!</v>
      </c>
      <c r="AY337" s="72"/>
    </row>
    <row r="338" spans="13:51" s="11" customFormat="1" ht="15.6" customHeight="1" x14ac:dyDescent="0.3">
      <c r="M338" s="20">
        <f t="shared" si="144"/>
        <v>308</v>
      </c>
      <c r="N338" s="21">
        <f t="shared" si="145"/>
        <v>5.3900000000000166</v>
      </c>
      <c r="O338" s="22">
        <f t="shared" ca="1" si="117"/>
        <v>188.56268632481311</v>
      </c>
      <c r="P338" s="23">
        <f t="shared" ca="1" si="118"/>
        <v>-1</v>
      </c>
      <c r="Q338" s="22" t="e">
        <f t="shared" ca="1" si="119"/>
        <v>#VALUE!</v>
      </c>
      <c r="R338" s="23">
        <f t="shared" ca="1" si="120"/>
        <v>-1</v>
      </c>
      <c r="S338" s="24" t="e">
        <f t="shared" ca="1" si="121"/>
        <v>#VALUE!</v>
      </c>
      <c r="T338" s="23">
        <f t="shared" ca="1" si="122"/>
        <v>-1</v>
      </c>
      <c r="U338" s="112">
        <f t="shared" si="133"/>
        <v>1.4557417144439888E-2</v>
      </c>
      <c r="V338" s="109">
        <f t="shared" si="134"/>
        <v>-1.4557417144439888E-2</v>
      </c>
      <c r="W338" s="112">
        <f t="shared" si="135"/>
        <v>1.4557417144439888E-2</v>
      </c>
      <c r="X338" s="113">
        <f t="shared" si="136"/>
        <v>-1.4557417144439888E-2</v>
      </c>
      <c r="Y338" s="32"/>
      <c r="Z338" s="32"/>
      <c r="AA338" s="32"/>
      <c r="AB338" s="32"/>
      <c r="AC338" s="32"/>
      <c r="AD338" s="32"/>
      <c r="AE338" s="32"/>
      <c r="AG338" s="26">
        <f t="shared" si="123"/>
        <v>0</v>
      </c>
      <c r="AH338" s="27">
        <f t="shared" si="124"/>
        <v>3.6490033419851103E-2</v>
      </c>
      <c r="AI338" s="28">
        <f t="shared" si="137"/>
        <v>1.4557417144439888E-2</v>
      </c>
      <c r="AJ338" s="27">
        <f t="shared" si="125"/>
        <v>1.4557417144439888E-2</v>
      </c>
      <c r="AK338" s="28">
        <f t="shared" si="126"/>
        <v>1.2540646905141292E-3</v>
      </c>
      <c r="AL338" s="27">
        <f t="shared" si="127"/>
        <v>1.4557417144439888E-2</v>
      </c>
      <c r="AM338" s="28">
        <f t="shared" si="138"/>
        <v>2.6558345460906185E-2</v>
      </c>
      <c r="AN338" s="27">
        <f t="shared" si="139"/>
        <v>-1.4557417144439888E-2</v>
      </c>
      <c r="AO338" s="28">
        <f t="shared" si="128"/>
        <v>-1.4557417144439888E-2</v>
      </c>
      <c r="AP338" s="27">
        <f t="shared" si="129"/>
        <v>-1.2540646905141292E-3</v>
      </c>
      <c r="AQ338" s="29">
        <f t="shared" si="130"/>
        <v>-1.4557417144439888E-2</v>
      </c>
      <c r="AS338" s="30">
        <f t="shared" si="131"/>
        <v>0.85069637517527619</v>
      </c>
      <c r="AT338" s="21">
        <f t="shared" si="132"/>
        <v>1.5717370057295454</v>
      </c>
      <c r="AU338" s="31">
        <f t="shared" ca="1" si="140"/>
        <v>5.7910331498400858E-4</v>
      </c>
      <c r="AV338" s="109">
        <f t="shared" ca="1" si="141"/>
        <v>5.8104498626798673E-4</v>
      </c>
      <c r="AW338" s="27" t="e">
        <f t="shared" ca="1" si="142"/>
        <v>#VALUE!</v>
      </c>
      <c r="AX338" s="29" t="e">
        <f t="shared" ca="1" si="143"/>
        <v>#VALUE!</v>
      </c>
      <c r="AY338" s="72"/>
    </row>
    <row r="339" spans="13:51" s="11" customFormat="1" ht="15.6" customHeight="1" x14ac:dyDescent="0.3">
      <c r="M339" s="20">
        <f t="shared" si="144"/>
        <v>309</v>
      </c>
      <c r="N339" s="21">
        <f t="shared" si="145"/>
        <v>5.4075000000000166</v>
      </c>
      <c r="O339" s="22">
        <f t="shared" ca="1" si="117"/>
        <v>188.71359935887293</v>
      </c>
      <c r="P339" s="23">
        <f t="shared" ca="1" si="118"/>
        <v>-1</v>
      </c>
      <c r="Q339" s="22" t="e">
        <f t="shared" ca="1" si="119"/>
        <v>#VALUE!</v>
      </c>
      <c r="R339" s="23">
        <f t="shared" ca="1" si="120"/>
        <v>-1</v>
      </c>
      <c r="S339" s="24" t="e">
        <f t="shared" ca="1" si="121"/>
        <v>#VALUE!</v>
      </c>
      <c r="T339" s="23">
        <f t="shared" ca="1" si="122"/>
        <v>-1</v>
      </c>
      <c r="U339" s="112">
        <f t="shared" si="133"/>
        <v>1.4426296802064791E-2</v>
      </c>
      <c r="V339" s="109">
        <f t="shared" si="134"/>
        <v>-1.4426296802064791E-2</v>
      </c>
      <c r="W339" s="112">
        <f t="shared" si="135"/>
        <v>1.4426296802064791E-2</v>
      </c>
      <c r="X339" s="113">
        <f t="shared" si="136"/>
        <v>-1.4426296802064791E-2</v>
      </c>
      <c r="Y339" s="32"/>
      <c r="Z339" s="32"/>
      <c r="AA339" s="32"/>
      <c r="AB339" s="32"/>
      <c r="AC339" s="32"/>
      <c r="AD339" s="32"/>
      <c r="AE339" s="32"/>
      <c r="AG339" s="26">
        <f t="shared" si="123"/>
        <v>0</v>
      </c>
      <c r="AH339" s="27">
        <f t="shared" si="124"/>
        <v>3.6161363462274387E-2</v>
      </c>
      <c r="AI339" s="28">
        <f t="shared" si="137"/>
        <v>1.4426296802064791E-2</v>
      </c>
      <c r="AJ339" s="27">
        <f t="shared" si="125"/>
        <v>1.4426296802064791E-2</v>
      </c>
      <c r="AK339" s="28">
        <f t="shared" si="126"/>
        <v>1.2407566015949299E-3</v>
      </c>
      <c r="AL339" s="27">
        <f t="shared" si="127"/>
        <v>1.4426296802064791E-2</v>
      </c>
      <c r="AM339" s="28">
        <f t="shared" si="138"/>
        <v>2.6558345460906185E-2</v>
      </c>
      <c r="AN339" s="27">
        <f t="shared" si="139"/>
        <v>-1.4426296802064791E-2</v>
      </c>
      <c r="AO339" s="28">
        <f t="shared" si="128"/>
        <v>-1.4426296802064791E-2</v>
      </c>
      <c r="AP339" s="27">
        <f t="shared" si="129"/>
        <v>-1.2407566015949299E-3</v>
      </c>
      <c r="AQ339" s="29">
        <f t="shared" si="130"/>
        <v>-1.4426296802064791E-2</v>
      </c>
      <c r="AS339" s="30">
        <f t="shared" si="131"/>
        <v>0.85024987679438957</v>
      </c>
      <c r="AT339" s="21">
        <f t="shared" si="132"/>
        <v>1.5550577897464612</v>
      </c>
      <c r="AU339" s="31">
        <f t="shared" ca="1" si="140"/>
        <v>5.7889462034166339E-4</v>
      </c>
      <c r="AV339" s="109">
        <f t="shared" ca="1" si="141"/>
        <v>5.8083309738254929E-4</v>
      </c>
      <c r="AW339" s="27" t="e">
        <f t="shared" ca="1" si="142"/>
        <v>#VALUE!</v>
      </c>
      <c r="AX339" s="29" t="e">
        <f t="shared" ca="1" si="143"/>
        <v>#VALUE!</v>
      </c>
      <c r="AY339" s="72"/>
    </row>
    <row r="340" spans="13:51" s="11" customFormat="1" ht="15.6" customHeight="1" x14ac:dyDescent="0.3">
      <c r="M340" s="20">
        <f t="shared" si="144"/>
        <v>310</v>
      </c>
      <c r="N340" s="21">
        <f t="shared" si="145"/>
        <v>5.4250000000000167</v>
      </c>
      <c r="O340" s="22">
        <f t="shared" ca="1" si="117"/>
        <v>188.86379849893819</v>
      </c>
      <c r="P340" s="23">
        <f t="shared" ca="1" si="118"/>
        <v>-1</v>
      </c>
      <c r="Q340" s="22" t="e">
        <f t="shared" ca="1" si="119"/>
        <v>#VALUE!</v>
      </c>
      <c r="R340" s="23">
        <f t="shared" ca="1" si="120"/>
        <v>-1</v>
      </c>
      <c r="S340" s="24" t="e">
        <f t="shared" ca="1" si="121"/>
        <v>#VALUE!</v>
      </c>
      <c r="T340" s="23">
        <f t="shared" ca="1" si="122"/>
        <v>-1</v>
      </c>
      <c r="U340" s="112">
        <f t="shared" si="133"/>
        <v>1.4294556543283571E-2</v>
      </c>
      <c r="V340" s="109">
        <f t="shared" si="134"/>
        <v>-1.4294556543283571E-2</v>
      </c>
      <c r="W340" s="112">
        <f t="shared" si="135"/>
        <v>1.4294556543283571E-2</v>
      </c>
      <c r="X340" s="113">
        <f t="shared" si="136"/>
        <v>-1.4294556543283571E-2</v>
      </c>
      <c r="Y340" s="32"/>
      <c r="Z340" s="32"/>
      <c r="AA340" s="32"/>
      <c r="AB340" s="32"/>
      <c r="AC340" s="32"/>
      <c r="AD340" s="32"/>
      <c r="AE340" s="32"/>
      <c r="AG340" s="26">
        <f t="shared" si="123"/>
        <v>0</v>
      </c>
      <c r="AH340" s="27">
        <f t="shared" si="124"/>
        <v>3.5831139604706172E-2</v>
      </c>
      <c r="AI340" s="28">
        <f t="shared" si="137"/>
        <v>1.4294556543283571E-2</v>
      </c>
      <c r="AJ340" s="27">
        <f t="shared" si="125"/>
        <v>1.4294556543283571E-2</v>
      </c>
      <c r="AK340" s="28">
        <f t="shared" si="126"/>
        <v>1.227441524094704E-3</v>
      </c>
      <c r="AL340" s="27">
        <f t="shared" si="127"/>
        <v>1.4294556543283571E-2</v>
      </c>
      <c r="AM340" s="28">
        <f t="shared" si="138"/>
        <v>2.6558345460906185E-2</v>
      </c>
      <c r="AN340" s="27">
        <f t="shared" si="139"/>
        <v>-1.4294556543283571E-2</v>
      </c>
      <c r="AO340" s="28">
        <f t="shared" si="128"/>
        <v>-1.4294556543283571E-2</v>
      </c>
      <c r="AP340" s="27">
        <f t="shared" si="129"/>
        <v>-1.227441524094704E-3</v>
      </c>
      <c r="AQ340" s="29">
        <f t="shared" si="130"/>
        <v>-1.4294556543283571E-2</v>
      </c>
      <c r="AS340" s="30">
        <f t="shared" si="131"/>
        <v>0.8498036127636307</v>
      </c>
      <c r="AT340" s="21">
        <f t="shared" si="132"/>
        <v>1.5383698148759766</v>
      </c>
      <c r="AU340" s="31">
        <f t="shared" ca="1" si="140"/>
        <v>5.7869562425161281E-4</v>
      </c>
      <c r="AV340" s="109">
        <f t="shared" ca="1" si="141"/>
        <v>5.8063090012361318E-4</v>
      </c>
      <c r="AW340" s="27" t="e">
        <f t="shared" ca="1" si="142"/>
        <v>#VALUE!</v>
      </c>
      <c r="AX340" s="29" t="e">
        <f t="shared" ca="1" si="143"/>
        <v>#VALUE!</v>
      </c>
      <c r="AY340" s="72"/>
    </row>
    <row r="341" spans="13:51" s="11" customFormat="1" ht="15.6" customHeight="1" x14ac:dyDescent="0.3">
      <c r="M341" s="20">
        <f t="shared" si="144"/>
        <v>311</v>
      </c>
      <c r="N341" s="21">
        <f t="shared" si="145"/>
        <v>5.4425000000000168</v>
      </c>
      <c r="O341" s="22">
        <f t="shared" ca="1" si="117"/>
        <v>189.01327349069052</v>
      </c>
      <c r="P341" s="23">
        <f t="shared" ca="1" si="118"/>
        <v>-1</v>
      </c>
      <c r="Q341" s="22" t="e">
        <f t="shared" ca="1" si="119"/>
        <v>#VALUE!</v>
      </c>
      <c r="R341" s="23">
        <f t="shared" ca="1" si="120"/>
        <v>-1</v>
      </c>
      <c r="S341" s="24" t="e">
        <f t="shared" ca="1" si="121"/>
        <v>#VALUE!</v>
      </c>
      <c r="T341" s="23">
        <f t="shared" ca="1" si="122"/>
        <v>-1</v>
      </c>
      <c r="U341" s="112">
        <f t="shared" si="133"/>
        <v>1.4162197325929786E-2</v>
      </c>
      <c r="V341" s="109">
        <f t="shared" si="134"/>
        <v>-1.4162197325929786E-2</v>
      </c>
      <c r="W341" s="112">
        <f t="shared" si="135"/>
        <v>1.4162197325929786E-2</v>
      </c>
      <c r="X341" s="113">
        <f t="shared" si="136"/>
        <v>-1.4162197325929786E-2</v>
      </c>
      <c r="Y341" s="32"/>
      <c r="Z341" s="32"/>
      <c r="AA341" s="32"/>
      <c r="AB341" s="32"/>
      <c r="AC341" s="32"/>
      <c r="AD341" s="32"/>
      <c r="AE341" s="32"/>
      <c r="AG341" s="26">
        <f t="shared" si="123"/>
        <v>0</v>
      </c>
      <c r="AH341" s="27">
        <f t="shared" si="124"/>
        <v>3.5499364248079146E-2</v>
      </c>
      <c r="AI341" s="28">
        <f t="shared" si="137"/>
        <v>1.4162197325929786E-2</v>
      </c>
      <c r="AJ341" s="27">
        <f t="shared" si="125"/>
        <v>1.4162197325929786E-2</v>
      </c>
      <c r="AK341" s="28">
        <f t="shared" si="126"/>
        <v>1.2141194543434848E-3</v>
      </c>
      <c r="AL341" s="27">
        <f t="shared" si="127"/>
        <v>1.4162197325929786E-2</v>
      </c>
      <c r="AM341" s="28">
        <f t="shared" si="138"/>
        <v>2.6558345460906185E-2</v>
      </c>
      <c r="AN341" s="27">
        <f t="shared" si="139"/>
        <v>-1.4162197325929786E-2</v>
      </c>
      <c r="AO341" s="28">
        <f t="shared" si="128"/>
        <v>-1.4162197325929786E-2</v>
      </c>
      <c r="AP341" s="27">
        <f t="shared" si="129"/>
        <v>-1.214119454343485E-3</v>
      </c>
      <c r="AQ341" s="29">
        <f t="shared" si="130"/>
        <v>-1.4162197325929786E-2</v>
      </c>
      <c r="AS341" s="30">
        <f t="shared" si="131"/>
        <v>0.84935758295999808</v>
      </c>
      <c r="AT341" s="21">
        <f t="shared" si="132"/>
        <v>1.5216730765184705</v>
      </c>
      <c r="AU341" s="31">
        <f t="shared" ca="1" si="140"/>
        <v>5.7848339459054543E-4</v>
      </c>
      <c r="AV341" s="109">
        <f t="shared" ca="1" si="141"/>
        <v>5.8041548304665902E-4</v>
      </c>
      <c r="AW341" s="27" t="e">
        <f t="shared" ca="1" si="142"/>
        <v>#VALUE!</v>
      </c>
      <c r="AX341" s="29" t="e">
        <f t="shared" ca="1" si="143"/>
        <v>#VALUE!</v>
      </c>
      <c r="AY341" s="72"/>
    </row>
    <row r="342" spans="13:51" s="11" customFormat="1" ht="15.6" customHeight="1" x14ac:dyDescent="0.3">
      <c r="M342" s="20">
        <f t="shared" si="144"/>
        <v>312</v>
      </c>
      <c r="N342" s="21">
        <f t="shared" si="145"/>
        <v>5.4600000000000168</v>
      </c>
      <c r="O342" s="22">
        <f t="shared" ca="1" si="117"/>
        <v>189.16201378906516</v>
      </c>
      <c r="P342" s="23">
        <f t="shared" ca="1" si="118"/>
        <v>-1</v>
      </c>
      <c r="Q342" s="22" t="e">
        <f t="shared" ca="1" si="119"/>
        <v>#VALUE!</v>
      </c>
      <c r="R342" s="23">
        <f t="shared" ca="1" si="120"/>
        <v>-1</v>
      </c>
      <c r="S342" s="24" t="e">
        <f t="shared" ca="1" si="121"/>
        <v>#VALUE!</v>
      </c>
      <c r="T342" s="23">
        <f t="shared" ca="1" si="122"/>
        <v>-1</v>
      </c>
      <c r="U342" s="112">
        <f t="shared" si="133"/>
        <v>1.402922009954876E-2</v>
      </c>
      <c r="V342" s="109">
        <f t="shared" si="134"/>
        <v>-1.402922009954876E-2</v>
      </c>
      <c r="W342" s="112">
        <f t="shared" si="135"/>
        <v>1.402922009954876E-2</v>
      </c>
      <c r="X342" s="113">
        <f t="shared" si="136"/>
        <v>-1.402922009954876E-2</v>
      </c>
      <c r="Y342" s="32"/>
      <c r="Z342" s="32"/>
      <c r="AA342" s="32"/>
      <c r="AB342" s="32"/>
      <c r="AC342" s="32"/>
      <c r="AD342" s="32"/>
      <c r="AE342" s="32"/>
      <c r="AG342" s="26">
        <f t="shared" si="123"/>
        <v>0</v>
      </c>
      <c r="AH342" s="27">
        <f t="shared" si="124"/>
        <v>3.5166039772550457E-2</v>
      </c>
      <c r="AI342" s="28">
        <f t="shared" si="137"/>
        <v>1.402922009954876E-2</v>
      </c>
      <c r="AJ342" s="27">
        <f t="shared" si="125"/>
        <v>1.402922009954876E-2</v>
      </c>
      <c r="AK342" s="28">
        <f t="shared" si="126"/>
        <v>1.2007903886693753E-3</v>
      </c>
      <c r="AL342" s="27">
        <f t="shared" si="127"/>
        <v>1.402922009954876E-2</v>
      </c>
      <c r="AM342" s="28">
        <f t="shared" si="138"/>
        <v>2.6558345460906185E-2</v>
      </c>
      <c r="AN342" s="27">
        <f t="shared" si="139"/>
        <v>-1.402922009954876E-2</v>
      </c>
      <c r="AO342" s="28">
        <f t="shared" si="128"/>
        <v>-1.402922009954876E-2</v>
      </c>
      <c r="AP342" s="27">
        <f t="shared" si="129"/>
        <v>-1.2007903886693753E-3</v>
      </c>
      <c r="AQ342" s="29">
        <f t="shared" si="130"/>
        <v>-1.402922009954876E-2</v>
      </c>
      <c r="AS342" s="30">
        <f t="shared" si="131"/>
        <v>0.8489117872605545</v>
      </c>
      <c r="AT342" s="21">
        <f t="shared" si="132"/>
        <v>1.5049675700719023</v>
      </c>
      <c r="AU342" s="31">
        <f t="shared" ca="1" si="140"/>
        <v>5.7825764410113223E-4</v>
      </c>
      <c r="AV342" s="109">
        <f t="shared" ca="1" si="141"/>
        <v>5.8018655930958118E-4</v>
      </c>
      <c r="AW342" s="27" t="e">
        <f t="shared" ca="1" si="142"/>
        <v>#VALUE!</v>
      </c>
      <c r="AX342" s="29" t="e">
        <f t="shared" ca="1" si="143"/>
        <v>#VALUE!</v>
      </c>
      <c r="AY342" s="72"/>
    </row>
    <row r="343" spans="13:51" s="11" customFormat="1" ht="15.6" customHeight="1" x14ac:dyDescent="0.3">
      <c r="M343" s="20">
        <f t="shared" si="144"/>
        <v>313</v>
      </c>
      <c r="N343" s="21">
        <f t="shared" si="145"/>
        <v>5.4775000000000169</v>
      </c>
      <c r="O343" s="22">
        <f t="shared" ca="1" si="117"/>
        <v>189.31005464321217</v>
      </c>
      <c r="P343" s="23">
        <f t="shared" ca="1" si="118"/>
        <v>-1</v>
      </c>
      <c r="Q343" s="22" t="e">
        <f t="shared" ca="1" si="119"/>
        <v>#VALUE!</v>
      </c>
      <c r="R343" s="23">
        <f t="shared" ca="1" si="120"/>
        <v>-1</v>
      </c>
      <c r="S343" s="24" t="e">
        <f t="shared" ca="1" si="121"/>
        <v>#VALUE!</v>
      </c>
      <c r="T343" s="23">
        <f t="shared" ca="1" si="122"/>
        <v>-1</v>
      </c>
      <c r="U343" s="112">
        <f t="shared" si="133"/>
        <v>1.3895625805482854E-2</v>
      </c>
      <c r="V343" s="109">
        <f t="shared" si="134"/>
        <v>-1.3895625805482854E-2</v>
      </c>
      <c r="W343" s="112">
        <f t="shared" si="135"/>
        <v>1.3895625805482854E-2</v>
      </c>
      <c r="X343" s="113">
        <f t="shared" si="136"/>
        <v>-1.3895625805482854E-2</v>
      </c>
      <c r="Y343" s="32"/>
      <c r="Z343" s="32"/>
      <c r="AA343" s="32"/>
      <c r="AB343" s="32"/>
      <c r="AC343" s="32"/>
      <c r="AD343" s="32"/>
      <c r="AE343" s="32"/>
      <c r="AG343" s="26">
        <f t="shared" si="123"/>
        <v>0</v>
      </c>
      <c r="AH343" s="27">
        <f t="shared" si="124"/>
        <v>3.4831168537715493E-2</v>
      </c>
      <c r="AI343" s="28">
        <f t="shared" si="137"/>
        <v>1.3895625805482854E-2</v>
      </c>
      <c r="AJ343" s="27">
        <f t="shared" si="125"/>
        <v>1.3895625805482854E-2</v>
      </c>
      <c r="AK343" s="28">
        <f t="shared" si="126"/>
        <v>1.1874543233985557E-3</v>
      </c>
      <c r="AL343" s="27">
        <f t="shared" si="127"/>
        <v>1.3895625805482854E-2</v>
      </c>
      <c r="AM343" s="28">
        <f t="shared" si="138"/>
        <v>2.6558345460906185E-2</v>
      </c>
      <c r="AN343" s="27">
        <f t="shared" si="139"/>
        <v>-1.3895625805482854E-2</v>
      </c>
      <c r="AO343" s="28">
        <f t="shared" si="128"/>
        <v>-1.3895625805482854E-2</v>
      </c>
      <c r="AP343" s="27">
        <f t="shared" si="129"/>
        <v>-1.1874543233985559E-3</v>
      </c>
      <c r="AQ343" s="29">
        <f t="shared" si="130"/>
        <v>-1.3895625805482854E-2</v>
      </c>
      <c r="AS343" s="30">
        <f t="shared" si="131"/>
        <v>0.84846622554242768</v>
      </c>
      <c r="AT343" s="21">
        <f t="shared" si="132"/>
        <v>1.4882532909318218</v>
      </c>
      <c r="AU343" s="31">
        <f t="shared" ca="1" si="140"/>
        <v>5.7805347736783474E-4</v>
      </c>
      <c r="AV343" s="109">
        <f t="shared" ca="1" si="141"/>
        <v>5.7997920162189409E-4</v>
      </c>
      <c r="AW343" s="27" t="e">
        <f t="shared" ca="1" si="142"/>
        <v>#VALUE!</v>
      </c>
      <c r="AX343" s="29" t="e">
        <f t="shared" ca="1" si="143"/>
        <v>#VALUE!</v>
      </c>
      <c r="AY343" s="72"/>
    </row>
    <row r="344" spans="13:51" s="11" customFormat="1" ht="15.6" customHeight="1" x14ac:dyDescent="0.3">
      <c r="M344" s="20">
        <f t="shared" si="144"/>
        <v>314</v>
      </c>
      <c r="N344" s="21">
        <f t="shared" si="145"/>
        <v>5.495000000000017</v>
      </c>
      <c r="O344" s="22">
        <f t="shared" ca="1" si="117"/>
        <v>189.45737051325258</v>
      </c>
      <c r="P344" s="23">
        <f t="shared" ca="1" si="118"/>
        <v>-1</v>
      </c>
      <c r="Q344" s="22" t="e">
        <f t="shared" ca="1" si="119"/>
        <v>#VALUE!</v>
      </c>
      <c r="R344" s="23">
        <f t="shared" ca="1" si="120"/>
        <v>-1</v>
      </c>
      <c r="S344" s="24" t="e">
        <f t="shared" ca="1" si="121"/>
        <v>#VALUE!</v>
      </c>
      <c r="T344" s="23">
        <f t="shared" ca="1" si="122"/>
        <v>-1</v>
      </c>
      <c r="U344" s="112">
        <f t="shared" si="133"/>
        <v>1.3761415376955376E-2</v>
      </c>
      <c r="V344" s="109">
        <f t="shared" si="134"/>
        <v>-1.3761415376955376E-2</v>
      </c>
      <c r="W344" s="112">
        <f t="shared" si="135"/>
        <v>1.3761415376955376E-2</v>
      </c>
      <c r="X344" s="113">
        <f t="shared" si="136"/>
        <v>-1.3761415376955376E-2</v>
      </c>
      <c r="Y344" s="32"/>
      <c r="Z344" s="32"/>
      <c r="AA344" s="32"/>
      <c r="AB344" s="32"/>
      <c r="AC344" s="32"/>
      <c r="AD344" s="32"/>
      <c r="AE344" s="32"/>
      <c r="AG344" s="26">
        <f t="shared" si="123"/>
        <v>0</v>
      </c>
      <c r="AH344" s="27">
        <f t="shared" si="124"/>
        <v>3.4494752882818169E-2</v>
      </c>
      <c r="AI344" s="28">
        <f t="shared" si="137"/>
        <v>1.3761415376955376E-2</v>
      </c>
      <c r="AJ344" s="27">
        <f t="shared" si="125"/>
        <v>1.3761415376955376E-2</v>
      </c>
      <c r="AK344" s="28">
        <f t="shared" si="126"/>
        <v>1.1741112548552723E-3</v>
      </c>
      <c r="AL344" s="27">
        <f t="shared" si="127"/>
        <v>1.3761415376955376E-2</v>
      </c>
      <c r="AM344" s="28">
        <f t="shared" si="138"/>
        <v>2.6558345460906185E-2</v>
      </c>
      <c r="AN344" s="27">
        <f t="shared" si="139"/>
        <v>-1.3761415376955376E-2</v>
      </c>
      <c r="AO344" s="28">
        <f t="shared" si="128"/>
        <v>-1.3761415376955376E-2</v>
      </c>
      <c r="AP344" s="27">
        <f t="shared" si="129"/>
        <v>-1.1741112548552723E-3</v>
      </c>
      <c r="AQ344" s="29">
        <f t="shared" si="130"/>
        <v>-1.3761415376955376E-2</v>
      </c>
      <c r="AS344" s="30">
        <f t="shared" si="131"/>
        <v>0.84802089768280975</v>
      </c>
      <c r="AT344" s="21">
        <f t="shared" si="132"/>
        <v>1.4715302344913548</v>
      </c>
      <c r="AU344" s="31">
        <f t="shared" ca="1" si="140"/>
        <v>5.7782437640463424E-4</v>
      </c>
      <c r="AV344" s="109">
        <f t="shared" ca="1" si="141"/>
        <v>5.7974693432916169E-4</v>
      </c>
      <c r="AW344" s="27" t="e">
        <f t="shared" ca="1" si="142"/>
        <v>#VALUE!</v>
      </c>
      <c r="AX344" s="29" t="e">
        <f t="shared" ca="1" si="143"/>
        <v>#VALUE!</v>
      </c>
      <c r="AY344" s="72"/>
    </row>
    <row r="345" spans="13:51" s="11" customFormat="1" ht="15.6" customHeight="1" x14ac:dyDescent="0.3">
      <c r="M345" s="20">
        <f t="shared" si="144"/>
        <v>315</v>
      </c>
      <c r="N345" s="21">
        <f t="shared" si="145"/>
        <v>5.5125000000000171</v>
      </c>
      <c r="O345" s="22">
        <f t="shared" ca="1" si="117"/>
        <v>189.60399664394981</v>
      </c>
      <c r="P345" s="23">
        <f t="shared" ca="1" si="118"/>
        <v>-1</v>
      </c>
      <c r="Q345" s="22" t="e">
        <f t="shared" ca="1" si="119"/>
        <v>#VALUE!</v>
      </c>
      <c r="R345" s="23">
        <f t="shared" ca="1" si="120"/>
        <v>-1</v>
      </c>
      <c r="S345" s="24" t="e">
        <f t="shared" ca="1" si="121"/>
        <v>#VALUE!</v>
      </c>
      <c r="T345" s="23">
        <f t="shared" ca="1" si="122"/>
        <v>-1</v>
      </c>
      <c r="U345" s="112">
        <f t="shared" si="133"/>
        <v>1.362658973915346E-2</v>
      </c>
      <c r="V345" s="109">
        <f t="shared" si="134"/>
        <v>-1.362658973915346E-2</v>
      </c>
      <c r="W345" s="112">
        <f t="shared" si="135"/>
        <v>1.362658973915346E-2</v>
      </c>
      <c r="X345" s="113">
        <f t="shared" si="136"/>
        <v>-1.362658973915346E-2</v>
      </c>
      <c r="Y345" s="32"/>
      <c r="Z345" s="32"/>
      <c r="AA345" s="32"/>
      <c r="AB345" s="32"/>
      <c r="AC345" s="32"/>
      <c r="AD345" s="32"/>
      <c r="AE345" s="32"/>
      <c r="AG345" s="26">
        <f t="shared" si="123"/>
        <v>0</v>
      </c>
      <c r="AH345" s="27">
        <f t="shared" si="124"/>
        <v>3.4156795126958732E-2</v>
      </c>
      <c r="AI345" s="28">
        <f t="shared" si="137"/>
        <v>1.362658973915346E-2</v>
      </c>
      <c r="AJ345" s="27">
        <f t="shared" si="125"/>
        <v>1.362658973915346E-2</v>
      </c>
      <c r="AK345" s="28">
        <f t="shared" si="126"/>
        <v>1.1607611793618368E-3</v>
      </c>
      <c r="AL345" s="27">
        <f t="shared" si="127"/>
        <v>1.362658973915346E-2</v>
      </c>
      <c r="AM345" s="28">
        <f t="shared" si="138"/>
        <v>2.6558345460906185E-2</v>
      </c>
      <c r="AN345" s="27">
        <f t="shared" si="139"/>
        <v>-1.362658973915346E-2</v>
      </c>
      <c r="AO345" s="28">
        <f t="shared" si="128"/>
        <v>-1.362658973915346E-2</v>
      </c>
      <c r="AP345" s="27">
        <f t="shared" si="129"/>
        <v>-1.160761179361837E-3</v>
      </c>
      <c r="AQ345" s="29">
        <f t="shared" si="130"/>
        <v>-1.362658973915346E-2</v>
      </c>
      <c r="AS345" s="30">
        <f t="shared" si="131"/>
        <v>0.84757580355895701</v>
      </c>
      <c r="AT345" s="21">
        <f t="shared" si="132"/>
        <v>1.454798396141203</v>
      </c>
      <c r="AU345" s="31">
        <f t="shared" ca="1" si="140"/>
        <v>5.7761707709713672E-4</v>
      </c>
      <c r="AV345" s="109">
        <f t="shared" ca="1" si="141"/>
        <v>5.7953645068820059E-4</v>
      </c>
      <c r="AW345" s="27" t="e">
        <f t="shared" ca="1" si="142"/>
        <v>#VALUE!</v>
      </c>
      <c r="AX345" s="29" t="e">
        <f t="shared" ca="1" si="143"/>
        <v>#VALUE!</v>
      </c>
      <c r="AY345" s="72"/>
    </row>
    <row r="346" spans="13:51" s="11" customFormat="1" ht="15.6" customHeight="1" x14ac:dyDescent="0.3">
      <c r="M346" s="20">
        <f t="shared" si="144"/>
        <v>316</v>
      </c>
      <c r="N346" s="21">
        <f t="shared" si="145"/>
        <v>5.5300000000000171</v>
      </c>
      <c r="O346" s="22">
        <f t="shared" ca="1" si="117"/>
        <v>189.74992252094609</v>
      </c>
      <c r="P346" s="23">
        <f t="shared" ca="1" si="118"/>
        <v>-1</v>
      </c>
      <c r="Q346" s="22" t="e">
        <f t="shared" ca="1" si="119"/>
        <v>#VALUE!</v>
      </c>
      <c r="R346" s="23">
        <f t="shared" ca="1" si="120"/>
        <v>-1</v>
      </c>
      <c r="S346" s="24" t="e">
        <f t="shared" ca="1" si="121"/>
        <v>#VALUE!</v>
      </c>
      <c r="T346" s="23">
        <f t="shared" ca="1" si="122"/>
        <v>-1</v>
      </c>
      <c r="U346" s="112">
        <f t="shared" si="133"/>
        <v>1.349114980930999E-2</v>
      </c>
      <c r="V346" s="109">
        <f t="shared" si="134"/>
        <v>-1.349114980930999E-2</v>
      </c>
      <c r="W346" s="112">
        <f t="shared" si="135"/>
        <v>1.349114980930999E-2</v>
      </c>
      <c r="X346" s="113">
        <f t="shared" si="136"/>
        <v>-1.349114980930999E-2</v>
      </c>
      <c r="Y346" s="32"/>
      <c r="Z346" s="32"/>
      <c r="AA346" s="32"/>
      <c r="AB346" s="32"/>
      <c r="AC346" s="32"/>
      <c r="AD346" s="32"/>
      <c r="AE346" s="32"/>
      <c r="AG346" s="26">
        <f t="shared" si="123"/>
        <v>0</v>
      </c>
      <c r="AH346" s="27">
        <f t="shared" si="124"/>
        <v>3.3817297569299049E-2</v>
      </c>
      <c r="AI346" s="28">
        <f t="shared" si="137"/>
        <v>1.349114980930999E-2</v>
      </c>
      <c r="AJ346" s="27">
        <f t="shared" si="125"/>
        <v>1.349114980930999E-2</v>
      </c>
      <c r="AK346" s="28">
        <f t="shared" si="126"/>
        <v>1.1474040932386424E-3</v>
      </c>
      <c r="AL346" s="27">
        <f t="shared" si="127"/>
        <v>1.349114980930999E-2</v>
      </c>
      <c r="AM346" s="28">
        <f t="shared" si="138"/>
        <v>2.6558345460906185E-2</v>
      </c>
      <c r="AN346" s="27">
        <f t="shared" si="139"/>
        <v>-1.349114980930999E-2</v>
      </c>
      <c r="AO346" s="28">
        <f t="shared" si="128"/>
        <v>-1.349114980930999E-2</v>
      </c>
      <c r="AP346" s="27">
        <f t="shared" si="129"/>
        <v>-1.1474040932386426E-3</v>
      </c>
      <c r="AQ346" s="29">
        <f t="shared" si="130"/>
        <v>-1.349114980930999E-2</v>
      </c>
      <c r="AS346" s="30">
        <f t="shared" si="131"/>
        <v>0.84713094304819048</v>
      </c>
      <c r="AT346" s="21">
        <f t="shared" si="132"/>
        <v>1.4380577712696629</v>
      </c>
      <c r="AU346" s="31">
        <f t="shared" ca="1" si="140"/>
        <v>5.7739645687027163E-4</v>
      </c>
      <c r="AV346" s="109">
        <f t="shared" ca="1" si="141"/>
        <v>5.7931266022714922E-4</v>
      </c>
      <c r="AW346" s="27" t="e">
        <f t="shared" ca="1" si="142"/>
        <v>#VALUE!</v>
      </c>
      <c r="AX346" s="29" t="e">
        <f t="shared" ca="1" si="143"/>
        <v>#VALUE!</v>
      </c>
      <c r="AY346" s="72"/>
    </row>
    <row r="347" spans="13:51" s="11" customFormat="1" ht="15.6" customHeight="1" x14ac:dyDescent="0.3">
      <c r="M347" s="20">
        <f t="shared" si="144"/>
        <v>317</v>
      </c>
      <c r="N347" s="21">
        <f t="shared" si="145"/>
        <v>5.5475000000000172</v>
      </c>
      <c r="O347" s="22">
        <f t="shared" ca="1" si="117"/>
        <v>189.89513783728239</v>
      </c>
      <c r="P347" s="23">
        <f t="shared" ca="1" si="118"/>
        <v>-1</v>
      </c>
      <c r="Q347" s="22" t="e">
        <f t="shared" ca="1" si="119"/>
        <v>#VALUE!</v>
      </c>
      <c r="R347" s="23">
        <f t="shared" ca="1" si="120"/>
        <v>-1</v>
      </c>
      <c r="S347" s="24" t="e">
        <f t="shared" ca="1" si="121"/>
        <v>#VALUE!</v>
      </c>
      <c r="T347" s="23">
        <f t="shared" ca="1" si="122"/>
        <v>-1</v>
      </c>
      <c r="U347" s="112">
        <f t="shared" si="133"/>
        <v>1.3355096496783896E-2</v>
      </c>
      <c r="V347" s="109">
        <f t="shared" si="134"/>
        <v>-1.3355096496783896E-2</v>
      </c>
      <c r="W347" s="112">
        <f t="shared" si="135"/>
        <v>1.3355096496783896E-2</v>
      </c>
      <c r="X347" s="113">
        <f t="shared" si="136"/>
        <v>-1.3355096496783896E-2</v>
      </c>
      <c r="Y347" s="32"/>
      <c r="Z347" s="32"/>
      <c r="AA347" s="32"/>
      <c r="AB347" s="32"/>
      <c r="AC347" s="32"/>
      <c r="AD347" s="32"/>
      <c r="AE347" s="32"/>
      <c r="AG347" s="26">
        <f t="shared" si="123"/>
        <v>0</v>
      </c>
      <c r="AH347" s="27">
        <f t="shared" si="124"/>
        <v>3.3476262489263935E-2</v>
      </c>
      <c r="AI347" s="28">
        <f t="shared" si="137"/>
        <v>1.3355096496783896E-2</v>
      </c>
      <c r="AJ347" s="27">
        <f t="shared" si="125"/>
        <v>1.3355096496783896E-2</v>
      </c>
      <c r="AK347" s="28">
        <f t="shared" si="126"/>
        <v>1.1340399928041335E-3</v>
      </c>
      <c r="AL347" s="27">
        <f t="shared" si="127"/>
        <v>1.3355096496783896E-2</v>
      </c>
      <c r="AM347" s="28">
        <f t="shared" si="138"/>
        <v>2.6558345460906185E-2</v>
      </c>
      <c r="AN347" s="27">
        <f t="shared" si="139"/>
        <v>-1.3355096496783896E-2</v>
      </c>
      <c r="AO347" s="28">
        <f t="shared" si="128"/>
        <v>-1.3355096496783896E-2</v>
      </c>
      <c r="AP347" s="27">
        <f t="shared" si="129"/>
        <v>-1.1340399928041337E-3</v>
      </c>
      <c r="AQ347" s="29">
        <f t="shared" si="130"/>
        <v>-1.3355096496783896E-2</v>
      </c>
      <c r="AS347" s="30">
        <f t="shared" si="131"/>
        <v>0.84668631602789557</v>
      </c>
      <c r="AT347" s="21">
        <f t="shared" si="132"/>
        <v>1.4213083552625887</v>
      </c>
      <c r="AU347" s="31">
        <f t="shared" ca="1" si="140"/>
        <v>5.771626102175631E-4</v>
      </c>
      <c r="AV347" s="109">
        <f t="shared" ca="1" si="141"/>
        <v>5.7907565750658918E-4</v>
      </c>
      <c r="AW347" s="27" t="e">
        <f t="shared" ca="1" si="142"/>
        <v>#VALUE!</v>
      </c>
      <c r="AX347" s="29" t="e">
        <f t="shared" ca="1" si="143"/>
        <v>#VALUE!</v>
      </c>
      <c r="AY347" s="72"/>
    </row>
    <row r="348" spans="13:51" s="11" customFormat="1" ht="15.6" customHeight="1" x14ac:dyDescent="0.3">
      <c r="M348" s="20">
        <f t="shared" si="144"/>
        <v>318</v>
      </c>
      <c r="N348" s="21">
        <f t="shared" si="145"/>
        <v>5.5650000000000173</v>
      </c>
      <c r="O348" s="22">
        <f t="shared" ca="1" si="117"/>
        <v>190.03966259194283</v>
      </c>
      <c r="P348" s="23">
        <f t="shared" ca="1" si="118"/>
        <v>-1</v>
      </c>
      <c r="Q348" s="22" t="e">
        <f t="shared" ca="1" si="119"/>
        <v>#VALUE!</v>
      </c>
      <c r="R348" s="23">
        <f t="shared" ca="1" si="120"/>
        <v>-1</v>
      </c>
      <c r="S348" s="24" t="e">
        <f t="shared" ca="1" si="121"/>
        <v>#VALUE!</v>
      </c>
      <c r="T348" s="23">
        <f t="shared" ca="1" si="122"/>
        <v>-1</v>
      </c>
      <c r="U348" s="112">
        <f t="shared" si="133"/>
        <v>1.3218430703140041E-2</v>
      </c>
      <c r="V348" s="109">
        <f t="shared" si="134"/>
        <v>-1.3218430703140041E-2</v>
      </c>
      <c r="W348" s="112">
        <f t="shared" si="135"/>
        <v>1.3218430703140041E-2</v>
      </c>
      <c r="X348" s="113">
        <f t="shared" si="136"/>
        <v>-1.3218430703140041E-2</v>
      </c>
      <c r="Y348" s="32"/>
      <c r="Z348" s="32"/>
      <c r="AA348" s="32"/>
      <c r="AB348" s="32"/>
      <c r="AC348" s="32"/>
      <c r="AD348" s="32"/>
      <c r="AE348" s="32"/>
      <c r="AG348" s="26">
        <f t="shared" si="123"/>
        <v>0</v>
      </c>
      <c r="AH348" s="27">
        <f t="shared" si="124"/>
        <v>3.3133692146741361E-2</v>
      </c>
      <c r="AI348" s="28">
        <f t="shared" si="137"/>
        <v>1.3218430703140041E-2</v>
      </c>
      <c r="AJ348" s="27">
        <f t="shared" si="125"/>
        <v>1.3218430703140041E-2</v>
      </c>
      <c r="AK348" s="28">
        <f t="shared" si="126"/>
        <v>1.1206688743748345E-3</v>
      </c>
      <c r="AL348" s="27">
        <f t="shared" si="127"/>
        <v>1.3218430703140041E-2</v>
      </c>
      <c r="AM348" s="28">
        <f t="shared" si="138"/>
        <v>2.6558345460906185E-2</v>
      </c>
      <c r="AN348" s="27">
        <f t="shared" si="139"/>
        <v>-1.3218430703140041E-2</v>
      </c>
      <c r="AO348" s="28">
        <f t="shared" si="128"/>
        <v>-1.3218430703140041E-2</v>
      </c>
      <c r="AP348" s="27">
        <f t="shared" si="129"/>
        <v>-1.1206688743748347E-3</v>
      </c>
      <c r="AQ348" s="29">
        <f t="shared" si="130"/>
        <v>-1.3218430703140041E-2</v>
      </c>
      <c r="AS348" s="30">
        <f t="shared" si="131"/>
        <v>0.84624192237552187</v>
      </c>
      <c r="AT348" s="21">
        <f t="shared" si="132"/>
        <v>1.4045501435034284</v>
      </c>
      <c r="AU348" s="31">
        <f t="shared" ca="1" si="140"/>
        <v>5.7693903900035703E-4</v>
      </c>
      <c r="AV348" s="109">
        <f t="shared" ca="1" si="141"/>
        <v>5.7884892275450461E-4</v>
      </c>
      <c r="AW348" s="27" t="e">
        <f t="shared" ca="1" si="142"/>
        <v>#VALUE!</v>
      </c>
      <c r="AX348" s="29" t="e">
        <f t="shared" ca="1" si="143"/>
        <v>#VALUE!</v>
      </c>
      <c r="AY348" s="72"/>
    </row>
    <row r="349" spans="13:51" s="11" customFormat="1" ht="15.6" customHeight="1" x14ac:dyDescent="0.3">
      <c r="M349" s="20">
        <f t="shared" si="144"/>
        <v>319</v>
      </c>
      <c r="N349" s="21">
        <f t="shared" si="145"/>
        <v>5.5825000000000173</v>
      </c>
      <c r="O349" s="22">
        <f t="shared" ca="1" si="117"/>
        <v>190.18353205934497</v>
      </c>
      <c r="P349" s="23">
        <f t="shared" ca="1" si="118"/>
        <v>-1</v>
      </c>
      <c r="Q349" s="22" t="e">
        <f t="shared" ca="1" si="119"/>
        <v>#VALUE!</v>
      </c>
      <c r="R349" s="23">
        <f t="shared" ca="1" si="120"/>
        <v>-1</v>
      </c>
      <c r="S349" s="24" t="e">
        <f t="shared" ca="1" si="121"/>
        <v>#VALUE!</v>
      </c>
      <c r="T349" s="23">
        <f t="shared" ca="1" si="122"/>
        <v>-1</v>
      </c>
      <c r="U349" s="112">
        <f t="shared" si="133"/>
        <v>1.3081153322227481E-2</v>
      </c>
      <c r="V349" s="109">
        <f t="shared" si="134"/>
        <v>-1.3081153322227481E-2</v>
      </c>
      <c r="W349" s="112">
        <f t="shared" si="135"/>
        <v>1.3081153322227481E-2</v>
      </c>
      <c r="X349" s="113">
        <f t="shared" si="136"/>
        <v>-1.3081153322227481E-2</v>
      </c>
      <c r="Y349" s="32"/>
      <c r="Z349" s="32"/>
      <c r="AA349" s="32"/>
      <c r="AB349" s="32"/>
      <c r="AC349" s="32"/>
      <c r="AD349" s="32"/>
      <c r="AE349" s="32"/>
      <c r="AG349" s="26">
        <f t="shared" si="123"/>
        <v>0</v>
      </c>
      <c r="AH349" s="27">
        <f t="shared" si="124"/>
        <v>3.2789588782278646E-2</v>
      </c>
      <c r="AI349" s="28">
        <f t="shared" si="137"/>
        <v>1.3081153322227481E-2</v>
      </c>
      <c r="AJ349" s="27">
        <f t="shared" si="125"/>
        <v>1.3081153322227481E-2</v>
      </c>
      <c r="AK349" s="28">
        <f t="shared" si="126"/>
        <v>1.1072907342653334E-3</v>
      </c>
      <c r="AL349" s="27">
        <f t="shared" si="127"/>
        <v>1.3081153322227481E-2</v>
      </c>
      <c r="AM349" s="28">
        <f t="shared" si="138"/>
        <v>2.6558345460906185E-2</v>
      </c>
      <c r="AN349" s="27">
        <f t="shared" si="139"/>
        <v>-1.3081153322227481E-2</v>
      </c>
      <c r="AO349" s="28">
        <f t="shared" si="128"/>
        <v>-1.3081153322227481E-2</v>
      </c>
      <c r="AP349" s="27">
        <f t="shared" si="129"/>
        <v>-1.1072907342653336E-3</v>
      </c>
      <c r="AQ349" s="29">
        <f t="shared" si="130"/>
        <v>-1.3081153322227481E-2</v>
      </c>
      <c r="AS349" s="30">
        <f t="shared" si="131"/>
        <v>0.84579776196858336</v>
      </c>
      <c r="AT349" s="21">
        <f t="shared" si="132"/>
        <v>1.387783131373203</v>
      </c>
      <c r="AU349" s="31">
        <f t="shared" ca="1" si="140"/>
        <v>5.7673781798939228E-4</v>
      </c>
      <c r="AV349" s="109">
        <f t="shared" ca="1" si="141"/>
        <v>5.7864451939260153E-4</v>
      </c>
      <c r="AW349" s="27" t="e">
        <f t="shared" ca="1" si="142"/>
        <v>#VALUE!</v>
      </c>
      <c r="AX349" s="29" t="e">
        <f t="shared" ca="1" si="143"/>
        <v>#VALUE!</v>
      </c>
      <c r="AY349" s="72"/>
    </row>
    <row r="350" spans="13:51" s="11" customFormat="1" ht="15.6" customHeight="1" x14ac:dyDescent="0.3">
      <c r="M350" s="20">
        <f t="shared" si="144"/>
        <v>320</v>
      </c>
      <c r="N350" s="21">
        <f t="shared" si="145"/>
        <v>5.6000000000000174</v>
      </c>
      <c r="O350" s="22">
        <f t="shared" ref="O350:O413" ca="1" si="146">CubicSpline(OFFSET($B$18,0,0,NumCurvePoints,1),OFFSET($C$18,0,0,NumCurvePoints,1),N350)</f>
        <v>190.3266901311959</v>
      </c>
      <c r="P350" s="23">
        <f t="shared" ref="P350:P413" ca="1" si="147">IF(ISERROR(MATCH(M350,$A$20:$A$27,0)),-1,OFFSET($C$17,MATCH(M350,$A$20:$A$27,0),0,1,1))</f>
        <v>-1</v>
      </c>
      <c r="Q350" s="22" t="e">
        <f t="shared" ref="Q350:Q413" ca="1" si="148">CubicSpline(OFFSET($B$18,0,0,NumCurvePoints2,1),OFFSET($D$18,0,0,NumCurvePoints2,1),N350)</f>
        <v>#VALUE!</v>
      </c>
      <c r="R350" s="23">
        <f t="shared" ref="R350:R413" ca="1" si="149">IF(ISERROR(MATCH(M350,$A$20:$A$27,0)),-1,OFFSET($D$17,MATCH(M350,$A$20:$A$27,0),0,1,1))</f>
        <v>-1</v>
      </c>
      <c r="S350" s="24" t="e">
        <f t="shared" ref="S350:S413" ca="1" si="150">CubicSpline(OFFSET($B$18,0,0,NumCurvePoints3,1),OFFSET($E$18,0,0,NumCurvePoints3,1),N350)</f>
        <v>#VALUE!</v>
      </c>
      <c r="T350" s="23">
        <f t="shared" ref="T350:T413" ca="1" si="151">IF(ISERROR(MATCH(M350,$A$20:$A$27,0)),-1,OFFSET($E$17,MATCH(M350,$A$20:$A$27,0),0,1,1))</f>
        <v>-1</v>
      </c>
      <c r="U350" s="112">
        <f t="shared" si="133"/>
        <v>1.2943265240256813E-2</v>
      </c>
      <c r="V350" s="109">
        <f t="shared" si="134"/>
        <v>-1.2943265240256813E-2</v>
      </c>
      <c r="W350" s="112">
        <f t="shared" si="135"/>
        <v>1.2943265240256813E-2</v>
      </c>
      <c r="X350" s="113">
        <f t="shared" si="136"/>
        <v>-1.2943265240256813E-2</v>
      </c>
      <c r="Y350" s="32"/>
      <c r="Z350" s="32"/>
      <c r="AA350" s="32"/>
      <c r="AB350" s="32"/>
      <c r="AC350" s="32"/>
      <c r="AD350" s="32"/>
      <c r="AE350" s="32"/>
      <c r="AG350" s="26">
        <f t="shared" ref="AG350:AG413" si="152">(SwapRate1-InterestRate)*AT350</f>
        <v>0</v>
      </c>
      <c r="AH350" s="27">
        <f t="shared" ref="AH350:AH413" si="153">MAX(0.0000000001,SQRT(N350)*AT350*IRVol)</f>
        <v>3.2443954617276338E-2</v>
      </c>
      <c r="AI350" s="28">
        <f t="shared" si="137"/>
        <v>1.2943265240256813E-2</v>
      </c>
      <c r="AJ350" s="27">
        <f t="shared" ref="AJ350:AJ413" si="154">AI350-IF(ThresholdB="",0,1)*IF((ThresholdB-AG350)/AH350&gt;6,0,(1-NORMSDIST((ThresholdB-AG350)/AH350))*(AG350+AH350*NORMDIST(((ThresholdB-AG350)/AH350),0,1,FALSE)/(1-NORMSDIST((ThresholdB-AG350)/AH350))-ThresholdB))</f>
        <v>1.2943265240256813E-2</v>
      </c>
      <c r="AK350" s="28">
        <f t="shared" ref="AK350:AK413" si="155">-InitialMargin2*NORMSDIST(-InitialMargin2/(IRVol*SQRT(MPR/250)*AT350))+(IRVol*SQRT(MPR/250)*AT350)*NORMDIST(-InitialMargin2/(IRVol*SQRT(MPR/250)*AT350),0,1,FALSE)</f>
        <v>1.0939055687882748E-3</v>
      </c>
      <c r="AL350" s="27">
        <f t="shared" ref="AL350:AL413" si="156">IF(OR(BreakMat="",BreakMat=0,BreakMat&gt;N350),IF(AND(ThresholdB="",ThresholdA=0,ThresholdA&lt;&gt;""),AJ350+AK350,IF(AND(ThresholdB=0,ThresholdB&lt;&gt;""),AK350,IF(ThresholdB&gt;0,MAX(AJ350,AK350),AJ350))))</f>
        <v>1.2943265240256813E-2</v>
      </c>
      <c r="AM350" s="28">
        <f t="shared" si="138"/>
        <v>2.6558345460906185E-2</v>
      </c>
      <c r="AN350" s="27">
        <f t="shared" si="139"/>
        <v>-1.2943265240256813E-2</v>
      </c>
      <c r="AO350" s="28">
        <f t="shared" ref="AO350:AO413" si="157">AN350+IF(AND(ThresholdA&lt;&gt;"",(ThresholdA+AG350)/AH350&lt;6),(1-NORMSDIST((ThresholdA+AG350)/AH350))*(-AG350+AH350*NORMDIST(((ThresholdA+AG350)/AH350),0,1,FALSE)/(1-NORMSDIST((ThresholdA+AG350)/AH350))-ThresholdA))</f>
        <v>-1.2943265240256813E-2</v>
      </c>
      <c r="AP350" s="27">
        <f t="shared" ref="AP350:AP413" si="158">InitialMargin1*NORMSDIST(-InitialMargin1/(IRVol*AT350*SQRT(MPR/250)))-(IRVol*AT350*SQRT(MPR/250))*NORMDIST(-InitialMargin1/(IRVol*AT350*SQRT(MPR/250)),0,1,FALSE)</f>
        <v>-1.0939055687882748E-3</v>
      </c>
      <c r="AQ350" s="29">
        <f t="shared" ref="AQ350:AQ413" si="159">IF(OR(BreakMat="",BreakMat=0,BreakMat&gt;N350),IF(AND(ThresholdA="",ThresholdB=0,ThresholdB&lt;&gt;""),AO350+AP350,IF(AND(ThresholdA=0,ThresholdA&lt;&gt;""),AP350,MIN(AO350,AP350))))</f>
        <v>-1.2943265240256813E-2</v>
      </c>
      <c r="AS350" s="30">
        <f t="shared" ref="AS350:AS413" si="160">EXP(-InterestRate*N350)</f>
        <v>0.8453538346846583</v>
      </c>
      <c r="AT350" s="21">
        <f t="shared" ref="AT350:AT413" si="161">MAX((1-EXP(-(Maturity1-N350)*InterestRate))/InterestRate,0)</f>
        <v>1.3710073142504979</v>
      </c>
      <c r="AU350" s="31">
        <f t="shared" ca="1" si="140"/>
        <v>5.764878210979818E-4</v>
      </c>
      <c r="AV350" s="109">
        <f t="shared" ca="1" si="141"/>
        <v>5.7839138742699081E-4</v>
      </c>
      <c r="AW350" s="27" t="e">
        <f t="shared" ca="1" si="142"/>
        <v>#VALUE!</v>
      </c>
      <c r="AX350" s="29" t="e">
        <f t="shared" ca="1" si="143"/>
        <v>#VALUE!</v>
      </c>
      <c r="AY350" s="72"/>
    </row>
    <row r="351" spans="13:51" s="11" customFormat="1" ht="15.6" customHeight="1" x14ac:dyDescent="0.3">
      <c r="M351" s="20">
        <f t="shared" si="144"/>
        <v>321</v>
      </c>
      <c r="N351" s="21">
        <f t="shared" si="145"/>
        <v>5.6175000000000175</v>
      </c>
      <c r="O351" s="22">
        <f t="shared" ca="1" si="146"/>
        <v>190.46918728930848</v>
      </c>
      <c r="P351" s="23">
        <f t="shared" ca="1" si="147"/>
        <v>-1</v>
      </c>
      <c r="Q351" s="22" t="e">
        <f t="shared" ca="1" si="148"/>
        <v>#VALUE!</v>
      </c>
      <c r="R351" s="23">
        <f t="shared" ca="1" si="149"/>
        <v>-1</v>
      </c>
      <c r="S351" s="24" t="e">
        <f t="shared" ca="1" si="150"/>
        <v>#VALUE!</v>
      </c>
      <c r="T351" s="23">
        <f t="shared" ca="1" si="151"/>
        <v>-1</v>
      </c>
      <c r="U351" s="112">
        <f t="shared" ref="U351:U414" si="162">AI351</f>
        <v>1.2804767335876745E-2</v>
      </c>
      <c r="V351" s="109">
        <f t="shared" ref="V351:V414" si="163">AN351</f>
        <v>-1.2804767335876745E-2</v>
      </c>
      <c r="W351" s="112">
        <f t="shared" ref="W351:W414" si="164">AL351</f>
        <v>1.2804767335876745E-2</v>
      </c>
      <c r="X351" s="113">
        <f t="shared" ref="X351:X414" si="165">AQ351</f>
        <v>-1.2804767335876745E-2</v>
      </c>
      <c r="Y351" s="32"/>
      <c r="Z351" s="32"/>
      <c r="AA351" s="32"/>
      <c r="AB351" s="32"/>
      <c r="AC351" s="32"/>
      <c r="AD351" s="32"/>
      <c r="AE351" s="32"/>
      <c r="AG351" s="26">
        <f t="shared" si="152"/>
        <v>0</v>
      </c>
      <c r="AH351" s="27">
        <f t="shared" si="153"/>
        <v>3.2096791854180115E-2</v>
      </c>
      <c r="AI351" s="28">
        <f t="shared" ref="AI351:AI414" si="166">(AG351*NORMSDIST(AG351/AH351)+AH351*NORMDIST(AG351/AH351,0,1,FALSE))</f>
        <v>1.2804767335876745E-2</v>
      </c>
      <c r="AJ351" s="27">
        <f t="shared" si="154"/>
        <v>1.2804767335876745E-2</v>
      </c>
      <c r="AK351" s="28">
        <f t="shared" si="155"/>
        <v>1.0805133742543753E-3</v>
      </c>
      <c r="AL351" s="27">
        <f t="shared" si="156"/>
        <v>1.2804767335876745E-2</v>
      </c>
      <c r="AM351" s="28">
        <f t="shared" ref="AM351:AM414" si="167">MAX(AL351,AM350)</f>
        <v>2.6558345460906185E-2</v>
      </c>
      <c r="AN351" s="27">
        <f t="shared" ref="AN351:AN414" si="168">(AG351*NORMSDIST(-AG351/AH351)-AH351*NORMDIST(-AG351/AH351,0,1,FALSE))</f>
        <v>-1.2804767335876745E-2</v>
      </c>
      <c r="AO351" s="28">
        <f t="shared" si="157"/>
        <v>-1.2804767335876745E-2</v>
      </c>
      <c r="AP351" s="27">
        <f t="shared" si="158"/>
        <v>-1.0805133742543753E-3</v>
      </c>
      <c r="AQ351" s="29">
        <f t="shared" si="159"/>
        <v>-1.2804767335876745E-2</v>
      </c>
      <c r="AS351" s="30">
        <f t="shared" si="160"/>
        <v>0.84491014040138934</v>
      </c>
      <c r="AT351" s="21">
        <f t="shared" si="161"/>
        <v>1.3542226875114824</v>
      </c>
      <c r="AU351" s="31">
        <f t="shared" ref="AU351:AU414" ca="1" si="169">EXP(-N350*O350/CntrptyLGD/10000)-EXP(-N351*O351/CntrptyLGD/10000)</f>
        <v>5.7627213017608092E-4</v>
      </c>
      <c r="AV351" s="109">
        <f t="shared" ref="AV351:AV414" ca="1" si="170">EXP(-N350*(O350+1)/CntrptyLGD/10000)-EXP(-N351*(O351+1)/CntrptyLGD/10000)</f>
        <v>5.781725315269215E-4</v>
      </c>
      <c r="AW351" s="27" t="e">
        <f t="shared" ref="AW351:AW414" ca="1" si="171">EXP(-N350*Q350/OwnLGD/10000)-EXP(-N351*Q351/OwnLGD/10000)</f>
        <v>#VALUE!</v>
      </c>
      <c r="AX351" s="29" t="e">
        <f t="shared" ref="AX351:AX414" ca="1" si="172">EXP(-N350*S350/10000)-EXP(-N351*S351/10000)</f>
        <v>#VALUE!</v>
      </c>
      <c r="AY351" s="72"/>
    </row>
    <row r="352" spans="13:51" s="11" customFormat="1" ht="15.6" customHeight="1" x14ac:dyDescent="0.3">
      <c r="M352" s="20">
        <f t="shared" ref="M352:M415" si="173">M351+1</f>
        <v>322</v>
      </c>
      <c r="N352" s="21">
        <f t="shared" ref="N352:N415" si="174">N351+Maturity1/400</f>
        <v>5.6350000000000176</v>
      </c>
      <c r="O352" s="22">
        <f t="shared" ca="1" si="146"/>
        <v>190.61100555621925</v>
      </c>
      <c r="P352" s="23">
        <f t="shared" ca="1" si="147"/>
        <v>-1</v>
      </c>
      <c r="Q352" s="22" t="e">
        <f t="shared" ca="1" si="148"/>
        <v>#VALUE!</v>
      </c>
      <c r="R352" s="23">
        <f t="shared" ca="1" si="149"/>
        <v>-1</v>
      </c>
      <c r="S352" s="24" t="e">
        <f t="shared" ca="1" si="150"/>
        <v>#VALUE!</v>
      </c>
      <c r="T352" s="23">
        <f t="shared" ca="1" si="151"/>
        <v>-1</v>
      </c>
      <c r="U352" s="112">
        <f t="shared" si="162"/>
        <v>1.2665660480249251E-2</v>
      </c>
      <c r="V352" s="109">
        <f t="shared" si="163"/>
        <v>-1.2665660480249251E-2</v>
      </c>
      <c r="W352" s="112">
        <f t="shared" si="164"/>
        <v>1.2665660480249251E-2</v>
      </c>
      <c r="X352" s="113">
        <f t="shared" si="165"/>
        <v>-1.2665660480249251E-2</v>
      </c>
      <c r="Y352" s="32"/>
      <c r="Z352" s="32"/>
      <c r="AA352" s="32"/>
      <c r="AB352" s="32"/>
      <c r="AC352" s="32"/>
      <c r="AD352" s="32"/>
      <c r="AE352" s="32"/>
      <c r="AG352" s="26">
        <f t="shared" si="152"/>
        <v>0</v>
      </c>
      <c r="AH352" s="27">
        <f t="shared" si="153"/>
        <v>3.1748102676669228E-2</v>
      </c>
      <c r="AI352" s="28">
        <f t="shared" si="166"/>
        <v>1.2665660480249251E-2</v>
      </c>
      <c r="AJ352" s="27">
        <f t="shared" si="154"/>
        <v>1.2665660480249251E-2</v>
      </c>
      <c r="AK352" s="28">
        <f t="shared" si="155"/>
        <v>1.0671141469724118E-3</v>
      </c>
      <c r="AL352" s="27">
        <f t="shared" si="156"/>
        <v>1.2665660480249251E-2</v>
      </c>
      <c r="AM352" s="28">
        <f t="shared" si="167"/>
        <v>2.6558345460906185E-2</v>
      </c>
      <c r="AN352" s="27">
        <f t="shared" si="168"/>
        <v>-1.2665660480249251E-2</v>
      </c>
      <c r="AO352" s="28">
        <f t="shared" si="157"/>
        <v>-1.2665660480249251E-2</v>
      </c>
      <c r="AP352" s="27">
        <f t="shared" si="158"/>
        <v>-1.0671141469724118E-3</v>
      </c>
      <c r="AQ352" s="29">
        <f t="shared" si="159"/>
        <v>-1.2665660480249251E-2</v>
      </c>
      <c r="AS352" s="30">
        <f t="shared" si="160"/>
        <v>0.84446667899648309</v>
      </c>
      <c r="AT352" s="21">
        <f t="shared" si="161"/>
        <v>1.337429246529894</v>
      </c>
      <c r="AU352" s="31">
        <f t="shared" ca="1" si="169"/>
        <v>5.7603738691824891E-4</v>
      </c>
      <c r="AV352" s="109">
        <f t="shared" ca="1" si="170"/>
        <v>5.7793464307620557E-4</v>
      </c>
      <c r="AW352" s="27" t="e">
        <f t="shared" ca="1" si="171"/>
        <v>#VALUE!</v>
      </c>
      <c r="AX352" s="29" t="e">
        <f t="shared" ca="1" si="172"/>
        <v>#VALUE!</v>
      </c>
      <c r="AY352" s="72"/>
    </row>
    <row r="353" spans="13:51" s="11" customFormat="1" ht="15.6" customHeight="1" x14ac:dyDescent="0.3">
      <c r="M353" s="20">
        <f t="shared" si="173"/>
        <v>323</v>
      </c>
      <c r="N353" s="21">
        <f t="shared" si="174"/>
        <v>5.6525000000000176</v>
      </c>
      <c r="O353" s="22">
        <f t="shared" ca="1" si="146"/>
        <v>190.75214969280353</v>
      </c>
      <c r="P353" s="23">
        <f t="shared" ca="1" si="147"/>
        <v>-1</v>
      </c>
      <c r="Q353" s="22" t="e">
        <f t="shared" ca="1" si="148"/>
        <v>#VALUE!</v>
      </c>
      <c r="R353" s="23">
        <f t="shared" ca="1" si="149"/>
        <v>-1</v>
      </c>
      <c r="S353" s="24" t="e">
        <f t="shared" ca="1" si="150"/>
        <v>#VALUE!</v>
      </c>
      <c r="T353" s="23">
        <f t="shared" ca="1" si="151"/>
        <v>-1</v>
      </c>
      <c r="U353" s="112">
        <f t="shared" si="162"/>
        <v>1.2525945537123951E-2</v>
      </c>
      <c r="V353" s="109">
        <f t="shared" si="163"/>
        <v>-1.2525945537123951E-2</v>
      </c>
      <c r="W353" s="112">
        <f t="shared" si="164"/>
        <v>1.2525945537123951E-2</v>
      </c>
      <c r="X353" s="113">
        <f t="shared" si="165"/>
        <v>-1.2525945537123951E-2</v>
      </c>
      <c r="Y353" s="32"/>
      <c r="Z353" s="32"/>
      <c r="AA353" s="32"/>
      <c r="AB353" s="32"/>
      <c r="AC353" s="32"/>
      <c r="AD353" s="32"/>
      <c r="AE353" s="32"/>
      <c r="AG353" s="26">
        <f t="shared" si="152"/>
        <v>0</v>
      </c>
      <c r="AH353" s="27">
        <f t="shared" si="153"/>
        <v>3.1397889249842888E-2</v>
      </c>
      <c r="AI353" s="28">
        <f t="shared" si="166"/>
        <v>1.2525945537123951E-2</v>
      </c>
      <c r="AJ353" s="27">
        <f t="shared" si="154"/>
        <v>1.2525945537123951E-2</v>
      </c>
      <c r="AK353" s="28">
        <f t="shared" si="155"/>
        <v>1.053707883249218E-3</v>
      </c>
      <c r="AL353" s="27">
        <f t="shared" si="156"/>
        <v>1.2525945537123951E-2</v>
      </c>
      <c r="AM353" s="28">
        <f t="shared" si="167"/>
        <v>2.6558345460906185E-2</v>
      </c>
      <c r="AN353" s="27">
        <f t="shared" si="168"/>
        <v>-1.2525945537123951E-2</v>
      </c>
      <c r="AO353" s="28">
        <f t="shared" si="157"/>
        <v>-1.2525945537123951E-2</v>
      </c>
      <c r="AP353" s="27">
        <f t="shared" si="158"/>
        <v>-1.053707883249218E-3</v>
      </c>
      <c r="AQ353" s="29">
        <f t="shared" si="159"/>
        <v>-1.2525945537123951E-2</v>
      </c>
      <c r="AS353" s="30">
        <f t="shared" si="160"/>
        <v>0.84402345034771065</v>
      </c>
      <c r="AT353" s="21">
        <f t="shared" si="161"/>
        <v>1.3206269866770353</v>
      </c>
      <c r="AU353" s="31">
        <f t="shared" ca="1" si="169"/>
        <v>5.7580136645751789E-4</v>
      </c>
      <c r="AV353" s="109">
        <f t="shared" ca="1" si="170"/>
        <v>5.7769548069208643E-4</v>
      </c>
      <c r="AW353" s="27" t="e">
        <f t="shared" ca="1" si="171"/>
        <v>#VALUE!</v>
      </c>
      <c r="AX353" s="29" t="e">
        <f t="shared" ca="1" si="172"/>
        <v>#VALUE!</v>
      </c>
      <c r="AY353" s="72"/>
    </row>
    <row r="354" spans="13:51" s="11" customFormat="1" ht="15.6" customHeight="1" x14ac:dyDescent="0.3">
      <c r="M354" s="20">
        <f t="shared" si="173"/>
        <v>324</v>
      </c>
      <c r="N354" s="21">
        <f t="shared" si="174"/>
        <v>5.6700000000000177</v>
      </c>
      <c r="O354" s="22">
        <f t="shared" ca="1" si="146"/>
        <v>190.89264736376194</v>
      </c>
      <c r="P354" s="23">
        <f t="shared" ca="1" si="147"/>
        <v>-1</v>
      </c>
      <c r="Q354" s="22" t="e">
        <f t="shared" ca="1" si="148"/>
        <v>#VALUE!</v>
      </c>
      <c r="R354" s="23">
        <f t="shared" ca="1" si="149"/>
        <v>-1</v>
      </c>
      <c r="S354" s="24" t="e">
        <f t="shared" ca="1" si="150"/>
        <v>#VALUE!</v>
      </c>
      <c r="T354" s="23">
        <f t="shared" ca="1" si="151"/>
        <v>-1</v>
      </c>
      <c r="U354" s="112">
        <f t="shared" si="162"/>
        <v>1.2385623362911598E-2</v>
      </c>
      <c r="V354" s="109">
        <f t="shared" si="163"/>
        <v>-1.2385623362911598E-2</v>
      </c>
      <c r="W354" s="112">
        <f t="shared" si="164"/>
        <v>1.2385623362911598E-2</v>
      </c>
      <c r="X354" s="113">
        <f t="shared" si="165"/>
        <v>-1.2385623362911598E-2</v>
      </c>
      <c r="Y354" s="32"/>
      <c r="Z354" s="32"/>
      <c r="AA354" s="32"/>
      <c r="AB354" s="32"/>
      <c r="AC354" s="32"/>
      <c r="AD354" s="32"/>
      <c r="AE354" s="32"/>
      <c r="AG354" s="26">
        <f t="shared" si="152"/>
        <v>0</v>
      </c>
      <c r="AH354" s="27">
        <f t="shared" si="153"/>
        <v>3.104615372040451E-2</v>
      </c>
      <c r="AI354" s="28">
        <f t="shared" si="166"/>
        <v>1.2385623362911598E-2</v>
      </c>
      <c r="AJ354" s="27">
        <f t="shared" si="154"/>
        <v>1.2385623362911598E-2</v>
      </c>
      <c r="AK354" s="28">
        <f t="shared" si="155"/>
        <v>1.0402945793896994E-3</v>
      </c>
      <c r="AL354" s="27">
        <f t="shared" si="156"/>
        <v>1.2385623362911598E-2</v>
      </c>
      <c r="AM354" s="28">
        <f t="shared" si="167"/>
        <v>2.6558345460906185E-2</v>
      </c>
      <c r="AN354" s="27">
        <f t="shared" si="168"/>
        <v>-1.2385623362911598E-2</v>
      </c>
      <c r="AO354" s="28">
        <f t="shared" si="157"/>
        <v>-1.2385623362911598E-2</v>
      </c>
      <c r="AP354" s="27">
        <f t="shared" si="158"/>
        <v>-1.0402945793896994E-3</v>
      </c>
      <c r="AQ354" s="29">
        <f t="shared" si="159"/>
        <v>-1.2385623362911598E-2</v>
      </c>
      <c r="AS354" s="30">
        <f t="shared" si="160"/>
        <v>0.84358045433290707</v>
      </c>
      <c r="AT354" s="21">
        <f t="shared" si="161"/>
        <v>1.3038159033217922</v>
      </c>
      <c r="AU354" s="31">
        <f t="shared" ca="1" si="169"/>
        <v>5.7558219026965229E-4</v>
      </c>
      <c r="AV354" s="109">
        <f t="shared" ca="1" si="170"/>
        <v>5.7747314874823097E-4</v>
      </c>
      <c r="AW354" s="27" t="e">
        <f t="shared" ca="1" si="171"/>
        <v>#VALUE!</v>
      </c>
      <c r="AX354" s="29" t="e">
        <f t="shared" ca="1" si="172"/>
        <v>#VALUE!</v>
      </c>
      <c r="AY354" s="72"/>
    </row>
    <row r="355" spans="13:51" s="11" customFormat="1" ht="15.6" customHeight="1" x14ac:dyDescent="0.3">
      <c r="M355" s="20">
        <f t="shared" si="173"/>
        <v>325</v>
      </c>
      <c r="N355" s="21">
        <f t="shared" si="174"/>
        <v>5.6875000000000178</v>
      </c>
      <c r="O355" s="22">
        <f t="shared" ca="1" si="146"/>
        <v>191.03248056816841</v>
      </c>
      <c r="P355" s="23">
        <f t="shared" ca="1" si="147"/>
        <v>-1</v>
      </c>
      <c r="Q355" s="22" t="e">
        <f t="shared" ca="1" si="148"/>
        <v>#VALUE!</v>
      </c>
      <c r="R355" s="23">
        <f t="shared" ca="1" si="149"/>
        <v>-1</v>
      </c>
      <c r="S355" s="24" t="e">
        <f t="shared" ca="1" si="150"/>
        <v>#VALUE!</v>
      </c>
      <c r="T355" s="23">
        <f t="shared" ca="1" si="151"/>
        <v>-1</v>
      </c>
      <c r="U355" s="112">
        <f t="shared" si="162"/>
        <v>1.2244694806756169E-2</v>
      </c>
      <c r="V355" s="109">
        <f t="shared" si="163"/>
        <v>-1.2244694806756169E-2</v>
      </c>
      <c r="W355" s="112">
        <f t="shared" si="164"/>
        <v>1.2244694806756169E-2</v>
      </c>
      <c r="X355" s="113">
        <f t="shared" si="165"/>
        <v>-1.2244694806756169E-2</v>
      </c>
      <c r="Y355" s="32"/>
      <c r="Z355" s="32"/>
      <c r="AA355" s="32"/>
      <c r="AB355" s="32"/>
      <c r="AC355" s="32"/>
      <c r="AD355" s="32"/>
      <c r="AE355" s="32"/>
      <c r="AG355" s="26">
        <f t="shared" si="152"/>
        <v>0</v>
      </c>
      <c r="AH355" s="27">
        <f t="shared" si="153"/>
        <v>3.0692898216842388E-2</v>
      </c>
      <c r="AI355" s="28">
        <f t="shared" si="166"/>
        <v>1.2244694806756169E-2</v>
      </c>
      <c r="AJ355" s="27">
        <f t="shared" si="154"/>
        <v>1.2244694806756169E-2</v>
      </c>
      <c r="AK355" s="28">
        <f t="shared" si="155"/>
        <v>1.0268742316968072E-3</v>
      </c>
      <c r="AL355" s="27">
        <f t="shared" si="156"/>
        <v>1.2244694806756169E-2</v>
      </c>
      <c r="AM355" s="28">
        <f t="shared" si="167"/>
        <v>2.6558345460906185E-2</v>
      </c>
      <c r="AN355" s="27">
        <f t="shared" si="168"/>
        <v>-1.2244694806756169E-2</v>
      </c>
      <c r="AO355" s="28">
        <f t="shared" si="157"/>
        <v>-1.2244694806756169E-2</v>
      </c>
      <c r="AP355" s="27">
        <f t="shared" si="158"/>
        <v>-1.0268742316968072E-3</v>
      </c>
      <c r="AQ355" s="29">
        <f t="shared" si="159"/>
        <v>-1.2244694806756169E-2</v>
      </c>
      <c r="AS355" s="30">
        <f t="shared" si="160"/>
        <v>0.84313769082997159</v>
      </c>
      <c r="AT355" s="21">
        <f t="shared" si="161"/>
        <v>1.2869959918306011</v>
      </c>
      <c r="AU355" s="31">
        <f t="shared" ca="1" si="169"/>
        <v>5.7534396385205966E-4</v>
      </c>
      <c r="AV355" s="109">
        <f t="shared" ca="1" si="170"/>
        <v>5.7723178655522123E-4</v>
      </c>
      <c r="AW355" s="27" t="e">
        <f t="shared" ca="1" si="171"/>
        <v>#VALUE!</v>
      </c>
      <c r="AX355" s="29" t="e">
        <f t="shared" ca="1" si="172"/>
        <v>#VALUE!</v>
      </c>
      <c r="AY355" s="72"/>
    </row>
    <row r="356" spans="13:51" s="11" customFormat="1" ht="15.6" customHeight="1" x14ac:dyDescent="0.3">
      <c r="M356" s="20">
        <f t="shared" si="173"/>
        <v>326</v>
      </c>
      <c r="N356" s="21">
        <f t="shared" si="174"/>
        <v>5.7050000000000178</v>
      </c>
      <c r="O356" s="22">
        <f t="shared" ca="1" si="146"/>
        <v>191.17166170809932</v>
      </c>
      <c r="P356" s="23">
        <f t="shared" ca="1" si="147"/>
        <v>-1</v>
      </c>
      <c r="Q356" s="22" t="e">
        <f t="shared" ca="1" si="148"/>
        <v>#VALUE!</v>
      </c>
      <c r="R356" s="23">
        <f t="shared" ca="1" si="149"/>
        <v>-1</v>
      </c>
      <c r="S356" s="24" t="e">
        <f t="shared" ca="1" si="150"/>
        <v>#VALUE!</v>
      </c>
      <c r="T356" s="23">
        <f t="shared" ca="1" si="151"/>
        <v>-1</v>
      </c>
      <c r="U356" s="112">
        <f t="shared" si="162"/>
        <v>1.2103160710606565E-2</v>
      </c>
      <c r="V356" s="109">
        <f t="shared" si="163"/>
        <v>-1.2103160710606565E-2</v>
      </c>
      <c r="W356" s="112">
        <f t="shared" si="164"/>
        <v>1.2103160710606565E-2</v>
      </c>
      <c r="X356" s="113">
        <f t="shared" si="165"/>
        <v>-1.2103160710606565E-2</v>
      </c>
      <c r="Y356" s="32"/>
      <c r="Z356" s="32"/>
      <c r="AA356" s="32"/>
      <c r="AB356" s="32"/>
      <c r="AC356" s="32"/>
      <c r="AD356" s="32"/>
      <c r="AE356" s="32"/>
      <c r="AG356" s="26">
        <f t="shared" si="152"/>
        <v>0</v>
      </c>
      <c r="AH356" s="27">
        <f t="shared" si="153"/>
        <v>3.0338124849609446E-2</v>
      </c>
      <c r="AI356" s="28">
        <f t="shared" si="166"/>
        <v>1.2103160710606565E-2</v>
      </c>
      <c r="AJ356" s="27">
        <f t="shared" si="154"/>
        <v>1.2103160710606565E-2</v>
      </c>
      <c r="AK356" s="28">
        <f t="shared" si="155"/>
        <v>1.0134468364715612E-3</v>
      </c>
      <c r="AL356" s="27">
        <f t="shared" si="156"/>
        <v>1.2103160710606565E-2</v>
      </c>
      <c r="AM356" s="28">
        <f t="shared" si="167"/>
        <v>2.6558345460906185E-2</v>
      </c>
      <c r="AN356" s="27">
        <f t="shared" si="168"/>
        <v>-1.2103160710606565E-2</v>
      </c>
      <c r="AO356" s="28">
        <f t="shared" si="157"/>
        <v>-1.2103160710606565E-2</v>
      </c>
      <c r="AP356" s="27">
        <f t="shared" si="158"/>
        <v>-1.0134468364715612E-3</v>
      </c>
      <c r="AQ356" s="29">
        <f t="shared" si="159"/>
        <v>-1.2103160710606565E-2</v>
      </c>
      <c r="AS356" s="30">
        <f t="shared" si="160"/>
        <v>0.84269515971686737</v>
      </c>
      <c r="AT356" s="21">
        <f t="shared" si="161"/>
        <v>1.2701672475674775</v>
      </c>
      <c r="AU356" s="31">
        <f t="shared" ca="1" si="169"/>
        <v>5.7511066796067656E-4</v>
      </c>
      <c r="AV356" s="109">
        <f t="shared" ca="1" si="170"/>
        <v>5.769953522992699E-4</v>
      </c>
      <c r="AW356" s="27" t="e">
        <f t="shared" ca="1" si="171"/>
        <v>#VALUE!</v>
      </c>
      <c r="AX356" s="29" t="e">
        <f t="shared" ca="1" si="172"/>
        <v>#VALUE!</v>
      </c>
      <c r="AY356" s="72"/>
    </row>
    <row r="357" spans="13:51" s="11" customFormat="1" ht="15.6" customHeight="1" x14ac:dyDescent="0.3">
      <c r="M357" s="20">
        <f t="shared" si="173"/>
        <v>327</v>
      </c>
      <c r="N357" s="21">
        <f t="shared" si="174"/>
        <v>5.7225000000000179</v>
      </c>
      <c r="O357" s="22">
        <f t="shared" ca="1" si="146"/>
        <v>191.31020320067114</v>
      </c>
      <c r="P357" s="23">
        <f t="shared" ca="1" si="147"/>
        <v>-1</v>
      </c>
      <c r="Q357" s="22" t="e">
        <f t="shared" ca="1" si="148"/>
        <v>#VALUE!</v>
      </c>
      <c r="R357" s="23">
        <f t="shared" ca="1" si="149"/>
        <v>-1</v>
      </c>
      <c r="S357" s="24" t="e">
        <f t="shared" ca="1" si="150"/>
        <v>#VALUE!</v>
      </c>
      <c r="T357" s="23">
        <f t="shared" ca="1" si="151"/>
        <v>-1</v>
      </c>
      <c r="U357" s="112">
        <f t="shared" si="162"/>
        <v>1.1961021909286931E-2</v>
      </c>
      <c r="V357" s="109">
        <f t="shared" si="163"/>
        <v>-1.1961021909286931E-2</v>
      </c>
      <c r="W357" s="112">
        <f t="shared" si="164"/>
        <v>1.1961021909286931E-2</v>
      </c>
      <c r="X357" s="113">
        <f t="shared" si="165"/>
        <v>-1.1961021909286931E-2</v>
      </c>
      <c r="Y357" s="32"/>
      <c r="Z357" s="32"/>
      <c r="AA357" s="32"/>
      <c r="AB357" s="32"/>
      <c r="AC357" s="32"/>
      <c r="AD357" s="32"/>
      <c r="AE357" s="32"/>
      <c r="AG357" s="26">
        <f t="shared" si="152"/>
        <v>0</v>
      </c>
      <c r="AH357" s="27">
        <f t="shared" si="153"/>
        <v>2.9981835711299493E-2</v>
      </c>
      <c r="AI357" s="28">
        <f t="shared" si="166"/>
        <v>1.1961021909286931E-2</v>
      </c>
      <c r="AJ357" s="27">
        <f t="shared" si="154"/>
        <v>1.1961021909286931E-2</v>
      </c>
      <c r="AK357" s="28">
        <f t="shared" si="155"/>
        <v>1.0000123900130351E-3</v>
      </c>
      <c r="AL357" s="27">
        <f t="shared" si="156"/>
        <v>1.1961021909286931E-2</v>
      </c>
      <c r="AM357" s="28">
        <f t="shared" si="167"/>
        <v>2.6558345460906185E-2</v>
      </c>
      <c r="AN357" s="27">
        <f t="shared" si="168"/>
        <v>-1.1961021909286931E-2</v>
      </c>
      <c r="AO357" s="28">
        <f t="shared" si="157"/>
        <v>-1.1961021909286931E-2</v>
      </c>
      <c r="AP357" s="27">
        <f t="shared" si="158"/>
        <v>-1.0000123900130351E-3</v>
      </c>
      <c r="AQ357" s="29">
        <f t="shared" si="159"/>
        <v>-1.1961021909286931E-2</v>
      </c>
      <c r="AS357" s="30">
        <f t="shared" si="160"/>
        <v>0.84225286087162199</v>
      </c>
      <c r="AT357" s="21">
        <f t="shared" si="161"/>
        <v>1.2533296658939985</v>
      </c>
      <c r="AU357" s="31">
        <f t="shared" ca="1" si="169"/>
        <v>5.7488242153214131E-4</v>
      </c>
      <c r="AV357" s="109">
        <f t="shared" ca="1" si="170"/>
        <v>5.7676396474692915E-4</v>
      </c>
      <c r="AW357" s="27" t="e">
        <f t="shared" ca="1" si="171"/>
        <v>#VALUE!</v>
      </c>
      <c r="AX357" s="29" t="e">
        <f t="shared" ca="1" si="172"/>
        <v>#VALUE!</v>
      </c>
      <c r="AY357" s="72"/>
    </row>
    <row r="358" spans="13:51" s="11" customFormat="1" ht="15.6" customHeight="1" x14ac:dyDescent="0.3">
      <c r="M358" s="20">
        <f t="shared" si="173"/>
        <v>328</v>
      </c>
      <c r="N358" s="21">
        <f t="shared" si="174"/>
        <v>5.740000000000018</v>
      </c>
      <c r="O358" s="22">
        <f t="shared" ca="1" si="146"/>
        <v>191.44808702239749</v>
      </c>
      <c r="P358" s="23">
        <f t="shared" ca="1" si="147"/>
        <v>-1</v>
      </c>
      <c r="Q358" s="22" t="e">
        <f t="shared" ca="1" si="148"/>
        <v>#VALUE!</v>
      </c>
      <c r="R358" s="23">
        <f t="shared" ca="1" si="149"/>
        <v>-1</v>
      </c>
      <c r="S358" s="24" t="e">
        <f t="shared" ca="1" si="150"/>
        <v>#VALUE!</v>
      </c>
      <c r="T358" s="23">
        <f t="shared" ca="1" si="151"/>
        <v>-1</v>
      </c>
      <c r="U358" s="112">
        <f t="shared" si="162"/>
        <v>1.1818279230566249E-2</v>
      </c>
      <c r="V358" s="109">
        <f t="shared" si="163"/>
        <v>-1.1818279230566249E-2</v>
      </c>
      <c r="W358" s="112">
        <f t="shared" si="164"/>
        <v>1.1818279230566249E-2</v>
      </c>
      <c r="X358" s="113">
        <f t="shared" si="165"/>
        <v>-1.1818279230566249E-2</v>
      </c>
      <c r="Y358" s="32"/>
      <c r="Z358" s="32"/>
      <c r="AA358" s="32"/>
      <c r="AB358" s="32"/>
      <c r="AC358" s="32"/>
      <c r="AD358" s="32"/>
      <c r="AE358" s="32"/>
      <c r="AG358" s="26">
        <f t="shared" si="152"/>
        <v>0</v>
      </c>
      <c r="AH358" s="27">
        <f t="shared" si="153"/>
        <v>2.9624032876821662E-2</v>
      </c>
      <c r="AI358" s="28">
        <f t="shared" si="166"/>
        <v>1.1818279230566249E-2</v>
      </c>
      <c r="AJ358" s="27">
        <f t="shared" si="154"/>
        <v>1.1818279230566249E-2</v>
      </c>
      <c r="AK358" s="28">
        <f t="shared" si="155"/>
        <v>9.8657088861835987E-4</v>
      </c>
      <c r="AL358" s="27">
        <f t="shared" si="156"/>
        <v>1.1818279230566249E-2</v>
      </c>
      <c r="AM358" s="28">
        <f t="shared" si="167"/>
        <v>2.6558345460906185E-2</v>
      </c>
      <c r="AN358" s="27">
        <f t="shared" si="168"/>
        <v>-1.1818279230566249E-2</v>
      </c>
      <c r="AO358" s="28">
        <f t="shared" si="157"/>
        <v>-1.1818279230566249E-2</v>
      </c>
      <c r="AP358" s="27">
        <f t="shared" si="158"/>
        <v>-9.8657088861836008E-4</v>
      </c>
      <c r="AQ358" s="29">
        <f t="shared" si="159"/>
        <v>-1.1818279230566249E-2</v>
      </c>
      <c r="AS358" s="30">
        <f t="shared" si="160"/>
        <v>0.84181079417232663</v>
      </c>
      <c r="AT358" s="21">
        <f t="shared" si="161"/>
        <v>1.2364832421693062</v>
      </c>
      <c r="AU358" s="31">
        <f t="shared" ca="1" si="169"/>
        <v>5.7463508348232217E-4</v>
      </c>
      <c r="AV358" s="109">
        <f t="shared" ca="1" si="170"/>
        <v>5.7651350583876049E-4</v>
      </c>
      <c r="AW358" s="27" t="e">
        <f t="shared" ca="1" si="171"/>
        <v>#VALUE!</v>
      </c>
      <c r="AX358" s="29" t="e">
        <f t="shared" ca="1" si="172"/>
        <v>#VALUE!</v>
      </c>
      <c r="AY358" s="72"/>
    </row>
    <row r="359" spans="13:51" s="11" customFormat="1" ht="15.6" customHeight="1" x14ac:dyDescent="0.3">
      <c r="M359" s="20">
        <f t="shared" si="173"/>
        <v>329</v>
      </c>
      <c r="N359" s="21">
        <f t="shared" si="174"/>
        <v>5.757500000000018</v>
      </c>
      <c r="O359" s="22">
        <f t="shared" ca="1" si="146"/>
        <v>191.58534084549919</v>
      </c>
      <c r="P359" s="23">
        <f t="shared" ca="1" si="147"/>
        <v>-1</v>
      </c>
      <c r="Q359" s="22" t="e">
        <f t="shared" ca="1" si="148"/>
        <v>#VALUE!</v>
      </c>
      <c r="R359" s="23">
        <f t="shared" ca="1" si="149"/>
        <v>-1</v>
      </c>
      <c r="S359" s="24" t="e">
        <f t="shared" ca="1" si="150"/>
        <v>#VALUE!</v>
      </c>
      <c r="T359" s="23">
        <f t="shared" ca="1" si="151"/>
        <v>-1</v>
      </c>
      <c r="U359" s="112">
        <f t="shared" si="162"/>
        <v>1.1674933495226957E-2</v>
      </c>
      <c r="V359" s="109">
        <f t="shared" si="163"/>
        <v>-1.1674933495226957E-2</v>
      </c>
      <c r="W359" s="112">
        <f t="shared" si="164"/>
        <v>1.1674933495226957E-2</v>
      </c>
      <c r="X359" s="113">
        <f t="shared" si="165"/>
        <v>-1.1674933495226957E-2</v>
      </c>
      <c r="Y359" s="32"/>
      <c r="Z359" s="32"/>
      <c r="AA359" s="32"/>
      <c r="AB359" s="32"/>
      <c r="AC359" s="32"/>
      <c r="AD359" s="32"/>
      <c r="AE359" s="32"/>
      <c r="AG359" s="26">
        <f t="shared" si="152"/>
        <v>0</v>
      </c>
      <c r="AH359" s="27">
        <f t="shared" si="153"/>
        <v>2.9264718403572421E-2</v>
      </c>
      <c r="AI359" s="28">
        <f t="shared" si="166"/>
        <v>1.1674933495226957E-2</v>
      </c>
      <c r="AJ359" s="27">
        <f t="shared" si="154"/>
        <v>1.1674933495226957E-2</v>
      </c>
      <c r="AK359" s="28">
        <f t="shared" si="155"/>
        <v>9.7312232858272091E-4</v>
      </c>
      <c r="AL359" s="27">
        <f t="shared" si="156"/>
        <v>1.1674933495226957E-2</v>
      </c>
      <c r="AM359" s="28">
        <f t="shared" si="167"/>
        <v>2.6558345460906185E-2</v>
      </c>
      <c r="AN359" s="27">
        <f t="shared" si="168"/>
        <v>-1.1674933495226957E-2</v>
      </c>
      <c r="AO359" s="28">
        <f t="shared" si="157"/>
        <v>-1.1674933495226957E-2</v>
      </c>
      <c r="AP359" s="27">
        <f t="shared" si="158"/>
        <v>-9.7312232858272091E-4</v>
      </c>
      <c r="AQ359" s="29">
        <f t="shared" si="159"/>
        <v>-1.1674933495226957E-2</v>
      </c>
      <c r="AS359" s="30">
        <f t="shared" si="160"/>
        <v>0.84136895949713675</v>
      </c>
      <c r="AT359" s="21">
        <f t="shared" si="161"/>
        <v>1.2196279717501035</v>
      </c>
      <c r="AU359" s="31">
        <f t="shared" ca="1" si="169"/>
        <v>5.744050166950343E-4</v>
      </c>
      <c r="AV359" s="109">
        <f t="shared" ca="1" si="170"/>
        <v>5.7628030380452167E-4</v>
      </c>
      <c r="AW359" s="27" t="e">
        <f t="shared" ca="1" si="171"/>
        <v>#VALUE!</v>
      </c>
      <c r="AX359" s="29" t="e">
        <f t="shared" ca="1" si="172"/>
        <v>#VALUE!</v>
      </c>
      <c r="AY359" s="72"/>
    </row>
    <row r="360" spans="13:51" s="11" customFormat="1" ht="15.6" customHeight="1" x14ac:dyDescent="0.3">
      <c r="M360" s="20">
        <f t="shared" si="173"/>
        <v>330</v>
      </c>
      <c r="N360" s="21">
        <f t="shared" si="174"/>
        <v>5.7750000000000181</v>
      </c>
      <c r="O360" s="22">
        <f t="shared" ca="1" si="146"/>
        <v>191.72196946845193</v>
      </c>
      <c r="P360" s="23">
        <f t="shared" ca="1" si="147"/>
        <v>-1</v>
      </c>
      <c r="Q360" s="22" t="e">
        <f t="shared" ca="1" si="148"/>
        <v>#VALUE!</v>
      </c>
      <c r="R360" s="23">
        <f t="shared" ca="1" si="149"/>
        <v>-1</v>
      </c>
      <c r="S360" s="24" t="e">
        <f t="shared" ca="1" si="150"/>
        <v>#VALUE!</v>
      </c>
      <c r="T360" s="23">
        <f t="shared" ca="1" si="151"/>
        <v>-1</v>
      </c>
      <c r="U360" s="112">
        <f t="shared" si="162"/>
        <v>1.1530985517132736E-2</v>
      </c>
      <c r="V360" s="109">
        <f t="shared" si="163"/>
        <v>-1.1530985517132736E-2</v>
      </c>
      <c r="W360" s="112">
        <f t="shared" si="164"/>
        <v>1.1530985517132736E-2</v>
      </c>
      <c r="X360" s="113">
        <f t="shared" si="165"/>
        <v>-1.1530985517132736E-2</v>
      </c>
      <c r="Y360" s="32"/>
      <c r="Z360" s="32"/>
      <c r="AA360" s="32"/>
      <c r="AB360" s="32"/>
      <c r="AC360" s="32"/>
      <c r="AD360" s="32"/>
      <c r="AE360" s="32"/>
      <c r="AG360" s="26">
        <f t="shared" si="152"/>
        <v>0</v>
      </c>
      <c r="AH360" s="27">
        <f t="shared" si="153"/>
        <v>2.8903894331605486E-2</v>
      </c>
      <c r="AI360" s="28">
        <f t="shared" si="166"/>
        <v>1.1530985517132736E-2</v>
      </c>
      <c r="AJ360" s="27">
        <f t="shared" si="154"/>
        <v>1.1530985517132736E-2</v>
      </c>
      <c r="AK360" s="28">
        <f t="shared" si="155"/>
        <v>9.5966670619936024E-4</v>
      </c>
      <c r="AL360" s="27">
        <f t="shared" si="156"/>
        <v>1.1530985517132736E-2</v>
      </c>
      <c r="AM360" s="28">
        <f t="shared" si="167"/>
        <v>2.6558345460906185E-2</v>
      </c>
      <c r="AN360" s="27">
        <f t="shared" si="168"/>
        <v>-1.1530985517132736E-2</v>
      </c>
      <c r="AO360" s="28">
        <f t="shared" si="157"/>
        <v>-1.1530985517132736E-2</v>
      </c>
      <c r="AP360" s="27">
        <f t="shared" si="158"/>
        <v>-9.5966670619936035E-4</v>
      </c>
      <c r="AQ360" s="29">
        <f t="shared" si="159"/>
        <v>-1.1530985517132736E-2</v>
      </c>
      <c r="AS360" s="30">
        <f t="shared" si="160"/>
        <v>0.84092735672427177</v>
      </c>
      <c r="AT360" s="21">
        <f t="shared" si="161"/>
        <v>1.2027638499906588</v>
      </c>
      <c r="AU360" s="31">
        <f t="shared" ca="1" si="169"/>
        <v>5.7417413586657862E-4</v>
      </c>
      <c r="AV360" s="109">
        <f t="shared" ca="1" si="170"/>
        <v>5.7604629053820133E-4</v>
      </c>
      <c r="AW360" s="27" t="e">
        <f t="shared" ca="1" si="171"/>
        <v>#VALUE!</v>
      </c>
      <c r="AX360" s="29" t="e">
        <f t="shared" ca="1" si="172"/>
        <v>#VALUE!</v>
      </c>
      <c r="AY360" s="72"/>
    </row>
    <row r="361" spans="13:51" s="11" customFormat="1" ht="15.6" customHeight="1" x14ac:dyDescent="0.3">
      <c r="M361" s="20">
        <f t="shared" si="173"/>
        <v>331</v>
      </c>
      <c r="N361" s="21">
        <f t="shared" si="174"/>
        <v>5.7925000000000182</v>
      </c>
      <c r="O361" s="22">
        <f t="shared" ca="1" si="146"/>
        <v>191.85796247550599</v>
      </c>
      <c r="P361" s="23">
        <f t="shared" ca="1" si="147"/>
        <v>-1</v>
      </c>
      <c r="Q361" s="22" t="e">
        <f t="shared" ca="1" si="148"/>
        <v>#VALUE!</v>
      </c>
      <c r="R361" s="23">
        <f t="shared" ca="1" si="149"/>
        <v>-1</v>
      </c>
      <c r="S361" s="24" t="e">
        <f t="shared" ca="1" si="150"/>
        <v>#VALUE!</v>
      </c>
      <c r="T361" s="23">
        <f t="shared" ca="1" si="151"/>
        <v>-1</v>
      </c>
      <c r="U361" s="112">
        <f t="shared" si="162"/>
        <v>1.1386436103295329E-2</v>
      </c>
      <c r="V361" s="109">
        <f t="shared" si="163"/>
        <v>-1.1386436103295329E-2</v>
      </c>
      <c r="W361" s="112">
        <f t="shared" si="164"/>
        <v>1.1386436103295329E-2</v>
      </c>
      <c r="X361" s="113">
        <f t="shared" si="165"/>
        <v>-1.1386436103295329E-2</v>
      </c>
      <c r="Y361" s="32"/>
      <c r="Z361" s="32"/>
      <c r="AA361" s="32"/>
      <c r="AB361" s="32"/>
      <c r="AC361" s="32"/>
      <c r="AD361" s="32"/>
      <c r="AE361" s="32"/>
      <c r="AG361" s="26">
        <f t="shared" si="152"/>
        <v>0</v>
      </c>
      <c r="AH361" s="27">
        <f t="shared" si="153"/>
        <v>2.8541562683799301E-2</v>
      </c>
      <c r="AI361" s="28">
        <f t="shared" si="166"/>
        <v>1.1386436103295329E-2</v>
      </c>
      <c r="AJ361" s="27">
        <f t="shared" si="154"/>
        <v>1.1386436103295329E-2</v>
      </c>
      <c r="AK361" s="28">
        <f t="shared" si="155"/>
        <v>9.4620401775957134E-4</v>
      </c>
      <c r="AL361" s="27">
        <f t="shared" si="156"/>
        <v>1.1386436103295329E-2</v>
      </c>
      <c r="AM361" s="28">
        <f t="shared" si="167"/>
        <v>2.6558345460906185E-2</v>
      </c>
      <c r="AN361" s="27">
        <f t="shared" si="168"/>
        <v>-1.1386436103295329E-2</v>
      </c>
      <c r="AO361" s="28">
        <f t="shared" si="157"/>
        <v>-1.1386436103295329E-2</v>
      </c>
      <c r="AP361" s="27">
        <f t="shared" si="158"/>
        <v>-9.4620401775957134E-4</v>
      </c>
      <c r="AQ361" s="29">
        <f t="shared" si="159"/>
        <v>-1.1386436103295329E-2</v>
      </c>
      <c r="AS361" s="30">
        <f t="shared" si="160"/>
        <v>0.84048598573201472</v>
      </c>
      <c r="AT361" s="21">
        <f t="shared" si="161"/>
        <v>1.1858908722427972</v>
      </c>
      <c r="AU361" s="31">
        <f t="shared" ca="1" si="169"/>
        <v>5.7393028515817512E-4</v>
      </c>
      <c r="AV361" s="109">
        <f t="shared" ca="1" si="170"/>
        <v>5.7579932194029571E-4</v>
      </c>
      <c r="AW361" s="27" t="e">
        <f t="shared" ca="1" si="171"/>
        <v>#VALUE!</v>
      </c>
      <c r="AX361" s="29" t="e">
        <f t="shared" ca="1" si="172"/>
        <v>#VALUE!</v>
      </c>
      <c r="AY361" s="72"/>
    </row>
    <row r="362" spans="13:51" s="11" customFormat="1" ht="15.6" customHeight="1" x14ac:dyDescent="0.3">
      <c r="M362" s="20">
        <f t="shared" si="173"/>
        <v>332</v>
      </c>
      <c r="N362" s="21">
        <f t="shared" si="174"/>
        <v>5.8100000000000183</v>
      </c>
      <c r="O362" s="22">
        <f t="shared" ca="1" si="146"/>
        <v>191.99333991361712</v>
      </c>
      <c r="P362" s="23">
        <f t="shared" ca="1" si="147"/>
        <v>-1</v>
      </c>
      <c r="Q362" s="22" t="e">
        <f t="shared" ca="1" si="148"/>
        <v>#VALUE!</v>
      </c>
      <c r="R362" s="23">
        <f t="shared" ca="1" si="149"/>
        <v>-1</v>
      </c>
      <c r="S362" s="24" t="e">
        <f t="shared" ca="1" si="150"/>
        <v>#VALUE!</v>
      </c>
      <c r="T362" s="23">
        <f t="shared" ca="1" si="151"/>
        <v>-1</v>
      </c>
      <c r="U362" s="112">
        <f t="shared" si="162"/>
        <v>1.1241286053940525E-2</v>
      </c>
      <c r="V362" s="109">
        <f t="shared" si="163"/>
        <v>-1.1241286053940525E-2</v>
      </c>
      <c r="W362" s="112">
        <f t="shared" si="164"/>
        <v>1.1241286053940525E-2</v>
      </c>
      <c r="X362" s="113">
        <f t="shared" si="165"/>
        <v>-1.1241286053940525E-2</v>
      </c>
      <c r="Y362" s="32"/>
      <c r="Z362" s="32"/>
      <c r="AA362" s="32"/>
      <c r="AB362" s="32"/>
      <c r="AC362" s="32"/>
      <c r="AD362" s="32"/>
      <c r="AE362" s="32"/>
      <c r="AG362" s="26">
        <f t="shared" si="152"/>
        <v>0</v>
      </c>
      <c r="AH362" s="27">
        <f t="shared" si="153"/>
        <v>2.8177725466022464E-2</v>
      </c>
      <c r="AI362" s="28">
        <f t="shared" si="166"/>
        <v>1.1241286053940525E-2</v>
      </c>
      <c r="AJ362" s="27">
        <f t="shared" si="154"/>
        <v>1.1241286053940525E-2</v>
      </c>
      <c r="AK362" s="28">
        <f t="shared" si="155"/>
        <v>9.3273425955269851E-4</v>
      </c>
      <c r="AL362" s="27">
        <f t="shared" si="156"/>
        <v>1.1241286053940525E-2</v>
      </c>
      <c r="AM362" s="28">
        <f t="shared" si="167"/>
        <v>2.6558345460906185E-2</v>
      </c>
      <c r="AN362" s="27">
        <f t="shared" si="168"/>
        <v>-1.1241286053940525E-2</v>
      </c>
      <c r="AO362" s="28">
        <f t="shared" si="157"/>
        <v>-1.1241286053940525E-2</v>
      </c>
      <c r="AP362" s="27">
        <f t="shared" si="158"/>
        <v>-9.3273425955269851E-4</v>
      </c>
      <c r="AQ362" s="29">
        <f t="shared" si="159"/>
        <v>-1.1241286053940525E-2</v>
      </c>
      <c r="AS362" s="30">
        <f t="shared" si="160"/>
        <v>0.8400448463987128</v>
      </c>
      <c r="AT362" s="21">
        <f t="shared" si="161"/>
        <v>1.169009033855902</v>
      </c>
      <c r="AU362" s="31">
        <f t="shared" ca="1" si="169"/>
        <v>5.7369789305516949E-4</v>
      </c>
      <c r="AV362" s="109">
        <f t="shared" ca="1" si="170"/>
        <v>5.7556380300338716E-4</v>
      </c>
      <c r="AW362" s="27" t="e">
        <f t="shared" ca="1" si="171"/>
        <v>#VALUE!</v>
      </c>
      <c r="AX362" s="29" t="e">
        <f t="shared" ca="1" si="172"/>
        <v>#VALUE!</v>
      </c>
      <c r="AY362" s="72"/>
    </row>
    <row r="363" spans="13:51" s="11" customFormat="1" ht="15.6" customHeight="1" x14ac:dyDescent="0.3">
      <c r="M363" s="20">
        <f t="shared" si="173"/>
        <v>333</v>
      </c>
      <c r="N363" s="21">
        <f t="shared" si="174"/>
        <v>5.8275000000000183</v>
      </c>
      <c r="O363" s="22">
        <f t="shared" ca="1" si="146"/>
        <v>192.12809135309837</v>
      </c>
      <c r="P363" s="23">
        <f t="shared" ca="1" si="147"/>
        <v>-1</v>
      </c>
      <c r="Q363" s="22" t="e">
        <f t="shared" ca="1" si="148"/>
        <v>#VALUE!</v>
      </c>
      <c r="R363" s="23">
        <f t="shared" ca="1" si="149"/>
        <v>-1</v>
      </c>
      <c r="S363" s="24" t="e">
        <f t="shared" ca="1" si="150"/>
        <v>#VALUE!</v>
      </c>
      <c r="T363" s="23">
        <f t="shared" ca="1" si="151"/>
        <v>-1</v>
      </c>
      <c r="U363" s="112">
        <f t="shared" si="162"/>
        <v>1.1095536162573399E-2</v>
      </c>
      <c r="V363" s="109">
        <f t="shared" si="163"/>
        <v>-1.1095536162573399E-2</v>
      </c>
      <c r="W363" s="112">
        <f t="shared" si="164"/>
        <v>1.1095536162573399E-2</v>
      </c>
      <c r="X363" s="113">
        <f t="shared" si="165"/>
        <v>-1.1095536162573399E-2</v>
      </c>
      <c r="Y363" s="32"/>
      <c r="Z363" s="32"/>
      <c r="AA363" s="32"/>
      <c r="AB363" s="32"/>
      <c r="AC363" s="32"/>
      <c r="AD363" s="32"/>
      <c r="AE363" s="32"/>
      <c r="AG363" s="26">
        <f t="shared" si="152"/>
        <v>0</v>
      </c>
      <c r="AH363" s="27">
        <f t="shared" si="153"/>
        <v>2.781238466729723E-2</v>
      </c>
      <c r="AI363" s="28">
        <f t="shared" si="166"/>
        <v>1.1095536162573399E-2</v>
      </c>
      <c r="AJ363" s="27">
        <f t="shared" si="154"/>
        <v>1.1095536162573399E-2</v>
      </c>
      <c r="AK363" s="28">
        <f t="shared" si="155"/>
        <v>9.1925742786614338E-4</v>
      </c>
      <c r="AL363" s="27">
        <f t="shared" si="156"/>
        <v>1.1095536162573399E-2</v>
      </c>
      <c r="AM363" s="28">
        <f t="shared" si="167"/>
        <v>2.6558345460906185E-2</v>
      </c>
      <c r="AN363" s="27">
        <f t="shared" si="168"/>
        <v>-1.1095536162573399E-2</v>
      </c>
      <c r="AO363" s="28">
        <f t="shared" si="157"/>
        <v>-1.1095536162573399E-2</v>
      </c>
      <c r="AP363" s="27">
        <f t="shared" si="158"/>
        <v>-9.1925742786614338E-4</v>
      </c>
      <c r="AQ363" s="29">
        <f t="shared" si="159"/>
        <v>-1.1095536162573399E-2</v>
      </c>
      <c r="AS363" s="30">
        <f t="shared" si="160"/>
        <v>0.83960393860277704</v>
      </c>
      <c r="AT363" s="21">
        <f t="shared" si="161"/>
        <v>1.1521183301769211</v>
      </c>
      <c r="AU363" s="31">
        <f t="shared" ca="1" si="169"/>
        <v>5.7345256040464143E-4</v>
      </c>
      <c r="AV363" s="109">
        <f t="shared" ca="1" si="170"/>
        <v>5.7531535812782586E-4</v>
      </c>
      <c r="AW363" s="27" t="e">
        <f t="shared" ca="1" si="171"/>
        <v>#VALUE!</v>
      </c>
      <c r="AX363" s="29" t="e">
        <f t="shared" ca="1" si="172"/>
        <v>#VALUE!</v>
      </c>
      <c r="AY363" s="72"/>
    </row>
    <row r="364" spans="13:51" s="11" customFormat="1" ht="15.6" customHeight="1" x14ac:dyDescent="0.3">
      <c r="M364" s="20">
        <f t="shared" si="173"/>
        <v>334</v>
      </c>
      <c r="N364" s="21">
        <f t="shared" si="174"/>
        <v>5.8450000000000184</v>
      </c>
      <c r="O364" s="22">
        <f t="shared" ca="1" si="146"/>
        <v>192.26222159590978</v>
      </c>
      <c r="P364" s="23">
        <f t="shared" ca="1" si="147"/>
        <v>-1</v>
      </c>
      <c r="Q364" s="22" t="e">
        <f t="shared" ca="1" si="148"/>
        <v>#VALUE!</v>
      </c>
      <c r="R364" s="23">
        <f t="shared" ca="1" si="149"/>
        <v>-1</v>
      </c>
      <c r="S364" s="24" t="e">
        <f t="shared" ca="1" si="150"/>
        <v>#VALUE!</v>
      </c>
      <c r="T364" s="23">
        <f t="shared" ca="1" si="151"/>
        <v>-1</v>
      </c>
      <c r="U364" s="112">
        <f t="shared" si="162"/>
        <v>1.0949187216042456E-2</v>
      </c>
      <c r="V364" s="109">
        <f t="shared" si="163"/>
        <v>-1.0949187216042456E-2</v>
      </c>
      <c r="W364" s="112">
        <f t="shared" si="164"/>
        <v>1.0949187216042456E-2</v>
      </c>
      <c r="X364" s="113">
        <f t="shared" si="165"/>
        <v>-1.0949187216042456E-2</v>
      </c>
      <c r="Y364" s="32"/>
      <c r="Z364" s="32"/>
      <c r="AA364" s="32"/>
      <c r="AB364" s="32"/>
      <c r="AC364" s="32"/>
      <c r="AD364" s="32"/>
      <c r="AE364" s="32"/>
      <c r="AG364" s="26">
        <f t="shared" si="152"/>
        <v>0</v>
      </c>
      <c r="AH364" s="27">
        <f t="shared" si="153"/>
        <v>2.7445542259960307E-2</v>
      </c>
      <c r="AI364" s="28">
        <f t="shared" si="166"/>
        <v>1.0949187216042456E-2</v>
      </c>
      <c r="AJ364" s="27">
        <f t="shared" si="154"/>
        <v>1.0949187216042456E-2</v>
      </c>
      <c r="AK364" s="28">
        <f t="shared" si="155"/>
        <v>9.0577351898535037E-4</v>
      </c>
      <c r="AL364" s="27">
        <f t="shared" si="156"/>
        <v>1.0949187216042456E-2</v>
      </c>
      <c r="AM364" s="28">
        <f t="shared" si="167"/>
        <v>2.6558345460906185E-2</v>
      </c>
      <c r="AN364" s="27">
        <f t="shared" si="168"/>
        <v>-1.0949187216042456E-2</v>
      </c>
      <c r="AO364" s="28">
        <f t="shared" si="157"/>
        <v>-1.0949187216042456E-2</v>
      </c>
      <c r="AP364" s="27">
        <f t="shared" si="158"/>
        <v>-9.0577351898535037E-4</v>
      </c>
      <c r="AQ364" s="29">
        <f t="shared" si="159"/>
        <v>-1.0949187216042456E-2</v>
      </c>
      <c r="AS364" s="30">
        <f t="shared" si="160"/>
        <v>0.83916326222268212</v>
      </c>
      <c r="AT364" s="21">
        <f t="shared" si="161"/>
        <v>1.1352187565503491</v>
      </c>
      <c r="AU364" s="31">
        <f t="shared" ca="1" si="169"/>
        <v>5.7320652585490794E-4</v>
      </c>
      <c r="AV364" s="109">
        <f t="shared" ca="1" si="170"/>
        <v>5.750662141953411E-4</v>
      </c>
      <c r="AW364" s="27" t="e">
        <f t="shared" ca="1" si="171"/>
        <v>#VALUE!</v>
      </c>
      <c r="AX364" s="29" t="e">
        <f t="shared" ca="1" si="172"/>
        <v>#VALUE!</v>
      </c>
      <c r="AY364" s="72"/>
    </row>
    <row r="365" spans="13:51" s="11" customFormat="1" ht="15.6" customHeight="1" x14ac:dyDescent="0.3">
      <c r="M365" s="20">
        <f t="shared" si="173"/>
        <v>335</v>
      </c>
      <c r="N365" s="21">
        <f t="shared" si="174"/>
        <v>5.8625000000000185</v>
      </c>
      <c r="O365" s="22">
        <f t="shared" ca="1" si="146"/>
        <v>192.39576597502545</v>
      </c>
      <c r="P365" s="23">
        <f t="shared" ca="1" si="147"/>
        <v>-1</v>
      </c>
      <c r="Q365" s="22" t="e">
        <f t="shared" ca="1" si="148"/>
        <v>#VALUE!</v>
      </c>
      <c r="R365" s="23">
        <f t="shared" ca="1" si="149"/>
        <v>-1</v>
      </c>
      <c r="S365" s="24" t="e">
        <f t="shared" ca="1" si="150"/>
        <v>#VALUE!</v>
      </c>
      <c r="T365" s="23">
        <f t="shared" ca="1" si="151"/>
        <v>-1</v>
      </c>
      <c r="U365" s="112">
        <f t="shared" si="162"/>
        <v>1.0802239994603245E-2</v>
      </c>
      <c r="V365" s="109">
        <f t="shared" si="163"/>
        <v>-1.0802239994603245E-2</v>
      </c>
      <c r="W365" s="112">
        <f t="shared" si="164"/>
        <v>1.0802239994603245E-2</v>
      </c>
      <c r="X365" s="113">
        <f t="shared" si="165"/>
        <v>-1.0802239994603245E-2</v>
      </c>
      <c r="Y365" s="32"/>
      <c r="Z365" s="32"/>
      <c r="AA365" s="32"/>
      <c r="AB365" s="32"/>
      <c r="AC365" s="32"/>
      <c r="AD365" s="32"/>
      <c r="AE365" s="32"/>
      <c r="AG365" s="26">
        <f t="shared" si="152"/>
        <v>0</v>
      </c>
      <c r="AH365" s="27">
        <f t="shared" si="153"/>
        <v>2.7077200199822318E-2</v>
      </c>
      <c r="AI365" s="28">
        <f t="shared" si="166"/>
        <v>1.0802239994603245E-2</v>
      </c>
      <c r="AJ365" s="27">
        <f t="shared" si="154"/>
        <v>1.0802239994603245E-2</v>
      </c>
      <c r="AK365" s="28">
        <f t="shared" si="155"/>
        <v>8.9228252919381712E-4</v>
      </c>
      <c r="AL365" s="27">
        <f t="shared" si="156"/>
        <v>1.0802239994603245E-2</v>
      </c>
      <c r="AM365" s="28">
        <f t="shared" si="167"/>
        <v>2.6558345460906185E-2</v>
      </c>
      <c r="AN365" s="27">
        <f t="shared" si="168"/>
        <v>-1.0802239994603245E-2</v>
      </c>
      <c r="AO365" s="28">
        <f t="shared" si="157"/>
        <v>-1.0802239994603245E-2</v>
      </c>
      <c r="AP365" s="27">
        <f t="shared" si="158"/>
        <v>-8.9228252919381712E-4</v>
      </c>
      <c r="AQ365" s="29">
        <f t="shared" si="159"/>
        <v>-1.0802239994603245E-2</v>
      </c>
      <c r="AS365" s="30">
        <f t="shared" si="160"/>
        <v>0.83872281713696661</v>
      </c>
      <c r="AT365" s="21">
        <f t="shared" si="161"/>
        <v>1.1183103083182415</v>
      </c>
      <c r="AU365" s="31">
        <f t="shared" ca="1" si="169"/>
        <v>5.7298455684118288E-4</v>
      </c>
      <c r="AV365" s="109">
        <f t="shared" ca="1" si="170"/>
        <v>5.7484111446193253E-4</v>
      </c>
      <c r="AW365" s="27" t="e">
        <f t="shared" ca="1" si="171"/>
        <v>#VALUE!</v>
      </c>
      <c r="AX365" s="29" t="e">
        <f t="shared" ca="1" si="172"/>
        <v>#VALUE!</v>
      </c>
      <c r="AY365" s="72"/>
    </row>
    <row r="366" spans="13:51" s="11" customFormat="1" ht="15.6" customHeight="1" x14ac:dyDescent="0.3">
      <c r="M366" s="20">
        <f t="shared" si="173"/>
        <v>336</v>
      </c>
      <c r="N366" s="21">
        <f t="shared" si="174"/>
        <v>5.8800000000000185</v>
      </c>
      <c r="O366" s="22">
        <f t="shared" ca="1" si="146"/>
        <v>192.52868352302639</v>
      </c>
      <c r="P366" s="23">
        <f t="shared" ca="1" si="147"/>
        <v>-1</v>
      </c>
      <c r="Q366" s="22" t="e">
        <f t="shared" ca="1" si="148"/>
        <v>#VALUE!</v>
      </c>
      <c r="R366" s="23">
        <f t="shared" ca="1" si="149"/>
        <v>-1</v>
      </c>
      <c r="S366" s="24" t="e">
        <f t="shared" ca="1" si="150"/>
        <v>#VALUE!</v>
      </c>
      <c r="T366" s="23">
        <f t="shared" ca="1" si="151"/>
        <v>-1</v>
      </c>
      <c r="U366" s="112">
        <f t="shared" si="162"/>
        <v>1.0654695271980997E-2</v>
      </c>
      <c r="V366" s="109">
        <f t="shared" si="163"/>
        <v>-1.0654695271980997E-2</v>
      </c>
      <c r="W366" s="112">
        <f t="shared" si="164"/>
        <v>1.0654695271980997E-2</v>
      </c>
      <c r="X366" s="113">
        <f t="shared" si="165"/>
        <v>-1.0654695271980997E-2</v>
      </c>
      <c r="Y366" s="32"/>
      <c r="Z366" s="32"/>
      <c r="AA366" s="32"/>
      <c r="AB366" s="32"/>
      <c r="AC366" s="32"/>
      <c r="AD366" s="32"/>
      <c r="AE366" s="32"/>
      <c r="AG366" s="26">
        <f t="shared" si="152"/>
        <v>0</v>
      </c>
      <c r="AH366" s="27">
        <f t="shared" si="153"/>
        <v>2.6707360426324805E-2</v>
      </c>
      <c r="AI366" s="28">
        <f t="shared" si="166"/>
        <v>1.0654695271980997E-2</v>
      </c>
      <c r="AJ366" s="27">
        <f t="shared" si="154"/>
        <v>1.0654695271980997E-2</v>
      </c>
      <c r="AK366" s="28">
        <f t="shared" si="155"/>
        <v>8.7878445477309307E-4</v>
      </c>
      <c r="AL366" s="27">
        <f t="shared" si="156"/>
        <v>1.0654695271980997E-2</v>
      </c>
      <c r="AM366" s="28">
        <f t="shared" si="167"/>
        <v>2.6558345460906185E-2</v>
      </c>
      <c r="AN366" s="27">
        <f t="shared" si="168"/>
        <v>-1.0654695271980997E-2</v>
      </c>
      <c r="AO366" s="28">
        <f t="shared" si="157"/>
        <v>-1.0654695271980997E-2</v>
      </c>
      <c r="AP366" s="27">
        <f t="shared" si="158"/>
        <v>-8.7878445477309328E-4</v>
      </c>
      <c r="AQ366" s="29">
        <f t="shared" si="159"/>
        <v>-1.0654695271980997E-2</v>
      </c>
      <c r="AS366" s="30">
        <f t="shared" si="160"/>
        <v>0.83828260322423298</v>
      </c>
      <c r="AT366" s="21">
        <f t="shared" si="161"/>
        <v>1.1013929808202114</v>
      </c>
      <c r="AU366" s="31">
        <f t="shared" ca="1" si="169"/>
        <v>5.7272501106875318E-4</v>
      </c>
      <c r="AV366" s="109">
        <f t="shared" ca="1" si="170"/>
        <v>5.7457847673192397E-4</v>
      </c>
      <c r="AW366" s="27" t="e">
        <f t="shared" ca="1" si="171"/>
        <v>#VALUE!</v>
      </c>
      <c r="AX366" s="29" t="e">
        <f t="shared" ca="1" si="172"/>
        <v>#VALUE!</v>
      </c>
      <c r="AY366" s="72"/>
    </row>
    <row r="367" spans="13:51" s="11" customFormat="1" ht="15.6" customHeight="1" x14ac:dyDescent="0.3">
      <c r="M367" s="20">
        <f t="shared" si="173"/>
        <v>337</v>
      </c>
      <c r="N367" s="21">
        <f t="shared" si="174"/>
        <v>5.8975000000000186</v>
      </c>
      <c r="O367" s="22">
        <f t="shared" ca="1" si="146"/>
        <v>192.66100956960295</v>
      </c>
      <c r="P367" s="23">
        <f t="shared" ca="1" si="147"/>
        <v>-1</v>
      </c>
      <c r="Q367" s="22" t="e">
        <f t="shared" ca="1" si="148"/>
        <v>#VALUE!</v>
      </c>
      <c r="R367" s="23">
        <f t="shared" ca="1" si="149"/>
        <v>-1</v>
      </c>
      <c r="S367" s="24" t="e">
        <f t="shared" ca="1" si="150"/>
        <v>#VALUE!</v>
      </c>
      <c r="T367" s="23">
        <f t="shared" ca="1" si="151"/>
        <v>-1</v>
      </c>
      <c r="U367" s="112">
        <f t="shared" si="162"/>
        <v>1.0506553815432381E-2</v>
      </c>
      <c r="V367" s="109">
        <f t="shared" si="163"/>
        <v>-1.0506553815432381E-2</v>
      </c>
      <c r="W367" s="112">
        <f t="shared" si="164"/>
        <v>1.0506553815432381E-2</v>
      </c>
      <c r="X367" s="113">
        <f t="shared" si="165"/>
        <v>-1.0506553815432381E-2</v>
      </c>
      <c r="Y367" s="32"/>
      <c r="Z367" s="32"/>
      <c r="AA367" s="32"/>
      <c r="AB367" s="32"/>
      <c r="AC367" s="32"/>
      <c r="AD367" s="32"/>
      <c r="AE367" s="32"/>
      <c r="AG367" s="26">
        <f t="shared" si="152"/>
        <v>0</v>
      </c>
      <c r="AH367" s="27">
        <f t="shared" si="153"/>
        <v>2.6336024862695023E-2</v>
      </c>
      <c r="AI367" s="28">
        <f t="shared" si="166"/>
        <v>1.0506553815432381E-2</v>
      </c>
      <c r="AJ367" s="27">
        <f t="shared" si="154"/>
        <v>1.0506553815432381E-2</v>
      </c>
      <c r="AK367" s="28">
        <f t="shared" si="155"/>
        <v>8.6527929200276685E-4</v>
      </c>
      <c r="AL367" s="27">
        <f t="shared" si="156"/>
        <v>1.0506553815432381E-2</v>
      </c>
      <c r="AM367" s="28">
        <f t="shared" si="167"/>
        <v>2.6558345460906185E-2</v>
      </c>
      <c r="AN367" s="27">
        <f t="shared" si="168"/>
        <v>-1.0506553815432381E-2</v>
      </c>
      <c r="AO367" s="28">
        <f t="shared" si="157"/>
        <v>-1.0506553815432381E-2</v>
      </c>
      <c r="AP367" s="27">
        <f t="shared" si="158"/>
        <v>-8.6527929200276685E-4</v>
      </c>
      <c r="AQ367" s="29">
        <f t="shared" si="159"/>
        <v>-1.0506553815432381E-2</v>
      </c>
      <c r="AS367" s="30">
        <f t="shared" si="160"/>
        <v>0.83784262036314716</v>
      </c>
      <c r="AT367" s="21">
        <f t="shared" si="161"/>
        <v>1.0844667693934145</v>
      </c>
      <c r="AU367" s="31">
        <f t="shared" ca="1" si="169"/>
        <v>5.7248965274481201E-4</v>
      </c>
      <c r="AV367" s="109">
        <f t="shared" ca="1" si="170"/>
        <v>5.743400049710301E-4</v>
      </c>
      <c r="AW367" s="27" t="e">
        <f t="shared" ca="1" si="171"/>
        <v>#VALUE!</v>
      </c>
      <c r="AX367" s="29" t="e">
        <f t="shared" ca="1" si="172"/>
        <v>#VALUE!</v>
      </c>
      <c r="AY367" s="72"/>
    </row>
    <row r="368" spans="13:51" s="11" customFormat="1" ht="15.6" customHeight="1" x14ac:dyDescent="0.3">
      <c r="M368" s="20">
        <f t="shared" si="173"/>
        <v>338</v>
      </c>
      <c r="N368" s="21">
        <f t="shared" si="174"/>
        <v>5.9150000000000187</v>
      </c>
      <c r="O368" s="22">
        <f t="shared" ca="1" si="146"/>
        <v>192.79274893970162</v>
      </c>
      <c r="P368" s="23">
        <f t="shared" ca="1" si="147"/>
        <v>-1</v>
      </c>
      <c r="Q368" s="22" t="e">
        <f t="shared" ca="1" si="148"/>
        <v>#VALUE!</v>
      </c>
      <c r="R368" s="23">
        <f t="shared" ca="1" si="149"/>
        <v>-1</v>
      </c>
      <c r="S368" s="24" t="e">
        <f t="shared" ca="1" si="150"/>
        <v>#VALUE!</v>
      </c>
      <c r="T368" s="23">
        <f t="shared" ca="1" si="151"/>
        <v>-1</v>
      </c>
      <c r="U368" s="112">
        <f t="shared" si="162"/>
        <v>1.0357816385806736E-2</v>
      </c>
      <c r="V368" s="109">
        <f t="shared" si="163"/>
        <v>-1.0357816385806736E-2</v>
      </c>
      <c r="W368" s="112">
        <f t="shared" si="164"/>
        <v>1.0357816385806736E-2</v>
      </c>
      <c r="X368" s="113">
        <f t="shared" si="165"/>
        <v>-1.0357816385806736E-2</v>
      </c>
      <c r="Y368" s="32"/>
      <c r="Z368" s="32"/>
      <c r="AA368" s="32"/>
      <c r="AB368" s="32"/>
      <c r="AC368" s="32"/>
      <c r="AD368" s="32"/>
      <c r="AE368" s="32"/>
      <c r="AG368" s="26">
        <f t="shared" si="152"/>
        <v>0</v>
      </c>
      <c r="AH368" s="27">
        <f t="shared" si="153"/>
        <v>2.5963195416099445E-2</v>
      </c>
      <c r="AI368" s="28">
        <f t="shared" si="166"/>
        <v>1.0357816385806736E-2</v>
      </c>
      <c r="AJ368" s="27">
        <f t="shared" si="154"/>
        <v>1.0357816385806736E-2</v>
      </c>
      <c r="AK368" s="28">
        <f t="shared" si="155"/>
        <v>8.5176703716048098E-4</v>
      </c>
      <c r="AL368" s="27">
        <f t="shared" si="156"/>
        <v>1.0357816385806736E-2</v>
      </c>
      <c r="AM368" s="28">
        <f t="shared" si="167"/>
        <v>2.6558345460906185E-2</v>
      </c>
      <c r="AN368" s="27">
        <f t="shared" si="168"/>
        <v>-1.0357816385806736E-2</v>
      </c>
      <c r="AO368" s="28">
        <f t="shared" si="157"/>
        <v>-1.0357816385806736E-2</v>
      </c>
      <c r="AP368" s="27">
        <f t="shared" si="158"/>
        <v>-8.5176703716048098E-4</v>
      </c>
      <c r="AQ368" s="29">
        <f t="shared" si="159"/>
        <v>-1.0357816385806736E-2</v>
      </c>
      <c r="AS368" s="30">
        <f t="shared" si="160"/>
        <v>0.83740286843243894</v>
      </c>
      <c r="AT368" s="21">
        <f t="shared" si="161"/>
        <v>1.0675316693725678</v>
      </c>
      <c r="AU368" s="31">
        <f t="shared" ca="1" si="169"/>
        <v>5.7225388863013649E-4</v>
      </c>
      <c r="AV368" s="109">
        <f t="shared" ca="1" si="170"/>
        <v>5.741011298915355E-4</v>
      </c>
      <c r="AW368" s="27" t="e">
        <f t="shared" ca="1" si="171"/>
        <v>#VALUE!</v>
      </c>
      <c r="AX368" s="29" t="e">
        <f t="shared" ca="1" si="172"/>
        <v>#VALUE!</v>
      </c>
      <c r="AY368" s="72"/>
    </row>
    <row r="369" spans="13:51" s="11" customFormat="1" ht="15.6" customHeight="1" x14ac:dyDescent="0.3">
      <c r="M369" s="20">
        <f t="shared" si="173"/>
        <v>339</v>
      </c>
      <c r="N369" s="21">
        <f t="shared" si="174"/>
        <v>5.9325000000000188</v>
      </c>
      <c r="O369" s="22">
        <f t="shared" ca="1" si="146"/>
        <v>192.92389116423004</v>
      </c>
      <c r="P369" s="23">
        <f t="shared" ca="1" si="147"/>
        <v>-1</v>
      </c>
      <c r="Q369" s="22" t="e">
        <f t="shared" ca="1" si="148"/>
        <v>#VALUE!</v>
      </c>
      <c r="R369" s="23">
        <f t="shared" ca="1" si="149"/>
        <v>-1</v>
      </c>
      <c r="S369" s="24" t="e">
        <f t="shared" ca="1" si="150"/>
        <v>#VALUE!</v>
      </c>
      <c r="T369" s="23">
        <f t="shared" ca="1" si="151"/>
        <v>-1</v>
      </c>
      <c r="U369" s="112">
        <f t="shared" si="162"/>
        <v>1.0208483737606277E-2</v>
      </c>
      <c r="V369" s="109">
        <f t="shared" si="163"/>
        <v>-1.0208483737606277E-2</v>
      </c>
      <c r="W369" s="112">
        <f t="shared" si="164"/>
        <v>1.0208483737606277E-2</v>
      </c>
      <c r="X369" s="113">
        <f t="shared" si="165"/>
        <v>-1.0208483737606277E-2</v>
      </c>
      <c r="Y369" s="32"/>
      <c r="Z369" s="32"/>
      <c r="AA369" s="32"/>
      <c r="AB369" s="32"/>
      <c r="AC369" s="32"/>
      <c r="AD369" s="32"/>
      <c r="AE369" s="32"/>
      <c r="AG369" s="26">
        <f t="shared" si="152"/>
        <v>0</v>
      </c>
      <c r="AH369" s="27">
        <f t="shared" si="153"/>
        <v>2.5588873977794649E-2</v>
      </c>
      <c r="AI369" s="28">
        <f t="shared" si="166"/>
        <v>1.0208483737606277E-2</v>
      </c>
      <c r="AJ369" s="27">
        <f t="shared" si="154"/>
        <v>1.0208483737606277E-2</v>
      </c>
      <c r="AK369" s="28">
        <f t="shared" si="155"/>
        <v>8.3824768652192088E-4</v>
      </c>
      <c r="AL369" s="27">
        <f t="shared" si="156"/>
        <v>1.0208483737606277E-2</v>
      </c>
      <c r="AM369" s="28">
        <f t="shared" si="167"/>
        <v>2.6558345460906185E-2</v>
      </c>
      <c r="AN369" s="27">
        <f t="shared" si="168"/>
        <v>-1.0208483737606277E-2</v>
      </c>
      <c r="AO369" s="28">
        <f t="shared" si="157"/>
        <v>-1.0208483737606277E-2</v>
      </c>
      <c r="AP369" s="27">
        <f t="shared" si="158"/>
        <v>-8.3824768652192088E-4</v>
      </c>
      <c r="AQ369" s="29">
        <f t="shared" si="159"/>
        <v>-1.0208483737606277E-2</v>
      </c>
      <c r="AS369" s="30">
        <f t="shared" si="160"/>
        <v>0.8369633473109015</v>
      </c>
      <c r="AT369" s="21">
        <f t="shared" si="161"/>
        <v>1.0505876760899351</v>
      </c>
      <c r="AU369" s="31">
        <f t="shared" ca="1" si="169"/>
        <v>5.7200527053602457E-4</v>
      </c>
      <c r="AV369" s="109">
        <f t="shared" ca="1" si="170"/>
        <v>5.7384941561122726E-4</v>
      </c>
      <c r="AW369" s="27" t="e">
        <f t="shared" ca="1" si="171"/>
        <v>#VALUE!</v>
      </c>
      <c r="AX369" s="29" t="e">
        <f t="shared" ca="1" si="172"/>
        <v>#VALUE!</v>
      </c>
      <c r="AY369" s="72"/>
    </row>
    <row r="370" spans="13:51" s="11" customFormat="1" ht="15.6" customHeight="1" x14ac:dyDescent="0.3">
      <c r="M370" s="20">
        <f t="shared" si="173"/>
        <v>340</v>
      </c>
      <c r="N370" s="21">
        <f t="shared" si="174"/>
        <v>5.9500000000000188</v>
      </c>
      <c r="O370" s="22">
        <f t="shared" ca="1" si="146"/>
        <v>193.05444106500138</v>
      </c>
      <c r="P370" s="23">
        <f t="shared" ca="1" si="147"/>
        <v>-1</v>
      </c>
      <c r="Q370" s="22" t="e">
        <f t="shared" ca="1" si="148"/>
        <v>#VALUE!</v>
      </c>
      <c r="R370" s="23">
        <f t="shared" ca="1" si="149"/>
        <v>-1</v>
      </c>
      <c r="S370" s="24" t="e">
        <f t="shared" ca="1" si="150"/>
        <v>#VALUE!</v>
      </c>
      <c r="T370" s="23">
        <f t="shared" ca="1" si="151"/>
        <v>-1</v>
      </c>
      <c r="U370" s="112">
        <f t="shared" si="162"/>
        <v>1.0058556619045601E-2</v>
      </c>
      <c r="V370" s="109">
        <f t="shared" si="163"/>
        <v>-1.0058556619045601E-2</v>
      </c>
      <c r="W370" s="112">
        <f t="shared" si="164"/>
        <v>1.0058556619045601E-2</v>
      </c>
      <c r="X370" s="113">
        <f t="shared" si="165"/>
        <v>-1.0058556619045601E-2</v>
      </c>
      <c r="Y370" s="32"/>
      <c r="Z370" s="32"/>
      <c r="AA370" s="32"/>
      <c r="AB370" s="32"/>
      <c r="AC370" s="32"/>
      <c r="AD370" s="32"/>
      <c r="AE370" s="32"/>
      <c r="AG370" s="26">
        <f t="shared" si="152"/>
        <v>0</v>
      </c>
      <c r="AH370" s="27">
        <f t="shared" si="153"/>
        <v>2.5213062423276502E-2</v>
      </c>
      <c r="AI370" s="28">
        <f t="shared" si="166"/>
        <v>1.0058556619045601E-2</v>
      </c>
      <c r="AJ370" s="27">
        <f t="shared" si="154"/>
        <v>1.0058556619045601E-2</v>
      </c>
      <c r="AK370" s="28">
        <f t="shared" si="155"/>
        <v>8.2472123636081356E-4</v>
      </c>
      <c r="AL370" s="27">
        <f t="shared" si="156"/>
        <v>1.0058556619045601E-2</v>
      </c>
      <c r="AM370" s="28">
        <f t="shared" si="167"/>
        <v>2.6558345460906185E-2</v>
      </c>
      <c r="AN370" s="27">
        <f t="shared" si="168"/>
        <v>-1.0058556619045601E-2</v>
      </c>
      <c r="AO370" s="28">
        <f t="shared" si="157"/>
        <v>-1.0058556619045601E-2</v>
      </c>
      <c r="AP370" s="27">
        <f t="shared" si="158"/>
        <v>-8.2472123636081356E-4</v>
      </c>
      <c r="AQ370" s="29">
        <f t="shared" si="159"/>
        <v>-1.0058556619045601E-2</v>
      </c>
      <c r="AS370" s="30">
        <f t="shared" si="160"/>
        <v>0.83652405687739206</v>
      </c>
      <c r="AT370" s="21">
        <f t="shared" si="161"/>
        <v>1.0336347848753258</v>
      </c>
      <c r="AU370" s="31">
        <f t="shared" ca="1" si="169"/>
        <v>5.7175625466043822E-4</v>
      </c>
      <c r="AV370" s="109">
        <f t="shared" ca="1" si="170"/>
        <v>5.7359730613137927E-4</v>
      </c>
      <c r="AW370" s="27" t="e">
        <f t="shared" ca="1" si="171"/>
        <v>#VALUE!</v>
      </c>
      <c r="AX370" s="29" t="e">
        <f t="shared" ca="1" si="172"/>
        <v>#VALUE!</v>
      </c>
      <c r="AY370" s="72"/>
    </row>
    <row r="371" spans="13:51" s="11" customFormat="1" ht="15.6" customHeight="1" x14ac:dyDescent="0.3">
      <c r="M371" s="20">
        <f t="shared" si="173"/>
        <v>341</v>
      </c>
      <c r="N371" s="21">
        <f t="shared" si="174"/>
        <v>5.9675000000000189</v>
      </c>
      <c r="O371" s="22">
        <f t="shared" ca="1" si="146"/>
        <v>193.1844339936396</v>
      </c>
      <c r="P371" s="23">
        <f t="shared" ca="1" si="147"/>
        <v>-1</v>
      </c>
      <c r="Q371" s="22" t="e">
        <f t="shared" ca="1" si="148"/>
        <v>#VALUE!</v>
      </c>
      <c r="R371" s="23">
        <f t="shared" ca="1" si="149"/>
        <v>-1</v>
      </c>
      <c r="S371" s="24" t="e">
        <f t="shared" ca="1" si="150"/>
        <v>#VALUE!</v>
      </c>
      <c r="T371" s="23">
        <f t="shared" ca="1" si="151"/>
        <v>-1</v>
      </c>
      <c r="U371" s="112">
        <f t="shared" si="162"/>
        <v>9.9080357721105499E-3</v>
      </c>
      <c r="V371" s="109">
        <f t="shared" si="163"/>
        <v>-9.9080357721105499E-3</v>
      </c>
      <c r="W371" s="112">
        <f t="shared" si="164"/>
        <v>9.9080357721105499E-3</v>
      </c>
      <c r="X371" s="113">
        <f t="shared" si="165"/>
        <v>-9.9080357721105499E-3</v>
      </c>
      <c r="Y371" s="32"/>
      <c r="Z371" s="32"/>
      <c r="AA371" s="32"/>
      <c r="AB371" s="32"/>
      <c r="AC371" s="32"/>
      <c r="AD371" s="32"/>
      <c r="AE371" s="32"/>
      <c r="AG371" s="26">
        <f t="shared" si="152"/>
        <v>0</v>
      </c>
      <c r="AH371" s="27">
        <f t="shared" si="153"/>
        <v>2.48357626124277E-2</v>
      </c>
      <c r="AI371" s="28">
        <f t="shared" si="166"/>
        <v>9.9080357721105499E-3</v>
      </c>
      <c r="AJ371" s="27">
        <f t="shared" si="154"/>
        <v>9.9080357721105499E-3</v>
      </c>
      <c r="AK371" s="28">
        <f t="shared" si="155"/>
        <v>8.11187682948932E-4</v>
      </c>
      <c r="AL371" s="27">
        <f t="shared" si="156"/>
        <v>9.9080357721105499E-3</v>
      </c>
      <c r="AM371" s="28">
        <f t="shared" si="167"/>
        <v>2.6558345460906185E-2</v>
      </c>
      <c r="AN371" s="27">
        <f t="shared" si="168"/>
        <v>-9.9080357721105499E-3</v>
      </c>
      <c r="AO371" s="28">
        <f t="shared" si="157"/>
        <v>-9.9080357721105499E-3</v>
      </c>
      <c r="AP371" s="27">
        <f t="shared" si="158"/>
        <v>-8.11187682948932E-4</v>
      </c>
      <c r="AQ371" s="29">
        <f t="shared" si="159"/>
        <v>-9.9080357721105499E-3</v>
      </c>
      <c r="AS371" s="30">
        <f t="shared" si="160"/>
        <v>0.83608499701083105</v>
      </c>
      <c r="AT371" s="21">
        <f t="shared" si="161"/>
        <v>1.0166729910561001</v>
      </c>
      <c r="AU371" s="31">
        <f t="shared" ca="1" si="169"/>
        <v>5.7153194511605498E-4</v>
      </c>
      <c r="AV371" s="109">
        <f t="shared" ca="1" si="170"/>
        <v>5.7336988061373884E-4</v>
      </c>
      <c r="AW371" s="27" t="e">
        <f t="shared" ca="1" si="171"/>
        <v>#VALUE!</v>
      </c>
      <c r="AX371" s="29" t="e">
        <f t="shared" ca="1" si="172"/>
        <v>#VALUE!</v>
      </c>
      <c r="AY371" s="72"/>
    </row>
    <row r="372" spans="13:51" s="11" customFormat="1" ht="15.6" customHeight="1" x14ac:dyDescent="0.3">
      <c r="M372" s="20">
        <f t="shared" si="173"/>
        <v>342</v>
      </c>
      <c r="N372" s="21">
        <f t="shared" si="174"/>
        <v>5.985000000000019</v>
      </c>
      <c r="O372" s="22">
        <f t="shared" ca="1" si="146"/>
        <v>193.31382894512524</v>
      </c>
      <c r="P372" s="23">
        <f t="shared" ca="1" si="147"/>
        <v>-1</v>
      </c>
      <c r="Q372" s="22" t="e">
        <f t="shared" ca="1" si="148"/>
        <v>#VALUE!</v>
      </c>
      <c r="R372" s="23">
        <f t="shared" ca="1" si="149"/>
        <v>-1</v>
      </c>
      <c r="S372" s="24" t="e">
        <f t="shared" ca="1" si="150"/>
        <v>#VALUE!</v>
      </c>
      <c r="T372" s="23">
        <f t="shared" ca="1" si="151"/>
        <v>-1</v>
      </c>
      <c r="U372" s="112">
        <f t="shared" si="162"/>
        <v>9.7569219326161926E-3</v>
      </c>
      <c r="V372" s="109">
        <f t="shared" si="163"/>
        <v>-9.7569219326161926E-3</v>
      </c>
      <c r="W372" s="112">
        <f t="shared" si="164"/>
        <v>9.7569219326161926E-3</v>
      </c>
      <c r="X372" s="113">
        <f t="shared" si="165"/>
        <v>-9.7569219326161926E-3</v>
      </c>
      <c r="Y372" s="32"/>
      <c r="Z372" s="32"/>
      <c r="AA372" s="32"/>
      <c r="AB372" s="32"/>
      <c r="AC372" s="32"/>
      <c r="AD372" s="32"/>
      <c r="AE372" s="32"/>
      <c r="AG372" s="26">
        <f t="shared" si="152"/>
        <v>0</v>
      </c>
      <c r="AH372" s="27">
        <f t="shared" si="153"/>
        <v>2.4456976389663092E-2</v>
      </c>
      <c r="AI372" s="28">
        <f t="shared" si="166"/>
        <v>9.7569219326161926E-3</v>
      </c>
      <c r="AJ372" s="27">
        <f t="shared" si="154"/>
        <v>9.7569219326161926E-3</v>
      </c>
      <c r="AK372" s="28">
        <f t="shared" si="155"/>
        <v>7.9764702255608793E-4</v>
      </c>
      <c r="AL372" s="27">
        <f t="shared" si="156"/>
        <v>9.7569219326161926E-3</v>
      </c>
      <c r="AM372" s="28">
        <f t="shared" si="167"/>
        <v>2.6558345460906185E-2</v>
      </c>
      <c r="AN372" s="27">
        <f t="shared" si="168"/>
        <v>-9.7569219326161926E-3</v>
      </c>
      <c r="AO372" s="28">
        <f t="shared" si="157"/>
        <v>-9.7569219326161926E-3</v>
      </c>
      <c r="AP372" s="27">
        <f t="shared" si="158"/>
        <v>-7.9764702255608793E-4</v>
      </c>
      <c r="AQ372" s="29">
        <f t="shared" si="159"/>
        <v>-9.7569219326161926E-3</v>
      </c>
      <c r="AS372" s="30">
        <f t="shared" si="160"/>
        <v>0.8356461675902026</v>
      </c>
      <c r="AT372" s="21">
        <f t="shared" si="161"/>
        <v>0.99970228995716059</v>
      </c>
      <c r="AU372" s="31">
        <f t="shared" ca="1" si="169"/>
        <v>5.7126980572708153E-4</v>
      </c>
      <c r="AV372" s="109">
        <f t="shared" ca="1" si="170"/>
        <v>5.7310466494353562E-4</v>
      </c>
      <c r="AW372" s="27" t="e">
        <f t="shared" ca="1" si="171"/>
        <v>#VALUE!</v>
      </c>
      <c r="AX372" s="29" t="e">
        <f t="shared" ca="1" si="172"/>
        <v>#VALUE!</v>
      </c>
      <c r="AY372" s="72"/>
    </row>
    <row r="373" spans="13:51" s="11" customFormat="1" ht="15.6" customHeight="1" x14ac:dyDescent="0.3">
      <c r="M373" s="20">
        <f t="shared" si="173"/>
        <v>343</v>
      </c>
      <c r="N373" s="21">
        <f t="shared" si="174"/>
        <v>6.002500000000019</v>
      </c>
      <c r="O373" s="22">
        <f t="shared" ca="1" si="146"/>
        <v>193.44266891133998</v>
      </c>
      <c r="P373" s="23">
        <f t="shared" ca="1" si="147"/>
        <v>-1</v>
      </c>
      <c r="Q373" s="22" t="e">
        <f t="shared" ca="1" si="148"/>
        <v>#VALUE!</v>
      </c>
      <c r="R373" s="23">
        <f t="shared" ca="1" si="149"/>
        <v>-1</v>
      </c>
      <c r="S373" s="24" t="e">
        <f t="shared" ca="1" si="150"/>
        <v>#VALUE!</v>
      </c>
      <c r="T373" s="23">
        <f t="shared" ca="1" si="151"/>
        <v>-1</v>
      </c>
      <c r="U373" s="112">
        <f t="shared" si="162"/>
        <v>9.6052158302642153E-3</v>
      </c>
      <c r="V373" s="109">
        <f t="shared" si="163"/>
        <v>-9.6052158302642153E-3</v>
      </c>
      <c r="W373" s="112">
        <f t="shared" si="164"/>
        <v>9.6052158302642153E-3</v>
      </c>
      <c r="X373" s="113">
        <f t="shared" si="165"/>
        <v>-9.6052158302642153E-3</v>
      </c>
      <c r="Y373" s="32"/>
      <c r="Z373" s="32"/>
      <c r="AA373" s="32"/>
      <c r="AB373" s="32"/>
      <c r="AC373" s="32"/>
      <c r="AD373" s="32"/>
      <c r="AE373" s="32"/>
      <c r="AG373" s="26">
        <f t="shared" si="152"/>
        <v>0</v>
      </c>
      <c r="AH373" s="27">
        <f t="shared" si="153"/>
        <v>2.4076705584073561E-2</v>
      </c>
      <c r="AI373" s="28">
        <f t="shared" si="166"/>
        <v>9.6052158302642153E-3</v>
      </c>
      <c r="AJ373" s="27">
        <f t="shared" si="154"/>
        <v>9.6052158302642153E-3</v>
      </c>
      <c r="AK373" s="28">
        <f t="shared" si="155"/>
        <v>7.8409925145013872E-4</v>
      </c>
      <c r="AL373" s="27">
        <f t="shared" si="156"/>
        <v>9.6052158302642153E-3</v>
      </c>
      <c r="AM373" s="28">
        <f t="shared" si="167"/>
        <v>2.6558345460906185E-2</v>
      </c>
      <c r="AN373" s="27">
        <f t="shared" si="168"/>
        <v>-9.6052158302642153E-3</v>
      </c>
      <c r="AO373" s="28">
        <f t="shared" si="157"/>
        <v>-9.6052158302642153E-3</v>
      </c>
      <c r="AP373" s="27">
        <f t="shared" si="158"/>
        <v>-7.8409925145013872E-4</v>
      </c>
      <c r="AQ373" s="29">
        <f t="shared" si="159"/>
        <v>-9.6052158302642153E-3</v>
      </c>
      <c r="AS373" s="30">
        <f t="shared" si="160"/>
        <v>0.83520756849455446</v>
      </c>
      <c r="AT373" s="21">
        <f t="shared" si="161"/>
        <v>0.98272267690096005</v>
      </c>
      <c r="AU373" s="31">
        <f t="shared" ca="1" si="169"/>
        <v>5.7103879357378595E-4</v>
      </c>
      <c r="AV373" s="109">
        <f t="shared" ca="1" si="170"/>
        <v>5.7287054769017409E-4</v>
      </c>
      <c r="AW373" s="27" t="e">
        <f t="shared" ca="1" si="171"/>
        <v>#VALUE!</v>
      </c>
      <c r="AX373" s="29" t="e">
        <f t="shared" ca="1" si="172"/>
        <v>#VALUE!</v>
      </c>
      <c r="AY373" s="72"/>
    </row>
    <row r="374" spans="13:51" s="11" customFormat="1" ht="15.6" customHeight="1" x14ac:dyDescent="0.3">
      <c r="M374" s="20">
        <f t="shared" si="173"/>
        <v>344</v>
      </c>
      <c r="N374" s="21">
        <f t="shared" si="174"/>
        <v>6.0200000000000191</v>
      </c>
      <c r="O374" s="22">
        <f t="shared" ca="1" si="146"/>
        <v>193.57093580525543</v>
      </c>
      <c r="P374" s="23">
        <f t="shared" ca="1" si="147"/>
        <v>-1</v>
      </c>
      <c r="Q374" s="22" t="e">
        <f t="shared" ca="1" si="148"/>
        <v>#VALUE!</v>
      </c>
      <c r="R374" s="23">
        <f t="shared" ca="1" si="149"/>
        <v>-1</v>
      </c>
      <c r="S374" s="24" t="e">
        <f t="shared" ca="1" si="150"/>
        <v>#VALUE!</v>
      </c>
      <c r="T374" s="23">
        <f t="shared" ca="1" si="151"/>
        <v>-1</v>
      </c>
      <c r="U374" s="112">
        <f t="shared" si="162"/>
        <v>9.4529181886994652E-3</v>
      </c>
      <c r="V374" s="109">
        <f t="shared" si="163"/>
        <v>-9.4529181886994652E-3</v>
      </c>
      <c r="W374" s="112">
        <f t="shared" si="164"/>
        <v>9.4529181886994652E-3</v>
      </c>
      <c r="X374" s="113">
        <f t="shared" si="165"/>
        <v>-9.4529181886994652E-3</v>
      </c>
      <c r="Y374" s="32"/>
      <c r="Z374" s="32"/>
      <c r="AA374" s="32"/>
      <c r="AB374" s="32"/>
      <c r="AC374" s="32"/>
      <c r="AD374" s="32"/>
      <c r="AE374" s="32"/>
      <c r="AG374" s="26">
        <f t="shared" si="152"/>
        <v>0</v>
      </c>
      <c r="AH374" s="27">
        <f t="shared" si="153"/>
        <v>2.3694952009567741E-2</v>
      </c>
      <c r="AI374" s="28">
        <f t="shared" si="166"/>
        <v>9.4529181886994652E-3</v>
      </c>
      <c r="AJ374" s="27">
        <f t="shared" si="154"/>
        <v>9.4529181886994652E-3</v>
      </c>
      <c r="AK374" s="28">
        <f t="shared" si="155"/>
        <v>7.7054436589698118E-4</v>
      </c>
      <c r="AL374" s="27">
        <f t="shared" si="156"/>
        <v>9.4529181886994652E-3</v>
      </c>
      <c r="AM374" s="28">
        <f t="shared" si="167"/>
        <v>2.6558345460906185E-2</v>
      </c>
      <c r="AN374" s="27">
        <f t="shared" si="168"/>
        <v>-9.4529181886994652E-3</v>
      </c>
      <c r="AO374" s="28">
        <f t="shared" si="157"/>
        <v>-9.4529181886994652E-3</v>
      </c>
      <c r="AP374" s="27">
        <f t="shared" si="158"/>
        <v>-7.7054436589698118E-4</v>
      </c>
      <c r="AQ374" s="29">
        <f t="shared" si="159"/>
        <v>-9.4529181886994652E-3</v>
      </c>
      <c r="AS374" s="30">
        <f t="shared" si="160"/>
        <v>0.83476919960299767</v>
      </c>
      <c r="AT374" s="21">
        <f t="shared" si="161"/>
        <v>0.96573414720749395</v>
      </c>
      <c r="AU374" s="31">
        <f t="shared" ca="1" si="169"/>
        <v>5.7078877065841471E-4</v>
      </c>
      <c r="AV374" s="109">
        <f t="shared" ca="1" si="170"/>
        <v>5.7261744077341525E-4</v>
      </c>
      <c r="AW374" s="27" t="e">
        <f t="shared" ca="1" si="171"/>
        <v>#VALUE!</v>
      </c>
      <c r="AX374" s="29" t="e">
        <f t="shared" ca="1" si="172"/>
        <v>#VALUE!</v>
      </c>
      <c r="AY374" s="72"/>
    </row>
    <row r="375" spans="13:51" s="11" customFormat="1" ht="15.6" customHeight="1" x14ac:dyDescent="0.3">
      <c r="M375" s="20">
        <f t="shared" si="173"/>
        <v>345</v>
      </c>
      <c r="N375" s="21">
        <f t="shared" si="174"/>
        <v>6.0375000000000192</v>
      </c>
      <c r="O375" s="22">
        <f t="shared" ca="1" si="146"/>
        <v>193.698642051706</v>
      </c>
      <c r="P375" s="23">
        <f t="shared" ca="1" si="147"/>
        <v>-1</v>
      </c>
      <c r="Q375" s="22" t="e">
        <f t="shared" ca="1" si="148"/>
        <v>#VALUE!</v>
      </c>
      <c r="R375" s="23">
        <f t="shared" ca="1" si="149"/>
        <v>-1</v>
      </c>
      <c r="S375" s="24" t="e">
        <f t="shared" ca="1" si="150"/>
        <v>#VALUE!</v>
      </c>
      <c r="T375" s="23">
        <f t="shared" ca="1" si="151"/>
        <v>-1</v>
      </c>
      <c r="U375" s="112">
        <f t="shared" si="162"/>
        <v>9.3000297255658275E-3</v>
      </c>
      <c r="V375" s="109">
        <f t="shared" si="163"/>
        <v>-9.3000297255658275E-3</v>
      </c>
      <c r="W375" s="112">
        <f t="shared" si="164"/>
        <v>9.3000297255658275E-3</v>
      </c>
      <c r="X375" s="113">
        <f t="shared" si="165"/>
        <v>-9.3000297255658275E-3</v>
      </c>
      <c r="Y375" s="32"/>
      <c r="Z375" s="32"/>
      <c r="AA375" s="32"/>
      <c r="AB375" s="32"/>
      <c r="AC375" s="32"/>
      <c r="AD375" s="32"/>
      <c r="AE375" s="32"/>
      <c r="AG375" s="26">
        <f t="shared" si="152"/>
        <v>0</v>
      </c>
      <c r="AH375" s="27">
        <f t="shared" si="153"/>
        <v>2.3311717465012087E-2</v>
      </c>
      <c r="AI375" s="28">
        <f t="shared" si="166"/>
        <v>9.3000297255658275E-3</v>
      </c>
      <c r="AJ375" s="27">
        <f t="shared" si="154"/>
        <v>9.3000297255658275E-3</v>
      </c>
      <c r="AK375" s="28">
        <f t="shared" si="155"/>
        <v>7.5698236216054798E-4</v>
      </c>
      <c r="AL375" s="27">
        <f t="shared" si="156"/>
        <v>9.3000297255658275E-3</v>
      </c>
      <c r="AM375" s="28">
        <f t="shared" si="167"/>
        <v>2.6558345460906185E-2</v>
      </c>
      <c r="AN375" s="27">
        <f t="shared" si="168"/>
        <v>-9.3000297255658275E-3</v>
      </c>
      <c r="AO375" s="28">
        <f t="shared" si="157"/>
        <v>-9.3000297255658275E-3</v>
      </c>
      <c r="AP375" s="27">
        <f t="shared" si="158"/>
        <v>-7.5698236216054798E-4</v>
      </c>
      <c r="AQ375" s="29">
        <f t="shared" si="159"/>
        <v>-9.3000297255658275E-3</v>
      </c>
      <c r="AS375" s="30">
        <f t="shared" si="160"/>
        <v>0.83433106079470676</v>
      </c>
      <c r="AT375" s="21">
        <f t="shared" si="161"/>
        <v>0.94873669619429668</v>
      </c>
      <c r="AU375" s="31">
        <f t="shared" ca="1" si="169"/>
        <v>5.7054488144325788E-4</v>
      </c>
      <c r="AV375" s="109">
        <f t="shared" ca="1" si="170"/>
        <v>5.7237046358782351E-4</v>
      </c>
      <c r="AW375" s="27" t="e">
        <f t="shared" ca="1" si="171"/>
        <v>#VALUE!</v>
      </c>
      <c r="AX375" s="29" t="e">
        <f t="shared" ca="1" si="172"/>
        <v>#VALUE!</v>
      </c>
      <c r="AY375" s="72"/>
    </row>
    <row r="376" spans="13:51" s="11" customFormat="1" ht="15.6" customHeight="1" x14ac:dyDescent="0.3">
      <c r="M376" s="20">
        <f t="shared" si="173"/>
        <v>346</v>
      </c>
      <c r="N376" s="21">
        <f t="shared" si="174"/>
        <v>6.0550000000000193</v>
      </c>
      <c r="O376" s="22">
        <f t="shared" ca="1" si="146"/>
        <v>193.82579249472667</v>
      </c>
      <c r="P376" s="23">
        <f t="shared" ca="1" si="147"/>
        <v>-1</v>
      </c>
      <c r="Q376" s="22" t="e">
        <f t="shared" ca="1" si="148"/>
        <v>#VALUE!</v>
      </c>
      <c r="R376" s="23">
        <f t="shared" ca="1" si="149"/>
        <v>-1</v>
      </c>
      <c r="S376" s="24" t="e">
        <f t="shared" ca="1" si="150"/>
        <v>#VALUE!</v>
      </c>
      <c r="T376" s="23">
        <f t="shared" ca="1" si="151"/>
        <v>-1</v>
      </c>
      <c r="U376" s="112">
        <f t="shared" si="162"/>
        <v>9.1465511525615061E-3</v>
      </c>
      <c r="V376" s="109">
        <f t="shared" si="163"/>
        <v>-9.1465511525615061E-3</v>
      </c>
      <c r="W376" s="112">
        <f t="shared" si="164"/>
        <v>9.1465511525615061E-3</v>
      </c>
      <c r="X376" s="113">
        <f t="shared" si="165"/>
        <v>-9.1465511525615061E-3</v>
      </c>
      <c r="Y376" s="32"/>
      <c r="Z376" s="32"/>
      <c r="AA376" s="32"/>
      <c r="AB376" s="32"/>
      <c r="AC376" s="32"/>
      <c r="AD376" s="32"/>
      <c r="AE376" s="32"/>
      <c r="AG376" s="26">
        <f t="shared" si="152"/>
        <v>0</v>
      </c>
      <c r="AH376" s="27">
        <f t="shared" si="153"/>
        <v>2.2927003734369435E-2</v>
      </c>
      <c r="AI376" s="28">
        <f t="shared" si="166"/>
        <v>9.1465511525615061E-3</v>
      </c>
      <c r="AJ376" s="27">
        <f t="shared" si="154"/>
        <v>9.1465511525615061E-3</v>
      </c>
      <c r="AK376" s="28">
        <f t="shared" si="155"/>
        <v>7.4341323650281479E-4</v>
      </c>
      <c r="AL376" s="27">
        <f t="shared" si="156"/>
        <v>9.1465511525615061E-3</v>
      </c>
      <c r="AM376" s="28">
        <f t="shared" si="167"/>
        <v>2.6558345460906185E-2</v>
      </c>
      <c r="AN376" s="27">
        <f t="shared" si="168"/>
        <v>-9.1465511525615061E-3</v>
      </c>
      <c r="AO376" s="28">
        <f t="shared" si="157"/>
        <v>-9.1465511525615061E-3</v>
      </c>
      <c r="AP376" s="27">
        <f t="shared" si="158"/>
        <v>-7.4341323650281479E-4</v>
      </c>
      <c r="AQ376" s="29">
        <f t="shared" si="159"/>
        <v>-9.1465511525615061E-3</v>
      </c>
      <c r="AS376" s="30">
        <f t="shared" si="160"/>
        <v>0.83389315194891978</v>
      </c>
      <c r="AT376" s="21">
        <f t="shared" si="161"/>
        <v>0.93173031917644922</v>
      </c>
      <c r="AU376" s="31">
        <f t="shared" ca="1" si="169"/>
        <v>5.7030093706955665E-4</v>
      </c>
      <c r="AV376" s="109">
        <f t="shared" ca="1" si="170"/>
        <v>5.721234334461478E-4</v>
      </c>
      <c r="AW376" s="27" t="e">
        <f t="shared" ca="1" si="171"/>
        <v>#VALUE!</v>
      </c>
      <c r="AX376" s="29" t="e">
        <f t="shared" ca="1" si="172"/>
        <v>#VALUE!</v>
      </c>
      <c r="AY376" s="72"/>
    </row>
    <row r="377" spans="13:51" s="11" customFormat="1" ht="15.6" customHeight="1" x14ac:dyDescent="0.3">
      <c r="M377" s="20">
        <f t="shared" si="173"/>
        <v>347</v>
      </c>
      <c r="N377" s="21">
        <f t="shared" si="174"/>
        <v>6.0725000000000193</v>
      </c>
      <c r="O377" s="22">
        <f t="shared" ca="1" si="146"/>
        <v>193.95239956054309</v>
      </c>
      <c r="P377" s="23">
        <f t="shared" ca="1" si="147"/>
        <v>-1</v>
      </c>
      <c r="Q377" s="22" t="e">
        <f t="shared" ca="1" si="148"/>
        <v>#VALUE!</v>
      </c>
      <c r="R377" s="23">
        <f t="shared" ca="1" si="149"/>
        <v>-1</v>
      </c>
      <c r="S377" s="24" t="e">
        <f t="shared" ca="1" si="150"/>
        <v>#VALUE!</v>
      </c>
      <c r="T377" s="23">
        <f t="shared" ca="1" si="151"/>
        <v>-1</v>
      </c>
      <c r="U377" s="112">
        <f t="shared" si="162"/>
        <v>8.9924831754933671E-3</v>
      </c>
      <c r="V377" s="109">
        <f t="shared" si="163"/>
        <v>-8.9924831754933671E-3</v>
      </c>
      <c r="W377" s="112">
        <f t="shared" si="164"/>
        <v>8.9924831754933671E-3</v>
      </c>
      <c r="X377" s="113">
        <f t="shared" si="165"/>
        <v>-8.9924831754933671E-3</v>
      </c>
      <c r="Y377" s="32"/>
      <c r="Z377" s="32"/>
      <c r="AA377" s="32"/>
      <c r="AB377" s="32"/>
      <c r="AC377" s="32"/>
      <c r="AD377" s="32"/>
      <c r="AE377" s="32"/>
      <c r="AG377" s="26">
        <f t="shared" si="152"/>
        <v>0</v>
      </c>
      <c r="AH377" s="27">
        <f t="shared" si="153"/>
        <v>2.2540812586835237E-2</v>
      </c>
      <c r="AI377" s="28">
        <f t="shared" si="166"/>
        <v>8.9924831754933671E-3</v>
      </c>
      <c r="AJ377" s="27">
        <f t="shared" si="154"/>
        <v>8.9924831754933671E-3</v>
      </c>
      <c r="AK377" s="28">
        <f t="shared" si="155"/>
        <v>7.2983698518378447E-4</v>
      </c>
      <c r="AL377" s="27">
        <f t="shared" si="156"/>
        <v>8.9924831754933671E-3</v>
      </c>
      <c r="AM377" s="28">
        <f t="shared" si="167"/>
        <v>2.6558345460906185E-2</v>
      </c>
      <c r="AN377" s="27">
        <f t="shared" si="168"/>
        <v>-8.9924831754933671E-3</v>
      </c>
      <c r="AO377" s="28">
        <f t="shared" si="157"/>
        <v>-8.9924831754933671E-3</v>
      </c>
      <c r="AP377" s="27">
        <f t="shared" si="158"/>
        <v>-7.2983698518378447E-4</v>
      </c>
      <c r="AQ377" s="29">
        <f t="shared" si="159"/>
        <v>-8.9924831754933671E-3</v>
      </c>
      <c r="AS377" s="30">
        <f t="shared" si="160"/>
        <v>0.83345547294493805</v>
      </c>
      <c r="AT377" s="21">
        <f t="shared" si="161"/>
        <v>0.91471501146656031</v>
      </c>
      <c r="AU377" s="31">
        <f t="shared" ca="1" si="169"/>
        <v>5.7006329027919911E-4</v>
      </c>
      <c r="AV377" s="109">
        <f t="shared" ca="1" si="170"/>
        <v>5.7188269666375025E-4</v>
      </c>
      <c r="AW377" s="27" t="e">
        <f t="shared" ca="1" si="171"/>
        <v>#VALUE!</v>
      </c>
      <c r="AX377" s="29" t="e">
        <f t="shared" ca="1" si="172"/>
        <v>#VALUE!</v>
      </c>
      <c r="AY377" s="72"/>
    </row>
    <row r="378" spans="13:51" s="11" customFormat="1" ht="15.6" customHeight="1" x14ac:dyDescent="0.3">
      <c r="M378" s="20">
        <f t="shared" si="173"/>
        <v>348</v>
      </c>
      <c r="N378" s="21">
        <f t="shared" si="174"/>
        <v>6.0900000000000194</v>
      </c>
      <c r="O378" s="22">
        <f t="shared" ca="1" si="146"/>
        <v>194.07845280245979</v>
      </c>
      <c r="P378" s="23">
        <f t="shared" ca="1" si="147"/>
        <v>-1</v>
      </c>
      <c r="Q378" s="22" t="e">
        <f t="shared" ca="1" si="148"/>
        <v>#VALUE!</v>
      </c>
      <c r="R378" s="23">
        <f t="shared" ca="1" si="149"/>
        <v>-1</v>
      </c>
      <c r="S378" s="24" t="e">
        <f t="shared" ca="1" si="150"/>
        <v>#VALUE!</v>
      </c>
      <c r="T378" s="23">
        <f t="shared" ca="1" si="151"/>
        <v>-1</v>
      </c>
      <c r="U378" s="112">
        <f t="shared" si="162"/>
        <v>8.8378264943310882E-3</v>
      </c>
      <c r="V378" s="109">
        <f t="shared" si="163"/>
        <v>-8.8378264943310882E-3</v>
      </c>
      <c r="W378" s="112">
        <f t="shared" si="164"/>
        <v>8.8378264943310882E-3</v>
      </c>
      <c r="X378" s="113">
        <f t="shared" si="165"/>
        <v>-8.8378264943310882E-3</v>
      </c>
      <c r="Y378" s="32"/>
      <c r="Z378" s="32"/>
      <c r="AA378" s="32"/>
      <c r="AB378" s="32"/>
      <c r="AC378" s="32"/>
      <c r="AD378" s="32"/>
      <c r="AE378" s="32"/>
      <c r="AG378" s="26">
        <f t="shared" si="152"/>
        <v>0</v>
      </c>
      <c r="AH378" s="27">
        <f t="shared" si="153"/>
        <v>2.2153145776973276E-2</v>
      </c>
      <c r="AI378" s="28">
        <f t="shared" si="166"/>
        <v>8.8378264943310882E-3</v>
      </c>
      <c r="AJ378" s="27">
        <f t="shared" si="154"/>
        <v>8.8378264943310882E-3</v>
      </c>
      <c r="AK378" s="28">
        <f t="shared" si="155"/>
        <v>7.1625360446151115E-4</v>
      </c>
      <c r="AL378" s="27">
        <f t="shared" si="156"/>
        <v>8.8378264943310882E-3</v>
      </c>
      <c r="AM378" s="28">
        <f t="shared" si="167"/>
        <v>2.6558345460906185E-2</v>
      </c>
      <c r="AN378" s="27">
        <f t="shared" si="168"/>
        <v>-8.8378264943310882E-3</v>
      </c>
      <c r="AO378" s="28">
        <f t="shared" si="157"/>
        <v>-8.8378264943310882E-3</v>
      </c>
      <c r="AP378" s="27">
        <f t="shared" si="158"/>
        <v>-7.1625360446151125E-4</v>
      </c>
      <c r="AQ378" s="29">
        <f t="shared" si="159"/>
        <v>-8.8378264943310882E-3</v>
      </c>
      <c r="AS378" s="30">
        <f t="shared" si="160"/>
        <v>0.83301802366212629</v>
      </c>
      <c r="AT378" s="21">
        <f t="shared" si="161"/>
        <v>0.89769076837479633</v>
      </c>
      <c r="AU378" s="31">
        <f t="shared" ca="1" si="169"/>
        <v>5.6981297773417428E-4</v>
      </c>
      <c r="AV378" s="109">
        <f t="shared" ca="1" si="170"/>
        <v>5.716293090682889E-4</v>
      </c>
      <c r="AW378" s="27" t="e">
        <f t="shared" ca="1" si="171"/>
        <v>#VALUE!</v>
      </c>
      <c r="AX378" s="29" t="e">
        <f t="shared" ca="1" si="172"/>
        <v>#VALUE!</v>
      </c>
      <c r="AY378" s="72"/>
    </row>
    <row r="379" spans="13:51" s="11" customFormat="1" ht="15.6" customHeight="1" x14ac:dyDescent="0.3">
      <c r="M379" s="20">
        <f t="shared" si="173"/>
        <v>349</v>
      </c>
      <c r="N379" s="21">
        <f t="shared" si="174"/>
        <v>6.1075000000000195</v>
      </c>
      <c r="O379" s="22">
        <f t="shared" ca="1" si="146"/>
        <v>194.203964639997</v>
      </c>
      <c r="P379" s="23">
        <f t="shared" ca="1" si="147"/>
        <v>-1</v>
      </c>
      <c r="Q379" s="22" t="e">
        <f t="shared" ca="1" si="148"/>
        <v>#VALUE!</v>
      </c>
      <c r="R379" s="23">
        <f t="shared" ca="1" si="149"/>
        <v>-1</v>
      </c>
      <c r="S379" s="24" t="e">
        <f t="shared" ca="1" si="150"/>
        <v>#VALUE!</v>
      </c>
      <c r="T379" s="23">
        <f t="shared" ca="1" si="151"/>
        <v>-1</v>
      </c>
      <c r="U379" s="112">
        <f t="shared" si="162"/>
        <v>8.6825818032599793E-3</v>
      </c>
      <c r="V379" s="109">
        <f t="shared" si="163"/>
        <v>-8.6825818032599793E-3</v>
      </c>
      <c r="W379" s="112">
        <f t="shared" si="164"/>
        <v>8.6825818032599793E-3</v>
      </c>
      <c r="X379" s="113">
        <f t="shared" si="165"/>
        <v>-8.6825818032599793E-3</v>
      </c>
      <c r="Y379" s="32"/>
      <c r="Z379" s="32"/>
      <c r="AA379" s="32"/>
      <c r="AB379" s="32"/>
      <c r="AC379" s="32"/>
      <c r="AD379" s="32"/>
      <c r="AE379" s="32"/>
      <c r="AG379" s="26">
        <f t="shared" si="152"/>
        <v>0</v>
      </c>
      <c r="AH379" s="27">
        <f t="shared" si="153"/>
        <v>2.1764005044848083E-2</v>
      </c>
      <c r="AI379" s="28">
        <f t="shared" si="166"/>
        <v>8.6825818032599793E-3</v>
      </c>
      <c r="AJ379" s="27">
        <f t="shared" si="154"/>
        <v>8.6825818032599793E-3</v>
      </c>
      <c r="AK379" s="28">
        <f t="shared" si="155"/>
        <v>7.0266309059207048E-4</v>
      </c>
      <c r="AL379" s="27">
        <f t="shared" si="156"/>
        <v>8.6825818032599793E-3</v>
      </c>
      <c r="AM379" s="28">
        <f t="shared" si="167"/>
        <v>2.6558345460906185E-2</v>
      </c>
      <c r="AN379" s="27">
        <f t="shared" si="168"/>
        <v>-8.6825818032599793E-3</v>
      </c>
      <c r="AO379" s="28">
        <f t="shared" si="157"/>
        <v>-8.6825818032599793E-3</v>
      </c>
      <c r="AP379" s="27">
        <f t="shared" si="158"/>
        <v>-7.0266309059207048E-4</v>
      </c>
      <c r="AQ379" s="29">
        <f t="shared" si="159"/>
        <v>-8.6825818032599793E-3</v>
      </c>
      <c r="AS379" s="30">
        <f t="shared" si="160"/>
        <v>0.83258080397991274</v>
      </c>
      <c r="AT379" s="21">
        <f t="shared" si="161"/>
        <v>0.88065758520884385</v>
      </c>
      <c r="AU379" s="31">
        <f t="shared" ca="1" si="169"/>
        <v>5.6956903547578097E-4</v>
      </c>
      <c r="AV379" s="109">
        <f t="shared" ca="1" si="170"/>
        <v>5.7138228748043751E-4</v>
      </c>
      <c r="AW379" s="27" t="e">
        <f t="shared" ca="1" si="171"/>
        <v>#VALUE!</v>
      </c>
      <c r="AX379" s="29" t="e">
        <f t="shared" ca="1" si="172"/>
        <v>#VALUE!</v>
      </c>
      <c r="AY379" s="72"/>
    </row>
    <row r="380" spans="13:51" s="11" customFormat="1" ht="15.6" customHeight="1" x14ac:dyDescent="0.3">
      <c r="M380" s="20">
        <f t="shared" si="173"/>
        <v>350</v>
      </c>
      <c r="N380" s="21">
        <f t="shared" si="174"/>
        <v>6.1250000000000195</v>
      </c>
      <c r="O380" s="22">
        <f t="shared" ca="1" si="146"/>
        <v>194.32893992791847</v>
      </c>
      <c r="P380" s="23">
        <f t="shared" ca="1" si="147"/>
        <v>-1</v>
      </c>
      <c r="Q380" s="22" t="e">
        <f t="shared" ca="1" si="148"/>
        <v>#VALUE!</v>
      </c>
      <c r="R380" s="23">
        <f t="shared" ca="1" si="149"/>
        <v>-1</v>
      </c>
      <c r="S380" s="24" t="e">
        <f t="shared" ca="1" si="150"/>
        <v>#VALUE!</v>
      </c>
      <c r="T380" s="23">
        <f t="shared" ca="1" si="151"/>
        <v>-1</v>
      </c>
      <c r="U380" s="112">
        <f t="shared" si="162"/>
        <v>8.52674979073372E-3</v>
      </c>
      <c r="V380" s="109">
        <f t="shared" si="163"/>
        <v>-8.52674979073372E-3</v>
      </c>
      <c r="W380" s="112">
        <f t="shared" si="164"/>
        <v>8.52674979073372E-3</v>
      </c>
      <c r="X380" s="113">
        <f t="shared" si="165"/>
        <v>-8.52674979073372E-3</v>
      </c>
      <c r="Y380" s="32"/>
      <c r="Z380" s="32"/>
      <c r="AA380" s="32"/>
      <c r="AB380" s="32"/>
      <c r="AC380" s="32"/>
      <c r="AD380" s="32"/>
      <c r="AE380" s="32"/>
      <c r="AG380" s="26">
        <f t="shared" si="152"/>
        <v>0</v>
      </c>
      <c r="AH380" s="27">
        <f t="shared" si="153"/>
        <v>2.1373392116157106E-2</v>
      </c>
      <c r="AI380" s="28">
        <f t="shared" si="166"/>
        <v>8.52674979073372E-3</v>
      </c>
      <c r="AJ380" s="27">
        <f t="shared" si="154"/>
        <v>8.52674979073372E-3</v>
      </c>
      <c r="AK380" s="28">
        <f t="shared" si="155"/>
        <v>6.8906543982957455E-4</v>
      </c>
      <c r="AL380" s="27">
        <f t="shared" si="156"/>
        <v>8.52674979073372E-3</v>
      </c>
      <c r="AM380" s="28">
        <f t="shared" si="167"/>
        <v>2.6558345460906185E-2</v>
      </c>
      <c r="AN380" s="27">
        <f t="shared" si="168"/>
        <v>-8.52674979073372E-3</v>
      </c>
      <c r="AO380" s="28">
        <f t="shared" si="157"/>
        <v>-8.52674979073372E-3</v>
      </c>
      <c r="AP380" s="27">
        <f t="shared" si="158"/>
        <v>-6.8906543982957466E-4</v>
      </c>
      <c r="AQ380" s="29">
        <f t="shared" si="159"/>
        <v>-8.52674979073372E-3</v>
      </c>
      <c r="AS380" s="30">
        <f t="shared" si="160"/>
        <v>0.83214381377778845</v>
      </c>
      <c r="AT380" s="21">
        <f t="shared" si="161"/>
        <v>0.86361545727392897</v>
      </c>
      <c r="AU380" s="31">
        <f t="shared" ca="1" si="169"/>
        <v>5.6932523192654294E-4</v>
      </c>
      <c r="AV380" s="109">
        <f t="shared" ca="1" si="170"/>
        <v>5.7113540660735929E-4</v>
      </c>
      <c r="AW380" s="27" t="e">
        <f t="shared" ca="1" si="171"/>
        <v>#VALUE!</v>
      </c>
      <c r="AX380" s="29" t="e">
        <f t="shared" ca="1" si="172"/>
        <v>#VALUE!</v>
      </c>
      <c r="AY380" s="72"/>
    </row>
    <row r="381" spans="13:51" s="11" customFormat="1" ht="15.6" customHeight="1" x14ac:dyDescent="0.3">
      <c r="M381" s="20">
        <f t="shared" si="173"/>
        <v>351</v>
      </c>
      <c r="N381" s="21">
        <f t="shared" si="174"/>
        <v>6.1425000000000196</v>
      </c>
      <c r="O381" s="22">
        <f t="shared" ca="1" si="146"/>
        <v>194.45338345764071</v>
      </c>
      <c r="P381" s="23">
        <f t="shared" ca="1" si="147"/>
        <v>-1</v>
      </c>
      <c r="Q381" s="22" t="e">
        <f t="shared" ca="1" si="148"/>
        <v>#VALUE!</v>
      </c>
      <c r="R381" s="23">
        <f t="shared" ca="1" si="149"/>
        <v>-1</v>
      </c>
      <c r="S381" s="24" t="e">
        <f t="shared" ca="1" si="150"/>
        <v>#VALUE!</v>
      </c>
      <c r="T381" s="23">
        <f t="shared" ca="1" si="151"/>
        <v>-1</v>
      </c>
      <c r="U381" s="112">
        <f t="shared" si="162"/>
        <v>8.3703311395262915E-3</v>
      </c>
      <c r="V381" s="109">
        <f t="shared" si="163"/>
        <v>-8.3703311395262915E-3</v>
      </c>
      <c r="W381" s="112">
        <f t="shared" si="164"/>
        <v>8.3703311395262915E-3</v>
      </c>
      <c r="X381" s="113">
        <f t="shared" si="165"/>
        <v>-8.3703311395262915E-3</v>
      </c>
      <c r="Y381" s="32"/>
      <c r="Z381" s="32"/>
      <c r="AA381" s="32"/>
      <c r="AB381" s="32"/>
      <c r="AC381" s="32"/>
      <c r="AD381" s="32"/>
      <c r="AE381" s="32"/>
      <c r="AG381" s="26">
        <f t="shared" si="152"/>
        <v>0</v>
      </c>
      <c r="AH381" s="27">
        <f t="shared" si="153"/>
        <v>2.0981308702360923E-2</v>
      </c>
      <c r="AI381" s="28">
        <f t="shared" si="166"/>
        <v>8.3703311395262915E-3</v>
      </c>
      <c r="AJ381" s="27">
        <f t="shared" si="154"/>
        <v>8.3703311395262915E-3</v>
      </c>
      <c r="AK381" s="28">
        <f t="shared" si="155"/>
        <v>6.75460648426178E-4</v>
      </c>
      <c r="AL381" s="27">
        <f t="shared" si="156"/>
        <v>8.3703311395262915E-3</v>
      </c>
      <c r="AM381" s="28">
        <f t="shared" si="167"/>
        <v>2.6558345460906185E-2</v>
      </c>
      <c r="AN381" s="27">
        <f t="shared" si="168"/>
        <v>-8.3703311395262915E-3</v>
      </c>
      <c r="AO381" s="28">
        <f t="shared" si="157"/>
        <v>-8.3703311395262915E-3</v>
      </c>
      <c r="AP381" s="27">
        <f t="shared" si="158"/>
        <v>-6.75460648426178E-4</v>
      </c>
      <c r="AQ381" s="29">
        <f t="shared" si="159"/>
        <v>-8.3703311395262915E-3</v>
      </c>
      <c r="AS381" s="30">
        <f t="shared" si="160"/>
        <v>0.83170705293530811</v>
      </c>
      <c r="AT381" s="21">
        <f t="shared" si="161"/>
        <v>0.84656437987282362</v>
      </c>
      <c r="AU381" s="31">
        <f t="shared" ca="1" si="169"/>
        <v>5.6908156002133392E-4</v>
      </c>
      <c r="AV381" s="109">
        <f t="shared" ca="1" si="170"/>
        <v>5.7088865938936806E-4</v>
      </c>
      <c r="AW381" s="27" t="e">
        <f t="shared" ca="1" si="171"/>
        <v>#VALUE!</v>
      </c>
      <c r="AX381" s="29" t="e">
        <f t="shared" ca="1" si="172"/>
        <v>#VALUE!</v>
      </c>
      <c r="AY381" s="72"/>
    </row>
    <row r="382" spans="13:51" s="11" customFormat="1" ht="15.6" customHeight="1" x14ac:dyDescent="0.3">
      <c r="M382" s="20">
        <f t="shared" si="173"/>
        <v>352</v>
      </c>
      <c r="N382" s="21">
        <f t="shared" si="174"/>
        <v>6.1600000000000197</v>
      </c>
      <c r="O382" s="22">
        <f t="shared" ca="1" si="146"/>
        <v>194.57730001556698</v>
      </c>
      <c r="P382" s="23">
        <f t="shared" ca="1" si="147"/>
        <v>-1</v>
      </c>
      <c r="Q382" s="22" t="e">
        <f t="shared" ca="1" si="148"/>
        <v>#VALUE!</v>
      </c>
      <c r="R382" s="23">
        <f t="shared" ca="1" si="149"/>
        <v>-1</v>
      </c>
      <c r="S382" s="24" t="e">
        <f t="shared" ca="1" si="150"/>
        <v>#VALUE!</v>
      </c>
      <c r="T382" s="23">
        <f t="shared" ca="1" si="151"/>
        <v>-1</v>
      </c>
      <c r="U382" s="112">
        <f t="shared" si="162"/>
        <v>8.2133265267829887E-3</v>
      </c>
      <c r="V382" s="109">
        <f t="shared" si="163"/>
        <v>-8.2133265267829887E-3</v>
      </c>
      <c r="W382" s="112">
        <f t="shared" si="164"/>
        <v>8.2133265267829887E-3</v>
      </c>
      <c r="X382" s="113">
        <f t="shared" si="165"/>
        <v>-8.2133265267829887E-3</v>
      </c>
      <c r="Y382" s="32"/>
      <c r="Z382" s="32"/>
      <c r="AA382" s="32"/>
      <c r="AB382" s="32"/>
      <c r="AC382" s="32"/>
      <c r="AD382" s="32"/>
      <c r="AE382" s="32"/>
      <c r="AG382" s="26">
        <f t="shared" si="152"/>
        <v>0</v>
      </c>
      <c r="AH382" s="27">
        <f t="shared" si="153"/>
        <v>2.0587756500811068E-2</v>
      </c>
      <c r="AI382" s="28">
        <f t="shared" si="166"/>
        <v>8.2133265267829887E-3</v>
      </c>
      <c r="AJ382" s="27">
        <f t="shared" si="154"/>
        <v>8.2133265267829887E-3</v>
      </c>
      <c r="AK382" s="28">
        <f t="shared" si="155"/>
        <v>6.6184871263205388E-4</v>
      </c>
      <c r="AL382" s="27">
        <f t="shared" si="156"/>
        <v>8.2133265267829887E-3</v>
      </c>
      <c r="AM382" s="28">
        <f t="shared" si="167"/>
        <v>2.6558345460906185E-2</v>
      </c>
      <c r="AN382" s="27">
        <f t="shared" si="168"/>
        <v>-8.2133265267829887E-3</v>
      </c>
      <c r="AO382" s="28">
        <f t="shared" si="157"/>
        <v>-8.2133265267829887E-3</v>
      </c>
      <c r="AP382" s="27">
        <f t="shared" si="158"/>
        <v>-6.6184871263205388E-4</v>
      </c>
      <c r="AQ382" s="29">
        <f t="shared" si="159"/>
        <v>-8.2133265267829887E-3</v>
      </c>
      <c r="AS382" s="30">
        <f t="shared" si="160"/>
        <v>0.83127052133208945</v>
      </c>
      <c r="AT382" s="21">
        <f t="shared" si="161"/>
        <v>0.82950434830581699</v>
      </c>
      <c r="AU382" s="31">
        <f t="shared" ca="1" si="169"/>
        <v>5.6883806100771483E-4</v>
      </c>
      <c r="AV382" s="109">
        <f t="shared" ca="1" si="170"/>
        <v>5.7064208702961583E-4</v>
      </c>
      <c r="AW382" s="27" t="e">
        <f t="shared" ca="1" si="171"/>
        <v>#VALUE!</v>
      </c>
      <c r="AX382" s="29" t="e">
        <f t="shared" ca="1" si="172"/>
        <v>#VALUE!</v>
      </c>
      <c r="AY382" s="72"/>
    </row>
    <row r="383" spans="13:51" s="11" customFormat="1" ht="15.6" customHeight="1" x14ac:dyDescent="0.3">
      <c r="M383" s="20">
        <f t="shared" si="173"/>
        <v>353</v>
      </c>
      <c r="N383" s="21">
        <f t="shared" si="174"/>
        <v>6.1775000000000198</v>
      </c>
      <c r="O383" s="22">
        <f t="shared" ca="1" si="146"/>
        <v>194.70069446398114</v>
      </c>
      <c r="P383" s="23">
        <f t="shared" ca="1" si="147"/>
        <v>-1</v>
      </c>
      <c r="Q383" s="22" t="e">
        <f t="shared" ca="1" si="148"/>
        <v>#VALUE!</v>
      </c>
      <c r="R383" s="23">
        <f t="shared" ca="1" si="149"/>
        <v>-1</v>
      </c>
      <c r="S383" s="24" t="e">
        <f t="shared" ca="1" si="150"/>
        <v>#VALUE!</v>
      </c>
      <c r="T383" s="23">
        <f t="shared" ca="1" si="151"/>
        <v>-1</v>
      </c>
      <c r="U383" s="112">
        <f t="shared" si="162"/>
        <v>8.0557366240712747E-3</v>
      </c>
      <c r="V383" s="109">
        <f t="shared" si="163"/>
        <v>-8.0557366240712747E-3</v>
      </c>
      <c r="W383" s="112">
        <f t="shared" si="164"/>
        <v>8.0557366240712747E-3</v>
      </c>
      <c r="X383" s="113">
        <f t="shared" si="165"/>
        <v>-8.0557366240712747E-3</v>
      </c>
      <c r="Y383" s="32"/>
      <c r="Z383" s="32"/>
      <c r="AA383" s="32"/>
      <c r="AB383" s="32"/>
      <c r="AC383" s="32"/>
      <c r="AD383" s="32"/>
      <c r="AE383" s="32"/>
      <c r="AG383" s="26">
        <f t="shared" si="152"/>
        <v>0</v>
      </c>
      <c r="AH383" s="27">
        <f t="shared" si="153"/>
        <v>2.019273719487754E-2</v>
      </c>
      <c r="AI383" s="28">
        <f t="shared" si="166"/>
        <v>8.0557366240712747E-3</v>
      </c>
      <c r="AJ383" s="27">
        <f t="shared" si="154"/>
        <v>8.0557366240712747E-3</v>
      </c>
      <c r="AK383" s="28">
        <f t="shared" si="155"/>
        <v>6.482296286954148E-4</v>
      </c>
      <c r="AL383" s="27">
        <f t="shared" si="156"/>
        <v>8.0557366240712747E-3</v>
      </c>
      <c r="AM383" s="28">
        <f t="shared" si="167"/>
        <v>2.6558345460906185E-2</v>
      </c>
      <c r="AN383" s="27">
        <f t="shared" si="168"/>
        <v>-8.0557366240712747E-3</v>
      </c>
      <c r="AO383" s="28">
        <f t="shared" si="157"/>
        <v>-8.0557366240712747E-3</v>
      </c>
      <c r="AP383" s="27">
        <f t="shared" si="158"/>
        <v>-6.482296286954148E-4</v>
      </c>
      <c r="AQ383" s="29">
        <f t="shared" si="159"/>
        <v>-8.0557366240712747E-3</v>
      </c>
      <c r="AS383" s="30">
        <f t="shared" si="160"/>
        <v>0.83083421884781361</v>
      </c>
      <c r="AT383" s="21">
        <f t="shared" si="161"/>
        <v>0.81243535787074073</v>
      </c>
      <c r="AU383" s="31">
        <f t="shared" ca="1" si="169"/>
        <v>5.6859484408677829E-4</v>
      </c>
      <c r="AV383" s="109">
        <f t="shared" ca="1" si="170"/>
        <v>5.703957986156194E-4</v>
      </c>
      <c r="AW383" s="27" t="e">
        <f t="shared" ca="1" si="171"/>
        <v>#VALUE!</v>
      </c>
      <c r="AX383" s="29" t="e">
        <f t="shared" ca="1" si="172"/>
        <v>#VALUE!</v>
      </c>
      <c r="AY383" s="72"/>
    </row>
    <row r="384" spans="13:51" s="11" customFormat="1" ht="15.6" customHeight="1" x14ac:dyDescent="0.3">
      <c r="M384" s="20">
        <f t="shared" si="173"/>
        <v>354</v>
      </c>
      <c r="N384" s="21">
        <f t="shared" si="174"/>
        <v>6.1950000000000198</v>
      </c>
      <c r="O384" s="22">
        <f t="shared" ca="1" si="146"/>
        <v>194.82357921989657</v>
      </c>
      <c r="P384" s="23">
        <f t="shared" ca="1" si="147"/>
        <v>-1</v>
      </c>
      <c r="Q384" s="22" t="e">
        <f t="shared" ca="1" si="148"/>
        <v>#VALUE!</v>
      </c>
      <c r="R384" s="23">
        <f t="shared" ca="1" si="149"/>
        <v>-1</v>
      </c>
      <c r="S384" s="24" t="e">
        <f t="shared" ca="1" si="150"/>
        <v>#VALUE!</v>
      </c>
      <c r="T384" s="23">
        <f t="shared" ca="1" si="151"/>
        <v>-1</v>
      </c>
      <c r="U384" s="112">
        <f t="shared" si="162"/>
        <v>7.8975620974307183E-3</v>
      </c>
      <c r="V384" s="109">
        <f t="shared" si="163"/>
        <v>-7.8975620974307183E-3</v>
      </c>
      <c r="W384" s="112">
        <f t="shared" si="164"/>
        <v>7.8975620974307183E-3</v>
      </c>
      <c r="X384" s="113">
        <f t="shared" si="165"/>
        <v>-7.8975620974307183E-3</v>
      </c>
      <c r="Y384" s="32"/>
      <c r="Z384" s="32"/>
      <c r="AA384" s="32"/>
      <c r="AB384" s="32"/>
      <c r="AC384" s="32"/>
      <c r="AD384" s="32"/>
      <c r="AE384" s="32"/>
      <c r="AG384" s="26">
        <f t="shared" si="152"/>
        <v>0</v>
      </c>
      <c r="AH384" s="27">
        <f t="shared" si="153"/>
        <v>1.9796252454073945E-2</v>
      </c>
      <c r="AI384" s="28">
        <f t="shared" si="166"/>
        <v>7.8975620974307183E-3</v>
      </c>
      <c r="AJ384" s="27">
        <f t="shared" si="154"/>
        <v>7.8975620974307183E-3</v>
      </c>
      <c r="AK384" s="28">
        <f t="shared" si="155"/>
        <v>6.3460339286250367E-4</v>
      </c>
      <c r="AL384" s="27">
        <f t="shared" si="156"/>
        <v>7.8975620974307183E-3</v>
      </c>
      <c r="AM384" s="28">
        <f t="shared" si="167"/>
        <v>2.6558345460906185E-2</v>
      </c>
      <c r="AN384" s="27">
        <f t="shared" si="168"/>
        <v>-7.8975620974307183E-3</v>
      </c>
      <c r="AO384" s="28">
        <f t="shared" si="157"/>
        <v>-7.8975620974307183E-3</v>
      </c>
      <c r="AP384" s="27">
        <f t="shared" si="158"/>
        <v>-6.3460339286250367E-4</v>
      </c>
      <c r="AQ384" s="29">
        <f t="shared" si="159"/>
        <v>-7.8975620974307183E-3</v>
      </c>
      <c r="AS384" s="30">
        <f t="shared" si="160"/>
        <v>0.83039814536222445</v>
      </c>
      <c r="AT384" s="21">
        <f t="shared" si="161"/>
        <v>0.79535740386295817</v>
      </c>
      <c r="AU384" s="31">
        <f t="shared" ca="1" si="169"/>
        <v>5.6835833385171508E-4</v>
      </c>
      <c r="AV384" s="109">
        <f t="shared" ca="1" si="170"/>
        <v>5.7015621210676493E-4</v>
      </c>
      <c r="AW384" s="27" t="e">
        <f t="shared" ca="1" si="171"/>
        <v>#VALUE!</v>
      </c>
      <c r="AX384" s="29" t="e">
        <f t="shared" ca="1" si="172"/>
        <v>#VALUE!</v>
      </c>
      <c r="AY384" s="72"/>
    </row>
    <row r="385" spans="13:51" s="11" customFormat="1" ht="15.6" customHeight="1" x14ac:dyDescent="0.3">
      <c r="M385" s="20">
        <f t="shared" si="173"/>
        <v>355</v>
      </c>
      <c r="N385" s="21">
        <f t="shared" si="174"/>
        <v>6.2125000000000199</v>
      </c>
      <c r="O385" s="22">
        <f t="shared" ca="1" si="146"/>
        <v>194.94594383661791</v>
      </c>
      <c r="P385" s="23">
        <f t="shared" ca="1" si="147"/>
        <v>-1</v>
      </c>
      <c r="Q385" s="22" t="e">
        <f t="shared" ca="1" si="148"/>
        <v>#VALUE!</v>
      </c>
      <c r="R385" s="23">
        <f t="shared" ca="1" si="149"/>
        <v>-1</v>
      </c>
      <c r="S385" s="24" t="e">
        <f t="shared" ca="1" si="150"/>
        <v>#VALUE!</v>
      </c>
      <c r="T385" s="23">
        <f t="shared" ca="1" si="151"/>
        <v>-1</v>
      </c>
      <c r="U385" s="112">
        <f t="shared" si="162"/>
        <v>7.7388036074222495E-3</v>
      </c>
      <c r="V385" s="109">
        <f t="shared" si="163"/>
        <v>-7.7388036074222495E-3</v>
      </c>
      <c r="W385" s="112">
        <f t="shared" si="164"/>
        <v>7.7388036074222495E-3</v>
      </c>
      <c r="X385" s="113">
        <f t="shared" si="165"/>
        <v>-7.7388036074222495E-3</v>
      </c>
      <c r="Y385" s="32"/>
      <c r="Z385" s="32"/>
      <c r="AA385" s="32"/>
      <c r="AB385" s="32"/>
      <c r="AC385" s="32"/>
      <c r="AD385" s="32"/>
      <c r="AE385" s="32"/>
      <c r="AG385" s="26">
        <f t="shared" si="152"/>
        <v>0</v>
      </c>
      <c r="AH385" s="27">
        <f t="shared" si="153"/>
        <v>1.9398303934180995E-2</v>
      </c>
      <c r="AI385" s="28">
        <f t="shared" si="166"/>
        <v>7.7388036074222495E-3</v>
      </c>
      <c r="AJ385" s="27">
        <f t="shared" si="154"/>
        <v>7.7388036074222495E-3</v>
      </c>
      <c r="AK385" s="28">
        <f t="shared" si="155"/>
        <v>6.2097000137758228E-4</v>
      </c>
      <c r="AL385" s="27">
        <f t="shared" si="156"/>
        <v>7.7388036074222495E-3</v>
      </c>
      <c r="AM385" s="28">
        <f t="shared" si="167"/>
        <v>2.6558345460906185E-2</v>
      </c>
      <c r="AN385" s="27">
        <f t="shared" si="168"/>
        <v>-7.7388036074222495E-3</v>
      </c>
      <c r="AO385" s="28">
        <f t="shared" si="157"/>
        <v>-7.7388036074222495E-3</v>
      </c>
      <c r="AP385" s="27">
        <f t="shared" si="158"/>
        <v>-6.2097000137758228E-4</v>
      </c>
      <c r="AQ385" s="29">
        <f t="shared" si="159"/>
        <v>-7.7388036074222495E-3</v>
      </c>
      <c r="AS385" s="30">
        <f t="shared" si="160"/>
        <v>0.82996230075512945</v>
      </c>
      <c r="AT385" s="21">
        <f t="shared" si="161"/>
        <v>0.77827048157534939</v>
      </c>
      <c r="AU385" s="31">
        <f t="shared" ca="1" si="169"/>
        <v>5.6810928373585146E-4</v>
      </c>
      <c r="AV385" s="109">
        <f t="shared" ca="1" si="170"/>
        <v>5.6990410077606413E-4</v>
      </c>
      <c r="AW385" s="27" t="e">
        <f t="shared" ca="1" si="171"/>
        <v>#VALUE!</v>
      </c>
      <c r="AX385" s="29" t="e">
        <f t="shared" ca="1" si="172"/>
        <v>#VALUE!</v>
      </c>
      <c r="AY385" s="72"/>
    </row>
    <row r="386" spans="13:51" s="11" customFormat="1" ht="15.6" customHeight="1" x14ac:dyDescent="0.3">
      <c r="M386" s="20">
        <f t="shared" si="173"/>
        <v>356</v>
      </c>
      <c r="N386" s="21">
        <f t="shared" si="174"/>
        <v>6.23000000000002</v>
      </c>
      <c r="O386" s="22">
        <f t="shared" ca="1" si="146"/>
        <v>195.06780072533053</v>
      </c>
      <c r="P386" s="23">
        <f t="shared" ca="1" si="147"/>
        <v>-1</v>
      </c>
      <c r="Q386" s="22" t="e">
        <f t="shared" ca="1" si="148"/>
        <v>#VALUE!</v>
      </c>
      <c r="R386" s="23">
        <f t="shared" ca="1" si="149"/>
        <v>-1</v>
      </c>
      <c r="S386" s="24" t="e">
        <f t="shared" ca="1" si="150"/>
        <v>#VALUE!</v>
      </c>
      <c r="T386" s="23">
        <f t="shared" ca="1" si="151"/>
        <v>-1</v>
      </c>
      <c r="U386" s="112">
        <f t="shared" si="162"/>
        <v>7.5794618091772426E-3</v>
      </c>
      <c r="V386" s="109">
        <f t="shared" si="163"/>
        <v>-7.5794618091772426E-3</v>
      </c>
      <c r="W386" s="112">
        <f t="shared" si="164"/>
        <v>7.5794618091772426E-3</v>
      </c>
      <c r="X386" s="113">
        <f t="shared" si="165"/>
        <v>-7.5794618091772426E-3</v>
      </c>
      <c r="Y386" s="32"/>
      <c r="Z386" s="32"/>
      <c r="AA386" s="32"/>
      <c r="AB386" s="32"/>
      <c r="AC386" s="32"/>
      <c r="AD386" s="32"/>
      <c r="AE386" s="32"/>
      <c r="AG386" s="26">
        <f t="shared" si="152"/>
        <v>0</v>
      </c>
      <c r="AH386" s="27">
        <f t="shared" si="153"/>
        <v>1.8998893277369512E-2</v>
      </c>
      <c r="AI386" s="28">
        <f t="shared" si="166"/>
        <v>7.5794618091772426E-3</v>
      </c>
      <c r="AJ386" s="27">
        <f t="shared" si="154"/>
        <v>7.5794618091772426E-3</v>
      </c>
      <c r="AK386" s="28">
        <f t="shared" si="155"/>
        <v>6.0732945048295171E-4</v>
      </c>
      <c r="AL386" s="27">
        <f t="shared" si="156"/>
        <v>7.5794618091772426E-3</v>
      </c>
      <c r="AM386" s="28">
        <f t="shared" si="167"/>
        <v>2.6558345460906185E-2</v>
      </c>
      <c r="AN386" s="27">
        <f t="shared" si="168"/>
        <v>-7.5794618091772426E-3</v>
      </c>
      <c r="AO386" s="28">
        <f t="shared" si="157"/>
        <v>-7.5794618091772426E-3</v>
      </c>
      <c r="AP386" s="27">
        <f t="shared" si="158"/>
        <v>-6.0732945048295171E-4</v>
      </c>
      <c r="AQ386" s="29">
        <f t="shared" si="159"/>
        <v>-7.5794618091772426E-3</v>
      </c>
      <c r="AS386" s="30">
        <f t="shared" si="160"/>
        <v>0.82952668490639891</v>
      </c>
      <c r="AT386" s="21">
        <f t="shared" si="161"/>
        <v>0.76117458629833734</v>
      </c>
      <c r="AU386" s="31">
        <f t="shared" ca="1" si="169"/>
        <v>5.678670115217832E-4</v>
      </c>
      <c r="AV386" s="109">
        <f t="shared" ca="1" si="170"/>
        <v>5.6965876250480996E-4</v>
      </c>
      <c r="AW386" s="27" t="e">
        <f t="shared" ca="1" si="171"/>
        <v>#VALUE!</v>
      </c>
      <c r="AX386" s="29" t="e">
        <f t="shared" ca="1" si="172"/>
        <v>#VALUE!</v>
      </c>
      <c r="AY386" s="72"/>
    </row>
    <row r="387" spans="13:51" s="11" customFormat="1" ht="15.6" customHeight="1" x14ac:dyDescent="0.3">
      <c r="M387" s="20">
        <f t="shared" si="173"/>
        <v>357</v>
      </c>
      <c r="N387" s="21">
        <f t="shared" si="174"/>
        <v>6.24750000000002</v>
      </c>
      <c r="O387" s="22">
        <f t="shared" ca="1" si="146"/>
        <v>195.18915475764322</v>
      </c>
      <c r="P387" s="23">
        <f t="shared" ca="1" si="147"/>
        <v>-1</v>
      </c>
      <c r="Q387" s="22" t="e">
        <f t="shared" ca="1" si="148"/>
        <v>#VALUE!</v>
      </c>
      <c r="R387" s="23">
        <f t="shared" ca="1" si="149"/>
        <v>-1</v>
      </c>
      <c r="S387" s="24" t="e">
        <f t="shared" ca="1" si="150"/>
        <v>#VALUE!</v>
      </c>
      <c r="T387" s="23">
        <f t="shared" ca="1" si="151"/>
        <v>-1</v>
      </c>
      <c r="U387" s="112">
        <f t="shared" si="162"/>
        <v>7.4195373524455219E-3</v>
      </c>
      <c r="V387" s="109">
        <f t="shared" si="163"/>
        <v>-7.4195373524455219E-3</v>
      </c>
      <c r="W387" s="112">
        <f t="shared" si="164"/>
        <v>7.4195373524455219E-3</v>
      </c>
      <c r="X387" s="113">
        <f t="shared" si="165"/>
        <v>-7.4195373524455219E-3</v>
      </c>
      <c r="Y387" s="32"/>
      <c r="Z387" s="32"/>
      <c r="AA387" s="32"/>
      <c r="AB387" s="32"/>
      <c r="AC387" s="32"/>
      <c r="AD387" s="32"/>
      <c r="AE387" s="32"/>
      <c r="AG387" s="26">
        <f t="shared" si="152"/>
        <v>0</v>
      </c>
      <c r="AH387" s="27">
        <f t="shared" si="153"/>
        <v>1.859802211232078E-2</v>
      </c>
      <c r="AI387" s="28">
        <f t="shared" si="166"/>
        <v>7.4195373524455219E-3</v>
      </c>
      <c r="AJ387" s="27">
        <f t="shared" si="154"/>
        <v>7.4195373524455219E-3</v>
      </c>
      <c r="AK387" s="28">
        <f t="shared" si="155"/>
        <v>5.9368173641893471E-4</v>
      </c>
      <c r="AL387" s="27">
        <f t="shared" si="156"/>
        <v>7.4195373524455219E-3</v>
      </c>
      <c r="AM387" s="28">
        <f t="shared" si="167"/>
        <v>2.6558345460906185E-2</v>
      </c>
      <c r="AN387" s="27">
        <f t="shared" si="168"/>
        <v>-7.4195373524455219E-3</v>
      </c>
      <c r="AO387" s="28">
        <f t="shared" si="157"/>
        <v>-7.4195373524455219E-3</v>
      </c>
      <c r="AP387" s="27">
        <f t="shared" si="158"/>
        <v>-5.9368173641893482E-4</v>
      </c>
      <c r="AQ387" s="29">
        <f t="shared" si="159"/>
        <v>-7.4195373524455219E-3</v>
      </c>
      <c r="AS387" s="30">
        <f t="shared" si="160"/>
        <v>0.82909129769596612</v>
      </c>
      <c r="AT387" s="21">
        <f t="shared" si="161"/>
        <v>0.74406971331986527</v>
      </c>
      <c r="AU387" s="31">
        <f t="shared" ca="1" si="169"/>
        <v>5.6762520988506981E-4</v>
      </c>
      <c r="AV387" s="109">
        <f t="shared" ca="1" si="170"/>
        <v>5.6941389645315255E-4</v>
      </c>
      <c r="AW387" s="27" t="e">
        <f t="shared" ca="1" si="171"/>
        <v>#VALUE!</v>
      </c>
      <c r="AX387" s="29" t="e">
        <f t="shared" ca="1" si="172"/>
        <v>#VALUE!</v>
      </c>
      <c r="AY387" s="72"/>
    </row>
    <row r="388" spans="13:51" s="11" customFormat="1" ht="15.6" customHeight="1" x14ac:dyDescent="0.3">
      <c r="M388" s="20">
        <f t="shared" si="173"/>
        <v>358</v>
      </c>
      <c r="N388" s="21">
        <f t="shared" si="174"/>
        <v>6.2650000000000201</v>
      </c>
      <c r="O388" s="22">
        <f t="shared" ca="1" si="146"/>
        <v>195.31001834585689</v>
      </c>
      <c r="P388" s="23">
        <f t="shared" ca="1" si="147"/>
        <v>-1</v>
      </c>
      <c r="Q388" s="22" t="e">
        <f t="shared" ca="1" si="148"/>
        <v>#VALUE!</v>
      </c>
      <c r="R388" s="23">
        <f t="shared" ca="1" si="149"/>
        <v>-1</v>
      </c>
      <c r="S388" s="24" t="e">
        <f t="shared" ca="1" si="150"/>
        <v>#VALUE!</v>
      </c>
      <c r="T388" s="23">
        <f t="shared" ca="1" si="151"/>
        <v>-1</v>
      </c>
      <c r="U388" s="112">
        <f t="shared" si="162"/>
        <v>7.2590308816430612E-3</v>
      </c>
      <c r="V388" s="109">
        <f t="shared" si="163"/>
        <v>-7.2590308816430612E-3</v>
      </c>
      <c r="W388" s="112">
        <f t="shared" si="164"/>
        <v>7.2590308816430612E-3</v>
      </c>
      <c r="X388" s="113">
        <f t="shared" si="165"/>
        <v>-7.2590308816430612E-3</v>
      </c>
      <c r="Y388" s="32"/>
      <c r="Z388" s="32"/>
      <c r="AA388" s="32"/>
      <c r="AB388" s="32"/>
      <c r="AC388" s="32"/>
      <c r="AD388" s="32"/>
      <c r="AE388" s="32"/>
      <c r="AG388" s="26">
        <f t="shared" si="152"/>
        <v>0</v>
      </c>
      <c r="AH388" s="27">
        <f t="shared" si="153"/>
        <v>1.8195692054346096E-2</v>
      </c>
      <c r="AI388" s="28">
        <f t="shared" si="166"/>
        <v>7.2590308816430612E-3</v>
      </c>
      <c r="AJ388" s="27">
        <f t="shared" si="154"/>
        <v>7.2590308816430612E-3</v>
      </c>
      <c r="AK388" s="28">
        <f t="shared" si="155"/>
        <v>5.8002685542387852E-4</v>
      </c>
      <c r="AL388" s="27">
        <f t="shared" si="156"/>
        <v>7.2590308816430612E-3</v>
      </c>
      <c r="AM388" s="28">
        <f t="shared" si="167"/>
        <v>2.6558345460906185E-2</v>
      </c>
      <c r="AN388" s="27">
        <f t="shared" si="168"/>
        <v>-7.2590308816430612E-3</v>
      </c>
      <c r="AO388" s="28">
        <f t="shared" si="157"/>
        <v>-7.2590308816430612E-3</v>
      </c>
      <c r="AP388" s="27">
        <f t="shared" si="158"/>
        <v>-5.8002685542387852E-4</v>
      </c>
      <c r="AQ388" s="29">
        <f t="shared" si="159"/>
        <v>-7.2590308816430612E-3</v>
      </c>
      <c r="AS388" s="30">
        <f t="shared" si="160"/>
        <v>0.8286561390038274</v>
      </c>
      <c r="AT388" s="21">
        <f t="shared" si="161"/>
        <v>0.72695585792540063</v>
      </c>
      <c r="AU388" s="31">
        <f t="shared" ca="1" si="169"/>
        <v>5.6739034505937092E-4</v>
      </c>
      <c r="AV388" s="109">
        <f t="shared" ca="1" si="170"/>
        <v>5.6917596210126487E-4</v>
      </c>
      <c r="AW388" s="27" t="e">
        <f t="shared" ca="1" si="171"/>
        <v>#VALUE!</v>
      </c>
      <c r="AX388" s="29" t="e">
        <f t="shared" ca="1" si="172"/>
        <v>#VALUE!</v>
      </c>
      <c r="AY388" s="72"/>
    </row>
    <row r="389" spans="13:51" s="11" customFormat="1" ht="15.6" customHeight="1" x14ac:dyDescent="0.3">
      <c r="M389" s="20">
        <f t="shared" si="173"/>
        <v>359</v>
      </c>
      <c r="N389" s="21">
        <f t="shared" si="174"/>
        <v>6.2825000000000202</v>
      </c>
      <c r="O389" s="22">
        <f t="shared" ca="1" si="146"/>
        <v>195.43037338038266</v>
      </c>
      <c r="P389" s="23">
        <f t="shared" ca="1" si="147"/>
        <v>-1</v>
      </c>
      <c r="Q389" s="22" t="e">
        <f t="shared" ca="1" si="148"/>
        <v>#VALUE!</v>
      </c>
      <c r="R389" s="23">
        <f t="shared" ca="1" si="149"/>
        <v>-1</v>
      </c>
      <c r="S389" s="24" t="e">
        <f t="shared" ca="1" si="150"/>
        <v>#VALUE!</v>
      </c>
      <c r="T389" s="23">
        <f t="shared" ca="1" si="151"/>
        <v>-1</v>
      </c>
      <c r="U389" s="112">
        <f t="shared" si="162"/>
        <v>7.0979430358990986E-3</v>
      </c>
      <c r="V389" s="109">
        <f t="shared" si="163"/>
        <v>-7.0979430358990986E-3</v>
      </c>
      <c r="W389" s="112">
        <f t="shared" si="164"/>
        <v>7.0979430358990986E-3</v>
      </c>
      <c r="X389" s="113">
        <f t="shared" si="165"/>
        <v>-7.0979430358990986E-3</v>
      </c>
      <c r="Y389" s="32"/>
      <c r="Z389" s="32"/>
      <c r="AA389" s="32"/>
      <c r="AB389" s="32"/>
      <c r="AC389" s="32"/>
      <c r="AD389" s="32"/>
      <c r="AE389" s="32"/>
      <c r="AG389" s="26">
        <f t="shared" si="152"/>
        <v>0</v>
      </c>
      <c r="AH389" s="27">
        <f t="shared" si="153"/>
        <v>1.7791904705504881E-2</v>
      </c>
      <c r="AI389" s="28">
        <f t="shared" si="166"/>
        <v>7.0979430358990986E-3</v>
      </c>
      <c r="AJ389" s="27">
        <f t="shared" si="154"/>
        <v>7.0979430358990986E-3</v>
      </c>
      <c r="AK389" s="28">
        <f t="shared" si="155"/>
        <v>5.6636480373415819E-4</v>
      </c>
      <c r="AL389" s="27">
        <f t="shared" si="156"/>
        <v>7.0979430358990986E-3</v>
      </c>
      <c r="AM389" s="28">
        <f t="shared" si="167"/>
        <v>2.6558345460906185E-2</v>
      </c>
      <c r="AN389" s="27">
        <f t="shared" si="168"/>
        <v>-7.0979430358990986E-3</v>
      </c>
      <c r="AO389" s="28">
        <f t="shared" si="157"/>
        <v>-7.0979430358990986E-3</v>
      </c>
      <c r="AP389" s="27">
        <f t="shared" si="158"/>
        <v>-5.6636480373415819E-4</v>
      </c>
      <c r="AQ389" s="29">
        <f t="shared" si="159"/>
        <v>-7.0979430358990986E-3</v>
      </c>
      <c r="AS389" s="30">
        <f t="shared" si="160"/>
        <v>0.82822120871004234</v>
      </c>
      <c r="AT389" s="21">
        <f t="shared" si="161"/>
        <v>0.70983301539793897</v>
      </c>
      <c r="AU389" s="31">
        <f t="shared" ca="1" si="169"/>
        <v>5.671364709358695E-4</v>
      </c>
      <c r="AV389" s="109">
        <f t="shared" ca="1" si="170"/>
        <v>5.6891904041278529E-4</v>
      </c>
      <c r="AW389" s="27" t="e">
        <f t="shared" ca="1" si="171"/>
        <v>#VALUE!</v>
      </c>
      <c r="AX389" s="29" t="e">
        <f t="shared" ca="1" si="172"/>
        <v>#VALUE!</v>
      </c>
      <c r="AY389" s="72"/>
    </row>
    <row r="390" spans="13:51" s="11" customFormat="1" ht="15.6" customHeight="1" x14ac:dyDescent="0.3">
      <c r="M390" s="20">
        <f t="shared" si="173"/>
        <v>360</v>
      </c>
      <c r="N390" s="21">
        <f t="shared" si="174"/>
        <v>6.3000000000000203</v>
      </c>
      <c r="O390" s="22">
        <f t="shared" ca="1" si="146"/>
        <v>195.55025525687481</v>
      </c>
      <c r="P390" s="23">
        <f t="shared" ca="1" si="147"/>
        <v>-1</v>
      </c>
      <c r="Q390" s="22" t="e">
        <f t="shared" ca="1" si="148"/>
        <v>#VALUE!</v>
      </c>
      <c r="R390" s="23">
        <f t="shared" ca="1" si="149"/>
        <v>-1</v>
      </c>
      <c r="S390" s="24" t="e">
        <f t="shared" ca="1" si="150"/>
        <v>#VALUE!</v>
      </c>
      <c r="T390" s="23">
        <f t="shared" ca="1" si="151"/>
        <v>-1</v>
      </c>
      <c r="U390" s="112">
        <f t="shared" si="162"/>
        <v>6.9362744491025434E-3</v>
      </c>
      <c r="V390" s="109">
        <f t="shared" si="163"/>
        <v>-6.9362744491025434E-3</v>
      </c>
      <c r="W390" s="112">
        <f t="shared" si="164"/>
        <v>6.9362744491025434E-3</v>
      </c>
      <c r="X390" s="113">
        <f t="shared" si="165"/>
        <v>-6.9362744491025434E-3</v>
      </c>
      <c r="Y390" s="32"/>
      <c r="Z390" s="32"/>
      <c r="AA390" s="32"/>
      <c r="AB390" s="32"/>
      <c r="AC390" s="32"/>
      <c r="AD390" s="32"/>
      <c r="AE390" s="32"/>
      <c r="AG390" s="26">
        <f t="shared" si="152"/>
        <v>0</v>
      </c>
      <c r="AH390" s="27">
        <f t="shared" si="153"/>
        <v>1.7386661654721001E-2</v>
      </c>
      <c r="AI390" s="28">
        <f t="shared" si="166"/>
        <v>6.9362744491025434E-3</v>
      </c>
      <c r="AJ390" s="27">
        <f t="shared" si="154"/>
        <v>6.9362744491025434E-3</v>
      </c>
      <c r="AK390" s="28">
        <f t="shared" si="155"/>
        <v>5.5269557758416709E-4</v>
      </c>
      <c r="AL390" s="27">
        <f t="shared" si="156"/>
        <v>6.9362744491025434E-3</v>
      </c>
      <c r="AM390" s="28">
        <f t="shared" si="167"/>
        <v>2.6558345460906185E-2</v>
      </c>
      <c r="AN390" s="27">
        <f t="shared" si="168"/>
        <v>-6.9362744491025434E-3</v>
      </c>
      <c r="AO390" s="28">
        <f t="shared" si="157"/>
        <v>-6.9362744491025434E-3</v>
      </c>
      <c r="AP390" s="27">
        <f t="shared" si="158"/>
        <v>-5.526955775841672E-4</v>
      </c>
      <c r="AQ390" s="29">
        <f t="shared" si="159"/>
        <v>-6.9362744491025434E-3</v>
      </c>
      <c r="AS390" s="30">
        <f t="shared" si="160"/>
        <v>0.82778650669473308</v>
      </c>
      <c r="AT390" s="21">
        <f t="shared" si="161"/>
        <v>0.6927011810179925</v>
      </c>
      <c r="AU390" s="31">
        <f t="shared" ca="1" si="169"/>
        <v>5.669092206619375E-4</v>
      </c>
      <c r="AV390" s="109">
        <f t="shared" ca="1" si="170"/>
        <v>5.6868871686710509E-4</v>
      </c>
      <c r="AW390" s="27" t="e">
        <f t="shared" ca="1" si="171"/>
        <v>#VALUE!</v>
      </c>
      <c r="AX390" s="29" t="e">
        <f t="shared" ca="1" si="172"/>
        <v>#VALUE!</v>
      </c>
      <c r="AY390" s="72"/>
    </row>
    <row r="391" spans="13:51" s="11" customFormat="1" ht="15.6" customHeight="1" x14ac:dyDescent="0.3">
      <c r="M391" s="20">
        <f t="shared" si="173"/>
        <v>361</v>
      </c>
      <c r="N391" s="21">
        <f t="shared" si="174"/>
        <v>6.3175000000000203</v>
      </c>
      <c r="O391" s="22">
        <f t="shared" ca="1" si="146"/>
        <v>195.66964968148207</v>
      </c>
      <c r="P391" s="23">
        <f t="shared" ca="1" si="147"/>
        <v>-1</v>
      </c>
      <c r="Q391" s="22" t="e">
        <f t="shared" ca="1" si="148"/>
        <v>#VALUE!</v>
      </c>
      <c r="R391" s="23">
        <f t="shared" ca="1" si="149"/>
        <v>-1</v>
      </c>
      <c r="S391" s="24" t="e">
        <f t="shared" ca="1" si="150"/>
        <v>#VALUE!</v>
      </c>
      <c r="T391" s="23">
        <f t="shared" ca="1" si="151"/>
        <v>-1</v>
      </c>
      <c r="U391" s="112">
        <f t="shared" si="162"/>
        <v>6.7740257499481022E-3</v>
      </c>
      <c r="V391" s="109">
        <f t="shared" si="163"/>
        <v>-6.7740257499481022E-3</v>
      </c>
      <c r="W391" s="112">
        <f t="shared" si="164"/>
        <v>6.7740257499481022E-3</v>
      </c>
      <c r="X391" s="113">
        <f t="shared" si="165"/>
        <v>-6.7740257499481022E-3</v>
      </c>
      <c r="Y391" s="32"/>
      <c r="Z391" s="32"/>
      <c r="AA391" s="32"/>
      <c r="AB391" s="32"/>
      <c r="AC391" s="32"/>
      <c r="AD391" s="32"/>
      <c r="AE391" s="32"/>
      <c r="AG391" s="26">
        <f t="shared" si="152"/>
        <v>0</v>
      </c>
      <c r="AH391" s="27">
        <f t="shared" si="153"/>
        <v>1.6979964477898381E-2</v>
      </c>
      <c r="AI391" s="28">
        <f t="shared" si="166"/>
        <v>6.7740257499481022E-3</v>
      </c>
      <c r="AJ391" s="27">
        <f t="shared" si="154"/>
        <v>6.7740257499481022E-3</v>
      </c>
      <c r="AK391" s="28">
        <f t="shared" si="155"/>
        <v>5.3901917320632944E-4</v>
      </c>
      <c r="AL391" s="27">
        <f t="shared" si="156"/>
        <v>6.7740257499481022E-3</v>
      </c>
      <c r="AM391" s="28">
        <f t="shared" si="167"/>
        <v>2.6558345460906185E-2</v>
      </c>
      <c r="AN391" s="27">
        <f t="shared" si="168"/>
        <v>-6.7740257499481022E-3</v>
      </c>
      <c r="AO391" s="28">
        <f t="shared" si="157"/>
        <v>-6.7740257499481022E-3</v>
      </c>
      <c r="AP391" s="27">
        <f t="shared" si="158"/>
        <v>-5.3901917320632955E-4</v>
      </c>
      <c r="AQ391" s="29">
        <f t="shared" si="159"/>
        <v>-6.7740257499481022E-3</v>
      </c>
      <c r="AS391" s="30">
        <f t="shared" si="160"/>
        <v>0.82735203283808512</v>
      </c>
      <c r="AT391" s="21">
        <f t="shared" si="161"/>
        <v>0.67556035006360504</v>
      </c>
      <c r="AU391" s="31">
        <f t="shared" ca="1" si="169"/>
        <v>5.6666627844803585E-4</v>
      </c>
      <c r="AV391" s="109">
        <f t="shared" ca="1" si="170"/>
        <v>5.684427198959785E-4</v>
      </c>
      <c r="AW391" s="27" t="e">
        <f t="shared" ca="1" si="171"/>
        <v>#VALUE!</v>
      </c>
      <c r="AX391" s="29" t="e">
        <f t="shared" ca="1" si="172"/>
        <v>#VALUE!</v>
      </c>
      <c r="AY391" s="72"/>
    </row>
    <row r="392" spans="13:51" s="11" customFormat="1" ht="15.6" customHeight="1" x14ac:dyDescent="0.3">
      <c r="M392" s="20">
        <f t="shared" si="173"/>
        <v>362</v>
      </c>
      <c r="N392" s="21">
        <f t="shared" si="174"/>
        <v>6.3350000000000204</v>
      </c>
      <c r="O392" s="22">
        <f t="shared" ca="1" si="146"/>
        <v>195.78856146629806</v>
      </c>
      <c r="P392" s="23">
        <f t="shared" ca="1" si="147"/>
        <v>-1</v>
      </c>
      <c r="Q392" s="22" t="e">
        <f t="shared" ca="1" si="148"/>
        <v>#VALUE!</v>
      </c>
      <c r="R392" s="23">
        <f t="shared" ca="1" si="149"/>
        <v>-1</v>
      </c>
      <c r="S392" s="24" t="e">
        <f t="shared" ca="1" si="150"/>
        <v>#VALUE!</v>
      </c>
      <c r="T392" s="23">
        <f t="shared" ca="1" si="151"/>
        <v>-1</v>
      </c>
      <c r="U392" s="112">
        <f t="shared" si="162"/>
        <v>6.6111975619815057E-3</v>
      </c>
      <c r="V392" s="109">
        <f t="shared" si="163"/>
        <v>-6.6111975619815057E-3</v>
      </c>
      <c r="W392" s="112">
        <f t="shared" si="164"/>
        <v>6.6111975619815057E-3</v>
      </c>
      <c r="X392" s="113">
        <f t="shared" si="165"/>
        <v>-6.6111975619815057E-3</v>
      </c>
      <c r="Y392" s="32"/>
      <c r="Z392" s="32"/>
      <c r="AA392" s="32"/>
      <c r="AB392" s="32"/>
      <c r="AC392" s="32"/>
      <c r="AD392" s="32"/>
      <c r="AE392" s="32"/>
      <c r="AG392" s="26">
        <f t="shared" si="152"/>
        <v>0</v>
      </c>
      <c r="AH392" s="27">
        <f t="shared" si="153"/>
        <v>1.6571814738034377E-2</v>
      </c>
      <c r="AI392" s="28">
        <f t="shared" si="166"/>
        <v>6.6111975619815057E-3</v>
      </c>
      <c r="AJ392" s="27">
        <f t="shared" si="154"/>
        <v>6.6111975619815057E-3</v>
      </c>
      <c r="AK392" s="28">
        <f t="shared" si="155"/>
        <v>5.2533558683108517E-4</v>
      </c>
      <c r="AL392" s="27">
        <f t="shared" si="156"/>
        <v>6.6111975619815057E-3</v>
      </c>
      <c r="AM392" s="28">
        <f t="shared" si="167"/>
        <v>2.6558345460906185E-2</v>
      </c>
      <c r="AN392" s="27">
        <f t="shared" si="168"/>
        <v>-6.6111975619815057E-3</v>
      </c>
      <c r="AO392" s="28">
        <f t="shared" si="157"/>
        <v>-6.6111975619815057E-3</v>
      </c>
      <c r="AP392" s="27">
        <f t="shared" si="158"/>
        <v>-5.2533558683108517E-4</v>
      </c>
      <c r="AQ392" s="29">
        <f t="shared" si="159"/>
        <v>-6.6111975619815057E-3</v>
      </c>
      <c r="AS392" s="30">
        <f t="shared" si="160"/>
        <v>0.82691778702034635</v>
      </c>
      <c r="AT392" s="21">
        <f t="shared" si="161"/>
        <v>0.65841051781033355</v>
      </c>
      <c r="AU392" s="31">
        <f t="shared" ca="1" si="169"/>
        <v>5.6642395773554011E-4</v>
      </c>
      <c r="AV392" s="109">
        <f t="shared" ca="1" si="170"/>
        <v>5.6819734590840554E-4</v>
      </c>
      <c r="AW392" s="27" t="e">
        <f t="shared" ca="1" si="171"/>
        <v>#VALUE!</v>
      </c>
      <c r="AX392" s="29" t="e">
        <f t="shared" ca="1" si="172"/>
        <v>#VALUE!</v>
      </c>
      <c r="AY392" s="72"/>
    </row>
    <row r="393" spans="13:51" s="11" customFormat="1" ht="15.6" customHeight="1" x14ac:dyDescent="0.3">
      <c r="M393" s="20">
        <f t="shared" si="173"/>
        <v>363</v>
      </c>
      <c r="N393" s="21">
        <f t="shared" si="174"/>
        <v>6.3525000000000205</v>
      </c>
      <c r="O393" s="22">
        <f t="shared" ca="1" si="146"/>
        <v>195.90699920070443</v>
      </c>
      <c r="P393" s="23">
        <f t="shared" ca="1" si="147"/>
        <v>-1</v>
      </c>
      <c r="Q393" s="22" t="e">
        <f t="shared" ca="1" si="148"/>
        <v>#VALUE!</v>
      </c>
      <c r="R393" s="23">
        <f t="shared" ca="1" si="149"/>
        <v>-1</v>
      </c>
      <c r="S393" s="24" t="e">
        <f t="shared" ca="1" si="150"/>
        <v>#VALUE!</v>
      </c>
      <c r="T393" s="23">
        <f t="shared" ca="1" si="151"/>
        <v>-1</v>
      </c>
      <c r="U393" s="112">
        <f t="shared" si="162"/>
        <v>6.4477905036444422E-3</v>
      </c>
      <c r="V393" s="109">
        <f t="shared" si="163"/>
        <v>-6.4477905036444422E-3</v>
      </c>
      <c r="W393" s="112">
        <f t="shared" si="164"/>
        <v>6.4477905036444422E-3</v>
      </c>
      <c r="X393" s="113">
        <f t="shared" si="165"/>
        <v>-6.4477905036444422E-3</v>
      </c>
      <c r="Y393" s="32"/>
      <c r="Z393" s="32"/>
      <c r="AA393" s="32"/>
      <c r="AB393" s="32"/>
      <c r="AC393" s="32"/>
      <c r="AD393" s="32"/>
      <c r="AE393" s="32"/>
      <c r="AG393" s="26">
        <f t="shared" si="152"/>
        <v>0</v>
      </c>
      <c r="AH393" s="27">
        <f t="shared" si="153"/>
        <v>1.6162213985332418E-2</v>
      </c>
      <c r="AI393" s="28">
        <f t="shared" si="166"/>
        <v>6.4477905036444422E-3</v>
      </c>
      <c r="AJ393" s="27">
        <f t="shared" si="154"/>
        <v>6.4477905036444422E-3</v>
      </c>
      <c r="AK393" s="28">
        <f t="shared" si="155"/>
        <v>5.1164481468689261E-4</v>
      </c>
      <c r="AL393" s="27">
        <f t="shared" si="156"/>
        <v>6.4477905036444422E-3</v>
      </c>
      <c r="AM393" s="28">
        <f t="shared" si="167"/>
        <v>2.6558345460906185E-2</v>
      </c>
      <c r="AN393" s="27">
        <f t="shared" si="168"/>
        <v>-6.4477905036444422E-3</v>
      </c>
      <c r="AO393" s="28">
        <f t="shared" si="157"/>
        <v>-6.4477905036444422E-3</v>
      </c>
      <c r="AP393" s="27">
        <f t="shared" si="158"/>
        <v>-5.1164481468689261E-4</v>
      </c>
      <c r="AQ393" s="29">
        <f t="shared" si="159"/>
        <v>-6.4477905036444422E-3</v>
      </c>
      <c r="AS393" s="30">
        <f t="shared" si="160"/>
        <v>0.82648376912182786</v>
      </c>
      <c r="AT393" s="21">
        <f t="shared" si="161"/>
        <v>0.64125167953125173</v>
      </c>
      <c r="AU393" s="31">
        <f t="shared" ca="1" si="169"/>
        <v>5.6618555254395186E-4</v>
      </c>
      <c r="AV393" s="109">
        <f t="shared" ca="1" si="170"/>
        <v>5.6795588543068209E-4</v>
      </c>
      <c r="AW393" s="27" t="e">
        <f t="shared" ca="1" si="171"/>
        <v>#VALUE!</v>
      </c>
      <c r="AX393" s="29" t="e">
        <f t="shared" ca="1" si="172"/>
        <v>#VALUE!</v>
      </c>
      <c r="AY393" s="72"/>
    </row>
    <row r="394" spans="13:51" s="11" customFormat="1" ht="15.6" customHeight="1" x14ac:dyDescent="0.3">
      <c r="M394" s="20">
        <f t="shared" si="173"/>
        <v>364</v>
      </c>
      <c r="N394" s="21">
        <f t="shared" si="174"/>
        <v>6.3700000000000205</v>
      </c>
      <c r="O394" s="22">
        <f t="shared" ca="1" si="146"/>
        <v>196.02496777069842</v>
      </c>
      <c r="P394" s="23">
        <f t="shared" ca="1" si="147"/>
        <v>-1</v>
      </c>
      <c r="Q394" s="22" t="e">
        <f t="shared" ca="1" si="148"/>
        <v>#VALUE!</v>
      </c>
      <c r="R394" s="23">
        <f t="shared" ca="1" si="149"/>
        <v>-1</v>
      </c>
      <c r="S394" s="24" t="e">
        <f t="shared" ca="1" si="150"/>
        <v>#VALUE!</v>
      </c>
      <c r="T394" s="23">
        <f t="shared" ca="1" si="151"/>
        <v>-1</v>
      </c>
      <c r="U394" s="112">
        <f t="shared" si="162"/>
        <v>6.2838051883189784E-3</v>
      </c>
      <c r="V394" s="109">
        <f t="shared" si="163"/>
        <v>-6.2838051883189784E-3</v>
      </c>
      <c r="W394" s="112">
        <f t="shared" si="164"/>
        <v>6.2838051883189784E-3</v>
      </c>
      <c r="X394" s="113">
        <f t="shared" si="165"/>
        <v>-6.2838051883189784E-3</v>
      </c>
      <c r="Y394" s="32"/>
      <c r="Z394" s="32"/>
      <c r="AA394" s="32"/>
      <c r="AB394" s="32"/>
      <c r="AC394" s="32"/>
      <c r="AD394" s="32"/>
      <c r="AE394" s="32"/>
      <c r="AG394" s="26">
        <f t="shared" si="152"/>
        <v>0</v>
      </c>
      <c r="AH394" s="27">
        <f t="shared" si="153"/>
        <v>1.5751163757313329E-2</v>
      </c>
      <c r="AI394" s="28">
        <f t="shared" si="166"/>
        <v>6.2838051883189784E-3</v>
      </c>
      <c r="AJ394" s="27">
        <f t="shared" si="154"/>
        <v>6.2838051883189784E-3</v>
      </c>
      <c r="AK394" s="28">
        <f t="shared" si="155"/>
        <v>4.9794685300023499E-4</v>
      </c>
      <c r="AL394" s="27">
        <f t="shared" si="156"/>
        <v>6.2838051883189784E-3</v>
      </c>
      <c r="AM394" s="28">
        <f t="shared" si="167"/>
        <v>2.6558345460906185E-2</v>
      </c>
      <c r="AN394" s="27">
        <f t="shared" si="168"/>
        <v>-6.2838051883189784E-3</v>
      </c>
      <c r="AO394" s="28">
        <f t="shared" si="157"/>
        <v>-6.2838051883189784E-3</v>
      </c>
      <c r="AP394" s="27">
        <f t="shared" si="158"/>
        <v>-4.9794685300023499E-4</v>
      </c>
      <c r="AQ394" s="29">
        <f t="shared" si="159"/>
        <v>-6.2838051883189784E-3</v>
      </c>
      <c r="AS394" s="30">
        <f t="shared" si="160"/>
        <v>0.82604997902290345</v>
      </c>
      <c r="AT394" s="21">
        <f t="shared" si="161"/>
        <v>0.62408383049695759</v>
      </c>
      <c r="AU394" s="31">
        <f t="shared" ca="1" si="169"/>
        <v>5.6594794035236262E-4</v>
      </c>
      <c r="AV394" s="109">
        <f t="shared" ca="1" si="170"/>
        <v>5.6771521920995216E-4</v>
      </c>
      <c r="AW394" s="27" t="e">
        <f t="shared" ca="1" si="171"/>
        <v>#VALUE!</v>
      </c>
      <c r="AX394" s="29" t="e">
        <f t="shared" ca="1" si="172"/>
        <v>#VALUE!</v>
      </c>
      <c r="AY394" s="72"/>
    </row>
    <row r="395" spans="13:51" s="11" customFormat="1" ht="15.6" customHeight="1" x14ac:dyDescent="0.3">
      <c r="M395" s="20">
        <f t="shared" si="173"/>
        <v>365</v>
      </c>
      <c r="N395" s="21">
        <f t="shared" si="174"/>
        <v>6.3875000000000206</v>
      </c>
      <c r="O395" s="22">
        <f t="shared" ca="1" si="146"/>
        <v>196.14247576660168</v>
      </c>
      <c r="P395" s="23">
        <f t="shared" ca="1" si="147"/>
        <v>-1</v>
      </c>
      <c r="Q395" s="22" t="e">
        <f t="shared" ca="1" si="148"/>
        <v>#VALUE!</v>
      </c>
      <c r="R395" s="23">
        <f t="shared" ca="1" si="149"/>
        <v>-1</v>
      </c>
      <c r="S395" s="24" t="e">
        <f t="shared" ca="1" si="150"/>
        <v>#VALUE!</v>
      </c>
      <c r="T395" s="23">
        <f t="shared" ca="1" si="151"/>
        <v>-1</v>
      </c>
      <c r="U395" s="112">
        <f t="shared" si="162"/>
        <v>6.1192422243712859E-3</v>
      </c>
      <c r="V395" s="109">
        <f t="shared" si="163"/>
        <v>-6.1192422243712859E-3</v>
      </c>
      <c r="W395" s="112">
        <f t="shared" si="164"/>
        <v>6.1192422243712859E-3</v>
      </c>
      <c r="X395" s="113">
        <f t="shared" si="165"/>
        <v>-6.1192422243712859E-3</v>
      </c>
      <c r="Y395" s="32"/>
      <c r="Z395" s="32"/>
      <c r="AA395" s="32"/>
      <c r="AB395" s="32"/>
      <c r="AC395" s="32"/>
      <c r="AD395" s="32"/>
      <c r="AE395" s="32"/>
      <c r="AG395" s="26">
        <f t="shared" si="152"/>
        <v>0</v>
      </c>
      <c r="AH395" s="27">
        <f t="shared" si="153"/>
        <v>1.5338665578924961E-2</v>
      </c>
      <c r="AI395" s="28">
        <f t="shared" si="166"/>
        <v>6.1192422243712859E-3</v>
      </c>
      <c r="AJ395" s="27">
        <f t="shared" si="154"/>
        <v>6.1192422243712859E-3</v>
      </c>
      <c r="AK395" s="28">
        <f t="shared" si="155"/>
        <v>4.8424169799561102E-4</v>
      </c>
      <c r="AL395" s="27">
        <f t="shared" si="156"/>
        <v>6.1192422243712859E-3</v>
      </c>
      <c r="AM395" s="28">
        <f t="shared" si="167"/>
        <v>2.6558345460906185E-2</v>
      </c>
      <c r="AN395" s="27">
        <f t="shared" si="168"/>
        <v>-6.1192422243712859E-3</v>
      </c>
      <c r="AO395" s="28">
        <f t="shared" si="157"/>
        <v>-6.1192422243712859E-3</v>
      </c>
      <c r="AP395" s="27">
        <f t="shared" si="158"/>
        <v>-4.8424169799561102E-4</v>
      </c>
      <c r="AQ395" s="29">
        <f t="shared" si="159"/>
        <v>-6.1192422243712859E-3</v>
      </c>
      <c r="AS395" s="30">
        <f t="shared" si="160"/>
        <v>0.82561641660400986</v>
      </c>
      <c r="AT395" s="21">
        <f t="shared" si="161"/>
        <v>0.60690696597556215</v>
      </c>
      <c r="AU395" s="31">
        <f t="shared" ca="1" si="169"/>
        <v>5.657143656380148E-4</v>
      </c>
      <c r="AV395" s="109">
        <f t="shared" ca="1" si="170"/>
        <v>5.6747858826189379E-4</v>
      </c>
      <c r="AW395" s="27" t="e">
        <f t="shared" ca="1" si="171"/>
        <v>#VALUE!</v>
      </c>
      <c r="AX395" s="29" t="e">
        <f t="shared" ca="1" si="172"/>
        <v>#VALUE!</v>
      </c>
      <c r="AY395" s="72"/>
    </row>
    <row r="396" spans="13:51" s="11" customFormat="1" ht="15.6" customHeight="1" x14ac:dyDescent="0.3">
      <c r="M396" s="20">
        <f t="shared" si="173"/>
        <v>366</v>
      </c>
      <c r="N396" s="21">
        <f t="shared" si="174"/>
        <v>6.4050000000000207</v>
      </c>
      <c r="O396" s="22">
        <f t="shared" ca="1" si="146"/>
        <v>196.25952418581056</v>
      </c>
      <c r="P396" s="23">
        <f t="shared" ca="1" si="147"/>
        <v>-1</v>
      </c>
      <c r="Q396" s="22" t="e">
        <f t="shared" ca="1" si="148"/>
        <v>#VALUE!</v>
      </c>
      <c r="R396" s="23">
        <f t="shared" ca="1" si="149"/>
        <v>-1</v>
      </c>
      <c r="S396" s="24" t="e">
        <f t="shared" ca="1" si="150"/>
        <v>#VALUE!</v>
      </c>
      <c r="T396" s="23">
        <f t="shared" ca="1" si="151"/>
        <v>-1</v>
      </c>
      <c r="U396" s="112">
        <f t="shared" si="162"/>
        <v>5.9541022151950035E-3</v>
      </c>
      <c r="V396" s="109">
        <f t="shared" si="163"/>
        <v>-5.9541022151950035E-3</v>
      </c>
      <c r="W396" s="112">
        <f t="shared" si="164"/>
        <v>5.9541022151950035E-3</v>
      </c>
      <c r="X396" s="113">
        <f t="shared" si="165"/>
        <v>-5.9541022151950035E-3</v>
      </c>
      <c r="Y396" s="32"/>
      <c r="Z396" s="32"/>
      <c r="AA396" s="32"/>
      <c r="AB396" s="32"/>
      <c r="AC396" s="32"/>
      <c r="AD396" s="32"/>
      <c r="AE396" s="32"/>
      <c r="AG396" s="26">
        <f t="shared" si="152"/>
        <v>0</v>
      </c>
      <c r="AH396" s="27">
        <f t="shared" si="153"/>
        <v>1.4924720962650868E-2</v>
      </c>
      <c r="AI396" s="28">
        <f t="shared" si="166"/>
        <v>5.9541022151950035E-3</v>
      </c>
      <c r="AJ396" s="27">
        <f t="shared" si="154"/>
        <v>5.9541022151950035E-3</v>
      </c>
      <c r="AK396" s="28">
        <f t="shared" si="155"/>
        <v>4.7052934589553842E-4</v>
      </c>
      <c r="AL396" s="27">
        <f t="shared" si="156"/>
        <v>5.9541022151950035E-3</v>
      </c>
      <c r="AM396" s="28">
        <f t="shared" si="167"/>
        <v>2.6558345460906185E-2</v>
      </c>
      <c r="AN396" s="27">
        <f t="shared" si="168"/>
        <v>-5.9541022151950035E-3</v>
      </c>
      <c r="AO396" s="28">
        <f t="shared" si="157"/>
        <v>-5.9541022151950035E-3</v>
      </c>
      <c r="AP396" s="27">
        <f t="shared" si="158"/>
        <v>-4.7052934589553847E-4</v>
      </c>
      <c r="AQ396" s="29">
        <f t="shared" si="159"/>
        <v>-5.9541022151950035E-3</v>
      </c>
      <c r="AS396" s="30">
        <f t="shared" si="160"/>
        <v>0.82518308174564614</v>
      </c>
      <c r="AT396" s="21">
        <f t="shared" si="161"/>
        <v>0.58972108123269329</v>
      </c>
      <c r="AU396" s="31">
        <f t="shared" ca="1" si="169"/>
        <v>5.6547832506437246E-4</v>
      </c>
      <c r="AV396" s="109">
        <f t="shared" ca="1" si="170"/>
        <v>5.6723949614134739E-4</v>
      </c>
      <c r="AW396" s="27" t="e">
        <f t="shared" ca="1" si="171"/>
        <v>#VALUE!</v>
      </c>
      <c r="AX396" s="29" t="e">
        <f t="shared" ca="1" si="172"/>
        <v>#VALUE!</v>
      </c>
      <c r="AY396" s="72"/>
    </row>
    <row r="397" spans="13:51" s="11" customFormat="1" ht="15.6" customHeight="1" x14ac:dyDescent="0.3">
      <c r="M397" s="20">
        <f t="shared" si="173"/>
        <v>367</v>
      </c>
      <c r="N397" s="21">
        <f t="shared" si="174"/>
        <v>6.4225000000000207</v>
      </c>
      <c r="O397" s="22">
        <f t="shared" ca="1" si="146"/>
        <v>196.37611017010551</v>
      </c>
      <c r="P397" s="23">
        <f t="shared" ca="1" si="147"/>
        <v>-1</v>
      </c>
      <c r="Q397" s="22" t="e">
        <f t="shared" ca="1" si="148"/>
        <v>#VALUE!</v>
      </c>
      <c r="R397" s="23">
        <f t="shared" ca="1" si="149"/>
        <v>-1</v>
      </c>
      <c r="S397" s="24" t="e">
        <f t="shared" ca="1" si="150"/>
        <v>#VALUE!</v>
      </c>
      <c r="T397" s="23">
        <f t="shared" ca="1" si="151"/>
        <v>-1</v>
      </c>
      <c r="U397" s="112">
        <f t="shared" si="162"/>
        <v>5.7883857592539991E-3</v>
      </c>
      <c r="V397" s="109">
        <f t="shared" si="163"/>
        <v>-5.7883857592539991E-3</v>
      </c>
      <c r="W397" s="112">
        <f t="shared" si="164"/>
        <v>5.7883857592539991E-3</v>
      </c>
      <c r="X397" s="113">
        <f t="shared" si="165"/>
        <v>-5.7883857592539991E-3</v>
      </c>
      <c r="Y397" s="32"/>
      <c r="Z397" s="32"/>
      <c r="AA397" s="32"/>
      <c r="AB397" s="32"/>
      <c r="AC397" s="32"/>
      <c r="AD397" s="32"/>
      <c r="AE397" s="32"/>
      <c r="AG397" s="26">
        <f t="shared" si="152"/>
        <v>0</v>
      </c>
      <c r="AH397" s="27">
        <f t="shared" si="153"/>
        <v>1.4509331408617505E-2</v>
      </c>
      <c r="AI397" s="28">
        <f t="shared" si="166"/>
        <v>5.7883857592539991E-3</v>
      </c>
      <c r="AJ397" s="27">
        <f t="shared" si="154"/>
        <v>5.7883857592539991E-3</v>
      </c>
      <c r="AK397" s="28">
        <f t="shared" si="155"/>
        <v>4.5680979292055037E-4</v>
      </c>
      <c r="AL397" s="27">
        <f t="shared" si="156"/>
        <v>5.7883857592539991E-3</v>
      </c>
      <c r="AM397" s="28">
        <f t="shared" si="167"/>
        <v>2.6558345460906185E-2</v>
      </c>
      <c r="AN397" s="27">
        <f t="shared" si="168"/>
        <v>-5.7883857592539991E-3</v>
      </c>
      <c r="AO397" s="28">
        <f t="shared" si="157"/>
        <v>-5.7883857592539991E-3</v>
      </c>
      <c r="AP397" s="27">
        <f t="shared" si="158"/>
        <v>-4.5680979292055037E-4</v>
      </c>
      <c r="AQ397" s="29">
        <f t="shared" si="159"/>
        <v>-5.7883857592539991E-3</v>
      </c>
      <c r="AS397" s="30">
        <f t="shared" si="160"/>
        <v>0.82474997432837471</v>
      </c>
      <c r="AT397" s="21">
        <f t="shared" si="161"/>
        <v>0.57252617153149188</v>
      </c>
      <c r="AU397" s="31">
        <f t="shared" ca="1" si="169"/>
        <v>5.6523649025586042E-4</v>
      </c>
      <c r="AV397" s="109">
        <f t="shared" ca="1" si="170"/>
        <v>5.6699461806275497E-4</v>
      </c>
      <c r="AW397" s="27" t="e">
        <f t="shared" ca="1" si="171"/>
        <v>#VALUE!</v>
      </c>
      <c r="AX397" s="29" t="e">
        <f t="shared" ca="1" si="172"/>
        <v>#VALUE!</v>
      </c>
      <c r="AY397" s="72"/>
    </row>
    <row r="398" spans="13:51" s="11" customFormat="1" ht="15.6" customHeight="1" x14ac:dyDescent="0.3">
      <c r="M398" s="20">
        <f t="shared" si="173"/>
        <v>368</v>
      </c>
      <c r="N398" s="21">
        <f t="shared" si="174"/>
        <v>6.4400000000000208</v>
      </c>
      <c r="O398" s="22">
        <f t="shared" ca="1" si="146"/>
        <v>196.49225387139185</v>
      </c>
      <c r="P398" s="23">
        <f t="shared" ca="1" si="147"/>
        <v>-1</v>
      </c>
      <c r="Q398" s="22" t="e">
        <f t="shared" ca="1" si="148"/>
        <v>#VALUE!</v>
      </c>
      <c r="R398" s="23">
        <f t="shared" ca="1" si="149"/>
        <v>-1</v>
      </c>
      <c r="S398" s="24" t="e">
        <f t="shared" ca="1" si="150"/>
        <v>#VALUE!</v>
      </c>
      <c r="T398" s="23">
        <f t="shared" ca="1" si="151"/>
        <v>-1</v>
      </c>
      <c r="U398" s="112">
        <f t="shared" si="162"/>
        <v>5.6220934501246293E-3</v>
      </c>
      <c r="V398" s="109">
        <f t="shared" si="163"/>
        <v>-5.6220934501246293E-3</v>
      </c>
      <c r="W398" s="112">
        <f t="shared" si="164"/>
        <v>5.6220934501246293E-3</v>
      </c>
      <c r="X398" s="113">
        <f t="shared" si="165"/>
        <v>-5.6220934501246293E-3</v>
      </c>
      <c r="Y398" s="32"/>
      <c r="Z398" s="32"/>
      <c r="AA398" s="32"/>
      <c r="AB398" s="32"/>
      <c r="AC398" s="32"/>
      <c r="AD398" s="32"/>
      <c r="AE398" s="32"/>
      <c r="AG398" s="26">
        <f t="shared" si="152"/>
        <v>0</v>
      </c>
      <c r="AH398" s="27">
        <f t="shared" si="153"/>
        <v>1.4092498404700147E-2</v>
      </c>
      <c r="AI398" s="28">
        <f t="shared" si="166"/>
        <v>5.6220934501246293E-3</v>
      </c>
      <c r="AJ398" s="27">
        <f t="shared" si="154"/>
        <v>5.6220934501246293E-3</v>
      </c>
      <c r="AK398" s="28">
        <f t="shared" si="155"/>
        <v>4.4308303528919012E-4</v>
      </c>
      <c r="AL398" s="27">
        <f t="shared" si="156"/>
        <v>5.6220934501246293E-3</v>
      </c>
      <c r="AM398" s="28">
        <f t="shared" si="167"/>
        <v>2.6558345460906185E-2</v>
      </c>
      <c r="AN398" s="27">
        <f t="shared" si="168"/>
        <v>-5.6220934501246293E-3</v>
      </c>
      <c r="AO398" s="28">
        <f t="shared" si="157"/>
        <v>-5.6220934501246293E-3</v>
      </c>
      <c r="AP398" s="27">
        <f t="shared" si="158"/>
        <v>-4.4308303528919012E-4</v>
      </c>
      <c r="AQ398" s="29">
        <f t="shared" si="159"/>
        <v>-5.6220934501246293E-3</v>
      </c>
      <c r="AS398" s="30">
        <f t="shared" si="160"/>
        <v>0.82431709423282007</v>
      </c>
      <c r="AT398" s="21">
        <f t="shared" si="161"/>
        <v>0.55532223213260457</v>
      </c>
      <c r="AU398" s="31">
        <f t="shared" ca="1" si="169"/>
        <v>5.650088517756835E-4</v>
      </c>
      <c r="AV398" s="109">
        <f t="shared" ca="1" si="170"/>
        <v>5.6676392321108882E-4</v>
      </c>
      <c r="AW398" s="27" t="e">
        <f t="shared" ca="1" si="171"/>
        <v>#VALUE!</v>
      </c>
      <c r="AX398" s="29" t="e">
        <f t="shared" ca="1" si="172"/>
        <v>#VALUE!</v>
      </c>
      <c r="AY398" s="72"/>
    </row>
    <row r="399" spans="13:51" s="11" customFormat="1" ht="15.6" customHeight="1" x14ac:dyDescent="0.3">
      <c r="M399" s="20">
        <f t="shared" si="173"/>
        <v>369</v>
      </c>
      <c r="N399" s="21">
        <f t="shared" si="174"/>
        <v>6.4575000000000209</v>
      </c>
      <c r="O399" s="22">
        <f t="shared" ca="1" si="146"/>
        <v>196.60795243228984</v>
      </c>
      <c r="P399" s="23">
        <f t="shared" ca="1" si="147"/>
        <v>-1</v>
      </c>
      <c r="Q399" s="22" t="e">
        <f t="shared" ca="1" si="148"/>
        <v>#VALUE!</v>
      </c>
      <c r="R399" s="23">
        <f t="shared" ca="1" si="149"/>
        <v>-1</v>
      </c>
      <c r="S399" s="24" t="e">
        <f t="shared" ca="1" si="150"/>
        <v>#VALUE!</v>
      </c>
      <c r="T399" s="23">
        <f t="shared" ca="1" si="151"/>
        <v>-1</v>
      </c>
      <c r="U399" s="112">
        <f t="shared" si="162"/>
        <v>5.455225876537728E-3</v>
      </c>
      <c r="V399" s="109">
        <f t="shared" si="163"/>
        <v>-5.455225876537728E-3</v>
      </c>
      <c r="W399" s="112">
        <f t="shared" si="164"/>
        <v>5.455225876537728E-3</v>
      </c>
      <c r="X399" s="113">
        <f t="shared" si="165"/>
        <v>-5.455225876537728E-3</v>
      </c>
      <c r="Y399" s="32"/>
      <c r="Z399" s="32"/>
      <c r="AA399" s="32"/>
      <c r="AB399" s="32"/>
      <c r="AC399" s="32"/>
      <c r="AD399" s="32"/>
      <c r="AE399" s="32"/>
      <c r="AG399" s="26">
        <f t="shared" si="152"/>
        <v>0</v>
      </c>
      <c r="AH399" s="27">
        <f t="shared" si="153"/>
        <v>1.3674223426628152E-2</v>
      </c>
      <c r="AI399" s="28">
        <f t="shared" si="166"/>
        <v>5.455225876537728E-3</v>
      </c>
      <c r="AJ399" s="27">
        <f t="shared" si="154"/>
        <v>5.455225876537728E-3</v>
      </c>
      <c r="AK399" s="28">
        <f t="shared" si="155"/>
        <v>4.2934906921802534E-4</v>
      </c>
      <c r="AL399" s="27">
        <f t="shared" si="156"/>
        <v>5.455225876537728E-3</v>
      </c>
      <c r="AM399" s="28">
        <f t="shared" si="167"/>
        <v>2.6558345460906185E-2</v>
      </c>
      <c r="AN399" s="27">
        <f t="shared" si="168"/>
        <v>-5.455225876537728E-3</v>
      </c>
      <c r="AO399" s="28">
        <f t="shared" si="157"/>
        <v>-5.455225876537728E-3</v>
      </c>
      <c r="AP399" s="27">
        <f t="shared" si="158"/>
        <v>-4.2934906921802534E-4</v>
      </c>
      <c r="AQ399" s="29">
        <f t="shared" si="159"/>
        <v>-5.455225876537728E-3</v>
      </c>
      <c r="AS399" s="30">
        <f t="shared" si="160"/>
        <v>0.82388444133966976</v>
      </c>
      <c r="AT399" s="21">
        <f t="shared" si="161"/>
        <v>0.53810925829420231</v>
      </c>
      <c r="AU399" s="31">
        <f t="shared" ca="1" si="169"/>
        <v>5.6477551931377601E-4</v>
      </c>
      <c r="AV399" s="109">
        <f t="shared" ca="1" si="170"/>
        <v>5.6652754250696713E-4</v>
      </c>
      <c r="AW399" s="27" t="e">
        <f t="shared" ca="1" si="171"/>
        <v>#VALUE!</v>
      </c>
      <c r="AX399" s="29" t="e">
        <f t="shared" ca="1" si="172"/>
        <v>#VALUE!</v>
      </c>
      <c r="AY399" s="72"/>
    </row>
    <row r="400" spans="13:51" s="11" customFormat="1" ht="15.6" customHeight="1" x14ac:dyDescent="0.3">
      <c r="M400" s="20">
        <f t="shared" si="173"/>
        <v>370</v>
      </c>
      <c r="N400" s="21">
        <f t="shared" si="174"/>
        <v>6.475000000000021</v>
      </c>
      <c r="O400" s="22">
        <f t="shared" ca="1" si="146"/>
        <v>196.72320299221101</v>
      </c>
      <c r="P400" s="23">
        <f t="shared" ca="1" si="147"/>
        <v>-1</v>
      </c>
      <c r="Q400" s="22" t="e">
        <f t="shared" ca="1" si="148"/>
        <v>#VALUE!</v>
      </c>
      <c r="R400" s="23">
        <f t="shared" ca="1" si="149"/>
        <v>-1</v>
      </c>
      <c r="S400" s="24" t="e">
        <f t="shared" ca="1" si="150"/>
        <v>#VALUE!</v>
      </c>
      <c r="T400" s="23">
        <f t="shared" ca="1" si="151"/>
        <v>-1</v>
      </c>
      <c r="U400" s="112">
        <f t="shared" si="162"/>
        <v>5.2877836224197328E-3</v>
      </c>
      <c r="V400" s="109">
        <f t="shared" si="163"/>
        <v>-5.2877836224197328E-3</v>
      </c>
      <c r="W400" s="112">
        <f t="shared" si="164"/>
        <v>5.2877836224197328E-3</v>
      </c>
      <c r="X400" s="113">
        <f t="shared" si="165"/>
        <v>-5.2877836224197328E-3</v>
      </c>
      <c r="Y400" s="32"/>
      <c r="Z400" s="32"/>
      <c r="AA400" s="32"/>
      <c r="AB400" s="32"/>
      <c r="AC400" s="32"/>
      <c r="AD400" s="32"/>
      <c r="AE400" s="32"/>
      <c r="AG400" s="26">
        <f t="shared" si="152"/>
        <v>0</v>
      </c>
      <c r="AH400" s="27">
        <f t="shared" si="153"/>
        <v>1.3254507938088037E-2</v>
      </c>
      <c r="AI400" s="28">
        <f t="shared" si="166"/>
        <v>5.2877836224197328E-3</v>
      </c>
      <c r="AJ400" s="27">
        <f t="shared" si="154"/>
        <v>5.2877836224197328E-3</v>
      </c>
      <c r="AK400" s="28">
        <f t="shared" si="155"/>
        <v>4.1560789092163049E-4</v>
      </c>
      <c r="AL400" s="27">
        <f t="shared" si="156"/>
        <v>5.2877836224197328E-3</v>
      </c>
      <c r="AM400" s="28">
        <f t="shared" si="167"/>
        <v>2.6558345460906185E-2</v>
      </c>
      <c r="AN400" s="27">
        <f t="shared" si="168"/>
        <v>-5.2877836224197328E-3</v>
      </c>
      <c r="AO400" s="28">
        <f t="shared" si="157"/>
        <v>-5.2877836224197328E-3</v>
      </c>
      <c r="AP400" s="27">
        <f t="shared" si="158"/>
        <v>-4.1560789092163049E-4</v>
      </c>
      <c r="AQ400" s="29">
        <f t="shared" si="159"/>
        <v>-5.2877836224197328E-3</v>
      </c>
      <c r="AS400" s="30">
        <f t="shared" si="160"/>
        <v>0.82345201552967384</v>
      </c>
      <c r="AT400" s="21">
        <f t="shared" si="161"/>
        <v>0.52088724527195784</v>
      </c>
      <c r="AU400" s="31">
        <f t="shared" ca="1" si="169"/>
        <v>5.6453647898524473E-4</v>
      </c>
      <c r="AV400" s="109">
        <f t="shared" ca="1" si="170"/>
        <v>5.6628546214643194E-4</v>
      </c>
      <c r="AW400" s="27" t="e">
        <f t="shared" ca="1" si="171"/>
        <v>#VALUE!</v>
      </c>
      <c r="AX400" s="29" t="e">
        <f t="shared" ca="1" si="172"/>
        <v>#VALUE!</v>
      </c>
      <c r="AY400" s="72"/>
    </row>
    <row r="401" spans="13:51" s="11" customFormat="1" ht="15.6" customHeight="1" x14ac:dyDescent="0.3">
      <c r="M401" s="20">
        <f t="shared" si="173"/>
        <v>371</v>
      </c>
      <c r="N401" s="21">
        <f t="shared" si="174"/>
        <v>6.492500000000021</v>
      </c>
      <c r="O401" s="22">
        <f t="shared" ca="1" si="146"/>
        <v>196.83802570787361</v>
      </c>
      <c r="P401" s="23">
        <f t="shared" ca="1" si="147"/>
        <v>-1</v>
      </c>
      <c r="Q401" s="22" t="e">
        <f t="shared" ca="1" si="148"/>
        <v>#VALUE!</v>
      </c>
      <c r="R401" s="23">
        <f t="shared" ca="1" si="149"/>
        <v>-1</v>
      </c>
      <c r="S401" s="24" t="e">
        <f t="shared" ca="1" si="150"/>
        <v>#VALUE!</v>
      </c>
      <c r="T401" s="23">
        <f t="shared" ca="1" si="151"/>
        <v>-1</v>
      </c>
      <c r="U401" s="112">
        <f t="shared" si="162"/>
        <v>5.119767266933575E-3</v>
      </c>
      <c r="V401" s="109">
        <f t="shared" si="163"/>
        <v>-5.119767266933575E-3</v>
      </c>
      <c r="W401" s="112">
        <f t="shared" si="164"/>
        <v>5.119767266933575E-3</v>
      </c>
      <c r="X401" s="113">
        <f t="shared" si="165"/>
        <v>-5.119767266933575E-3</v>
      </c>
      <c r="Y401" s="32"/>
      <c r="Z401" s="32"/>
      <c r="AA401" s="32"/>
      <c r="AB401" s="32"/>
      <c r="AC401" s="32"/>
      <c r="AD401" s="32"/>
      <c r="AE401" s="32"/>
      <c r="AG401" s="26">
        <f t="shared" si="152"/>
        <v>0</v>
      </c>
      <c r="AH401" s="27">
        <f t="shared" si="153"/>
        <v>1.283335339082598E-2</v>
      </c>
      <c r="AI401" s="28">
        <f t="shared" si="166"/>
        <v>5.119767266933575E-3</v>
      </c>
      <c r="AJ401" s="27">
        <f t="shared" si="154"/>
        <v>5.119767266933575E-3</v>
      </c>
      <c r="AK401" s="28">
        <f t="shared" si="155"/>
        <v>4.0185949661259031E-4</v>
      </c>
      <c r="AL401" s="27">
        <f t="shared" si="156"/>
        <v>5.119767266933575E-3</v>
      </c>
      <c r="AM401" s="28">
        <f t="shared" si="167"/>
        <v>2.6558345460906185E-2</v>
      </c>
      <c r="AN401" s="27">
        <f t="shared" si="168"/>
        <v>-5.119767266933575E-3</v>
      </c>
      <c r="AO401" s="28">
        <f t="shared" si="157"/>
        <v>-5.119767266933575E-3</v>
      </c>
      <c r="AP401" s="27">
        <f t="shared" si="158"/>
        <v>-4.0185949661259031E-4</v>
      </c>
      <c r="AQ401" s="29">
        <f t="shared" si="159"/>
        <v>-5.119767266933575E-3</v>
      </c>
      <c r="AS401" s="30">
        <f t="shared" si="160"/>
        <v>0.82301981668364499</v>
      </c>
      <c r="AT401" s="21">
        <f t="shared" si="161"/>
        <v>0.50365618831904979</v>
      </c>
      <c r="AU401" s="31">
        <f t="shared" ca="1" si="169"/>
        <v>5.6431184831506886E-4</v>
      </c>
      <c r="AV401" s="109">
        <f t="shared" ca="1" si="170"/>
        <v>5.6605777796403522E-4</v>
      </c>
      <c r="AW401" s="27" t="e">
        <f t="shared" ca="1" si="171"/>
        <v>#VALUE!</v>
      </c>
      <c r="AX401" s="29" t="e">
        <f t="shared" ca="1" si="172"/>
        <v>#VALUE!</v>
      </c>
      <c r="AY401" s="72"/>
    </row>
    <row r="402" spans="13:51" s="11" customFormat="1" ht="15.6" customHeight="1" x14ac:dyDescent="0.3">
      <c r="M402" s="20">
        <f t="shared" si="173"/>
        <v>372</v>
      </c>
      <c r="N402" s="21">
        <f t="shared" si="174"/>
        <v>6.5100000000000211</v>
      </c>
      <c r="O402" s="22">
        <f t="shared" ca="1" si="146"/>
        <v>196.95241771945376</v>
      </c>
      <c r="P402" s="23">
        <f t="shared" ca="1" si="147"/>
        <v>-1</v>
      </c>
      <c r="Q402" s="22" t="e">
        <f t="shared" ca="1" si="148"/>
        <v>#VALUE!</v>
      </c>
      <c r="R402" s="23">
        <f t="shared" ca="1" si="149"/>
        <v>-1</v>
      </c>
      <c r="S402" s="24" t="e">
        <f t="shared" ca="1" si="150"/>
        <v>#VALUE!</v>
      </c>
      <c r="T402" s="23">
        <f t="shared" ca="1" si="151"/>
        <v>-1</v>
      </c>
      <c r="U402" s="112">
        <f t="shared" si="162"/>
        <v>4.9511773845191797E-3</v>
      </c>
      <c r="V402" s="109">
        <f t="shared" si="163"/>
        <v>-4.9511773845191797E-3</v>
      </c>
      <c r="W402" s="112">
        <f t="shared" si="164"/>
        <v>4.9511773845191797E-3</v>
      </c>
      <c r="X402" s="113">
        <f t="shared" si="165"/>
        <v>-4.9511773845191797E-3</v>
      </c>
      <c r="Y402" s="32"/>
      <c r="Z402" s="32"/>
      <c r="AA402" s="32"/>
      <c r="AB402" s="32"/>
      <c r="AC402" s="32"/>
      <c r="AD402" s="32"/>
      <c r="AE402" s="32"/>
      <c r="AG402" s="26">
        <f t="shared" si="152"/>
        <v>0</v>
      </c>
      <c r="AH402" s="27">
        <f t="shared" si="153"/>
        <v>1.241076122474934E-2</v>
      </c>
      <c r="AI402" s="28">
        <f t="shared" si="166"/>
        <v>4.9511773845191797E-3</v>
      </c>
      <c r="AJ402" s="27">
        <f t="shared" si="154"/>
        <v>4.9511773845191797E-3</v>
      </c>
      <c r="AK402" s="28">
        <f t="shared" si="155"/>
        <v>3.8810388250150768E-4</v>
      </c>
      <c r="AL402" s="27">
        <f t="shared" si="156"/>
        <v>4.9511773845191797E-3</v>
      </c>
      <c r="AM402" s="28">
        <f t="shared" si="167"/>
        <v>2.6558345460906185E-2</v>
      </c>
      <c r="AN402" s="27">
        <f t="shared" si="168"/>
        <v>-4.9511773845191797E-3</v>
      </c>
      <c r="AO402" s="28">
        <f t="shared" si="157"/>
        <v>-4.9511773845191797E-3</v>
      </c>
      <c r="AP402" s="27">
        <f t="shared" si="158"/>
        <v>-3.8810388250150768E-4</v>
      </c>
      <c r="AQ402" s="29">
        <f t="shared" si="159"/>
        <v>-4.9511773845191797E-3</v>
      </c>
      <c r="AS402" s="30">
        <f t="shared" si="160"/>
        <v>0.82258784468245816</v>
      </c>
      <c r="AT402" s="21">
        <f t="shared" si="161"/>
        <v>0.48641608268617337</v>
      </c>
      <c r="AU402" s="31">
        <f t="shared" ca="1" si="169"/>
        <v>5.6408160897047921E-4</v>
      </c>
      <c r="AV402" s="109">
        <f t="shared" ca="1" si="170"/>
        <v>5.6582449316711081E-4</v>
      </c>
      <c r="AW402" s="27" t="e">
        <f t="shared" ca="1" si="171"/>
        <v>#VALUE!</v>
      </c>
      <c r="AX402" s="29" t="e">
        <f t="shared" ca="1" si="172"/>
        <v>#VALUE!</v>
      </c>
      <c r="AY402" s="72"/>
    </row>
    <row r="403" spans="13:51" s="11" customFormat="1" ht="15.6" customHeight="1" x14ac:dyDescent="0.3">
      <c r="M403" s="20">
        <f t="shared" si="173"/>
        <v>373</v>
      </c>
      <c r="N403" s="21">
        <f t="shared" si="174"/>
        <v>6.5275000000000212</v>
      </c>
      <c r="O403" s="22">
        <f t="shared" ca="1" si="146"/>
        <v>197.06638000163252</v>
      </c>
      <c r="P403" s="23">
        <f t="shared" ca="1" si="147"/>
        <v>-1</v>
      </c>
      <c r="Q403" s="22" t="e">
        <f t="shared" ca="1" si="148"/>
        <v>#VALUE!</v>
      </c>
      <c r="R403" s="23">
        <f t="shared" ca="1" si="149"/>
        <v>-1</v>
      </c>
      <c r="S403" s="24" t="e">
        <f t="shared" ca="1" si="150"/>
        <v>#VALUE!</v>
      </c>
      <c r="T403" s="23">
        <f t="shared" ca="1" si="151"/>
        <v>-1</v>
      </c>
      <c r="U403" s="112">
        <f t="shared" si="162"/>
        <v>4.7820145449331639E-3</v>
      </c>
      <c r="V403" s="109">
        <f t="shared" si="163"/>
        <v>-4.7820145449331639E-3</v>
      </c>
      <c r="W403" s="112">
        <f t="shared" si="164"/>
        <v>4.7820145449331639E-3</v>
      </c>
      <c r="X403" s="113">
        <f t="shared" si="165"/>
        <v>-4.7820145449331639E-3</v>
      </c>
      <c r="Y403" s="32"/>
      <c r="Z403" s="32"/>
      <c r="AA403" s="32"/>
      <c r="AB403" s="32"/>
      <c r="AC403" s="32"/>
      <c r="AD403" s="32"/>
      <c r="AE403" s="32"/>
      <c r="AG403" s="26">
        <f t="shared" si="152"/>
        <v>0</v>
      </c>
      <c r="AH403" s="27">
        <f t="shared" si="153"/>
        <v>1.1986732868026165E-2</v>
      </c>
      <c r="AI403" s="28">
        <f t="shared" si="166"/>
        <v>4.7820145449331639E-3</v>
      </c>
      <c r="AJ403" s="27">
        <f t="shared" si="154"/>
        <v>4.7820145449331639E-3</v>
      </c>
      <c r="AK403" s="28">
        <f t="shared" si="155"/>
        <v>3.7434104479698696E-4</v>
      </c>
      <c r="AL403" s="27">
        <f t="shared" si="156"/>
        <v>4.7820145449331639E-3</v>
      </c>
      <c r="AM403" s="28">
        <f t="shared" si="167"/>
        <v>2.6558345460906185E-2</v>
      </c>
      <c r="AN403" s="27">
        <f t="shared" si="168"/>
        <v>-4.7820145449331639E-3</v>
      </c>
      <c r="AO403" s="28">
        <f t="shared" si="157"/>
        <v>-4.7820145449331639E-3</v>
      </c>
      <c r="AP403" s="27">
        <f t="shared" si="158"/>
        <v>-3.7434104479698696E-4</v>
      </c>
      <c r="AQ403" s="29">
        <f t="shared" si="159"/>
        <v>-4.7820145449331639E-3</v>
      </c>
      <c r="AS403" s="30">
        <f t="shared" si="160"/>
        <v>0.82215609940705137</v>
      </c>
      <c r="AT403" s="21">
        <f t="shared" si="161"/>
        <v>0.46916692362151868</v>
      </c>
      <c r="AU403" s="31">
        <f t="shared" ca="1" si="169"/>
        <v>5.6384911629592249E-4</v>
      </c>
      <c r="AV403" s="109">
        <f t="shared" ca="1" si="170"/>
        <v>5.6558895951708266E-4</v>
      </c>
      <c r="AW403" s="27" t="e">
        <f t="shared" ca="1" si="171"/>
        <v>#VALUE!</v>
      </c>
      <c r="AX403" s="29" t="e">
        <f t="shared" ca="1" si="172"/>
        <v>#VALUE!</v>
      </c>
    </row>
    <row r="404" spans="13:51" s="11" customFormat="1" ht="15.6" customHeight="1" x14ac:dyDescent="0.3">
      <c r="M404" s="20">
        <f t="shared" si="173"/>
        <v>374</v>
      </c>
      <c r="N404" s="21">
        <f t="shared" si="174"/>
        <v>6.5450000000000212</v>
      </c>
      <c r="O404" s="22">
        <f t="shared" ca="1" si="146"/>
        <v>197.17992504099664</v>
      </c>
      <c r="P404" s="23">
        <f t="shared" ca="1" si="147"/>
        <v>-1</v>
      </c>
      <c r="Q404" s="22" t="e">
        <f t="shared" ca="1" si="148"/>
        <v>#VALUE!</v>
      </c>
      <c r="R404" s="23">
        <f t="shared" ca="1" si="149"/>
        <v>-1</v>
      </c>
      <c r="S404" s="24" t="e">
        <f t="shared" ca="1" si="150"/>
        <v>#VALUE!</v>
      </c>
      <c r="T404" s="23">
        <f t="shared" ca="1" si="151"/>
        <v>-1</v>
      </c>
      <c r="U404" s="112">
        <f t="shared" si="162"/>
        <v>4.6122793132885257E-3</v>
      </c>
      <c r="V404" s="109">
        <f t="shared" si="163"/>
        <v>-4.6122793132885257E-3</v>
      </c>
      <c r="W404" s="112">
        <f t="shared" si="164"/>
        <v>4.6122793132885257E-3</v>
      </c>
      <c r="X404" s="113">
        <f t="shared" si="165"/>
        <v>-4.6122793132885257E-3</v>
      </c>
      <c r="Y404" s="32"/>
      <c r="Z404" s="32"/>
      <c r="AA404" s="32"/>
      <c r="AB404" s="32"/>
      <c r="AC404" s="32"/>
      <c r="AD404" s="32"/>
      <c r="AE404" s="32"/>
      <c r="AG404" s="26">
        <f t="shared" si="152"/>
        <v>0</v>
      </c>
      <c r="AH404" s="27">
        <f t="shared" si="153"/>
        <v>1.1561269737184672E-2</v>
      </c>
      <c r="AI404" s="28">
        <f t="shared" si="166"/>
        <v>4.6122793132885257E-3</v>
      </c>
      <c r="AJ404" s="27">
        <f t="shared" si="154"/>
        <v>4.6122793132885257E-3</v>
      </c>
      <c r="AK404" s="28">
        <f t="shared" si="155"/>
        <v>3.6057097970565075E-4</v>
      </c>
      <c r="AL404" s="27">
        <f t="shared" si="156"/>
        <v>4.6122793132885257E-3</v>
      </c>
      <c r="AM404" s="28">
        <f t="shared" si="167"/>
        <v>2.6558345460906185E-2</v>
      </c>
      <c r="AN404" s="27">
        <f t="shared" si="168"/>
        <v>-4.6122793132885257E-3</v>
      </c>
      <c r="AO404" s="28">
        <f t="shared" si="157"/>
        <v>-4.6122793132885257E-3</v>
      </c>
      <c r="AP404" s="27">
        <f t="shared" si="158"/>
        <v>-3.6057097970565075E-4</v>
      </c>
      <c r="AQ404" s="29">
        <f t="shared" si="159"/>
        <v>-4.6122793132885257E-3</v>
      </c>
      <c r="AS404" s="30">
        <f t="shared" si="160"/>
        <v>0.82172458073842458</v>
      </c>
      <c r="AT404" s="21">
        <f t="shared" si="161"/>
        <v>0.45190870637079239</v>
      </c>
      <c r="AU404" s="31">
        <f t="shared" ca="1" si="169"/>
        <v>5.6362451304003969E-4</v>
      </c>
      <c r="AV404" s="109">
        <f t="shared" ca="1" si="170"/>
        <v>5.6536130873097168E-4</v>
      </c>
      <c r="AW404" s="27" t="e">
        <f t="shared" ca="1" si="171"/>
        <v>#VALUE!</v>
      </c>
      <c r="AX404" s="29" t="e">
        <f t="shared" ca="1" si="172"/>
        <v>#VALUE!</v>
      </c>
    </row>
    <row r="405" spans="13:51" s="11" customFormat="1" ht="15.6" customHeight="1" x14ac:dyDescent="0.3">
      <c r="M405" s="20">
        <f t="shared" si="173"/>
        <v>375</v>
      </c>
      <c r="N405" s="21">
        <f t="shared" si="174"/>
        <v>6.5625000000000213</v>
      </c>
      <c r="O405" s="22">
        <f t="shared" ca="1" si="146"/>
        <v>197.2930499745074</v>
      </c>
      <c r="P405" s="23">
        <f t="shared" ca="1" si="147"/>
        <v>-1</v>
      </c>
      <c r="Q405" s="22" t="e">
        <f t="shared" ca="1" si="148"/>
        <v>#VALUE!</v>
      </c>
      <c r="R405" s="23">
        <f t="shared" ca="1" si="149"/>
        <v>-1</v>
      </c>
      <c r="S405" s="24" t="e">
        <f t="shared" ca="1" si="150"/>
        <v>#VALUE!</v>
      </c>
      <c r="T405" s="23">
        <f t="shared" ca="1" si="151"/>
        <v>-1</v>
      </c>
      <c r="U405" s="112">
        <f t="shared" si="162"/>
        <v>4.4419722500934353E-3</v>
      </c>
      <c r="V405" s="109">
        <f t="shared" si="163"/>
        <v>-4.4419722500934353E-3</v>
      </c>
      <c r="W405" s="112">
        <f t="shared" si="164"/>
        <v>4.4419722500934353E-3</v>
      </c>
      <c r="X405" s="113">
        <f t="shared" si="165"/>
        <v>-4.4419722500934353E-3</v>
      </c>
      <c r="Y405" s="32"/>
      <c r="Z405" s="32"/>
      <c r="AA405" s="32"/>
      <c r="AB405" s="32"/>
      <c r="AC405" s="32"/>
      <c r="AD405" s="32"/>
      <c r="AE405" s="32"/>
      <c r="AG405" s="26">
        <f t="shared" si="152"/>
        <v>0</v>
      </c>
      <c r="AH405" s="27">
        <f t="shared" si="153"/>
        <v>1.113437323721049E-2</v>
      </c>
      <c r="AI405" s="28">
        <f t="shared" si="166"/>
        <v>4.4419722500934353E-3</v>
      </c>
      <c r="AJ405" s="27">
        <f t="shared" si="154"/>
        <v>4.4419722500934353E-3</v>
      </c>
      <c r="AK405" s="28">
        <f t="shared" si="155"/>
        <v>3.4679368343212293E-4</v>
      </c>
      <c r="AL405" s="27">
        <f t="shared" si="156"/>
        <v>4.4419722500934353E-3</v>
      </c>
      <c r="AM405" s="28">
        <f t="shared" si="167"/>
        <v>2.6558345460906185E-2</v>
      </c>
      <c r="AN405" s="27">
        <f t="shared" si="168"/>
        <v>-4.4419722500934353E-3</v>
      </c>
      <c r="AO405" s="28">
        <f t="shared" si="157"/>
        <v>-4.4419722500934353E-3</v>
      </c>
      <c r="AP405" s="27">
        <f t="shared" si="158"/>
        <v>-3.4679368343212293E-4</v>
      </c>
      <c r="AQ405" s="29">
        <f t="shared" si="159"/>
        <v>-4.4419722500934353E-3</v>
      </c>
      <c r="AS405" s="30">
        <f t="shared" si="160"/>
        <v>0.82129328855764061</v>
      </c>
      <c r="AT405" s="21">
        <f t="shared" si="161"/>
        <v>0.43464142617719581</v>
      </c>
      <c r="AU405" s="31">
        <f t="shared" ca="1" si="169"/>
        <v>5.6339436450525415E-4</v>
      </c>
      <c r="AV405" s="109">
        <f t="shared" ca="1" si="170"/>
        <v>5.6512812070519391E-4</v>
      </c>
      <c r="AW405" s="27" t="e">
        <f t="shared" ca="1" si="171"/>
        <v>#VALUE!</v>
      </c>
      <c r="AX405" s="29" t="e">
        <f t="shared" ca="1" si="172"/>
        <v>#VALUE!</v>
      </c>
    </row>
    <row r="406" spans="13:51" s="11" customFormat="1" ht="15.6" customHeight="1" x14ac:dyDescent="0.3">
      <c r="M406" s="20">
        <f t="shared" si="173"/>
        <v>376</v>
      </c>
      <c r="N406" s="21">
        <f t="shared" si="174"/>
        <v>6.5800000000000214</v>
      </c>
      <c r="O406" s="22">
        <f t="shared" ca="1" si="146"/>
        <v>197.40576345170865</v>
      </c>
      <c r="P406" s="23">
        <f t="shared" ca="1" si="147"/>
        <v>-1</v>
      </c>
      <c r="Q406" s="22" t="e">
        <f t="shared" ca="1" si="148"/>
        <v>#VALUE!</v>
      </c>
      <c r="R406" s="23">
        <f t="shared" ca="1" si="149"/>
        <v>-1</v>
      </c>
      <c r="S406" s="24" t="e">
        <f t="shared" ca="1" si="150"/>
        <v>#VALUE!</v>
      </c>
      <c r="T406" s="23">
        <f t="shared" ca="1" si="151"/>
        <v>-1</v>
      </c>
      <c r="U406" s="112">
        <f t="shared" si="162"/>
        <v>4.2710939112898718E-3</v>
      </c>
      <c r="V406" s="109">
        <f t="shared" si="163"/>
        <v>-4.2710939112898718E-3</v>
      </c>
      <c r="W406" s="112">
        <f t="shared" si="164"/>
        <v>4.2710939112898718E-3</v>
      </c>
      <c r="X406" s="113">
        <f t="shared" si="165"/>
        <v>-4.2710939112898718E-3</v>
      </c>
      <c r="Y406" s="32"/>
      <c r="Z406" s="32"/>
      <c r="AA406" s="32"/>
      <c r="AB406" s="32"/>
      <c r="AC406" s="32"/>
      <c r="AD406" s="32"/>
      <c r="AE406" s="32"/>
      <c r="AG406" s="26">
        <f t="shared" si="152"/>
        <v>0</v>
      </c>
      <c r="AH406" s="27">
        <f t="shared" si="153"/>
        <v>1.0706044761643503E-2</v>
      </c>
      <c r="AI406" s="28">
        <f t="shared" si="166"/>
        <v>4.2710939112898718E-3</v>
      </c>
      <c r="AJ406" s="27">
        <f t="shared" si="154"/>
        <v>4.2710939112898718E-3</v>
      </c>
      <c r="AK406" s="28">
        <f t="shared" si="155"/>
        <v>3.3300915217903424E-4</v>
      </c>
      <c r="AL406" s="27">
        <f t="shared" si="156"/>
        <v>4.2710939112898718E-3</v>
      </c>
      <c r="AM406" s="28">
        <f t="shared" si="167"/>
        <v>2.6558345460906185E-2</v>
      </c>
      <c r="AN406" s="27">
        <f t="shared" si="168"/>
        <v>-4.2710939112898718E-3</v>
      </c>
      <c r="AO406" s="28">
        <f t="shared" si="157"/>
        <v>-4.2710939112898718E-3</v>
      </c>
      <c r="AP406" s="27">
        <f t="shared" si="158"/>
        <v>-3.3300915217903424E-4</v>
      </c>
      <c r="AQ406" s="29">
        <f t="shared" si="159"/>
        <v>-4.2710939112898718E-3</v>
      </c>
      <c r="AS406" s="30">
        <f t="shared" si="160"/>
        <v>0.82086222274582454</v>
      </c>
      <c r="AT406" s="21">
        <f t="shared" si="161"/>
        <v>0.41736507828143238</v>
      </c>
      <c r="AU406" s="31">
        <f t="shared" ca="1" si="169"/>
        <v>5.6316882708307148E-4</v>
      </c>
      <c r="AV406" s="109">
        <f t="shared" ca="1" si="170"/>
        <v>5.6489954076410775E-4</v>
      </c>
      <c r="AW406" s="27" t="e">
        <f t="shared" ca="1" si="171"/>
        <v>#VALUE!</v>
      </c>
      <c r="AX406" s="29" t="e">
        <f t="shared" ca="1" si="172"/>
        <v>#VALUE!</v>
      </c>
    </row>
    <row r="407" spans="13:51" s="11" customFormat="1" ht="15.6" customHeight="1" x14ac:dyDescent="0.3">
      <c r="M407" s="20">
        <f t="shared" si="173"/>
        <v>377</v>
      </c>
      <c r="N407" s="21">
        <f t="shared" si="174"/>
        <v>6.5975000000000215</v>
      </c>
      <c r="O407" s="22">
        <f t="shared" ca="1" si="146"/>
        <v>197.51807412339764</v>
      </c>
      <c r="P407" s="23">
        <f t="shared" ca="1" si="147"/>
        <v>-1</v>
      </c>
      <c r="Q407" s="22" t="e">
        <f t="shared" ca="1" si="148"/>
        <v>#VALUE!</v>
      </c>
      <c r="R407" s="23">
        <f t="shared" ca="1" si="149"/>
        <v>-1</v>
      </c>
      <c r="S407" s="24" t="e">
        <f t="shared" ca="1" si="150"/>
        <v>#VALUE!</v>
      </c>
      <c r="T407" s="23">
        <f t="shared" ca="1" si="151"/>
        <v>-1</v>
      </c>
      <c r="U407" s="112">
        <f t="shared" si="162"/>
        <v>4.0996448482917601E-3</v>
      </c>
      <c r="V407" s="109">
        <f t="shared" si="163"/>
        <v>-4.0996448482917601E-3</v>
      </c>
      <c r="W407" s="112">
        <f t="shared" si="164"/>
        <v>4.0996448482917601E-3</v>
      </c>
      <c r="X407" s="113">
        <f t="shared" si="165"/>
        <v>-4.0996448482917601E-3</v>
      </c>
      <c r="Y407" s="32"/>
      <c r="Z407" s="32"/>
      <c r="AA407" s="32"/>
      <c r="AB407" s="32"/>
      <c r="AC407" s="32"/>
      <c r="AD407" s="32"/>
      <c r="AE407" s="32"/>
      <c r="AG407" s="26">
        <f t="shared" si="152"/>
        <v>0</v>
      </c>
      <c r="AH407" s="27">
        <f t="shared" si="153"/>
        <v>1.0276285692673444E-2</v>
      </c>
      <c r="AI407" s="28">
        <f t="shared" si="166"/>
        <v>4.0996448482917601E-3</v>
      </c>
      <c r="AJ407" s="27">
        <f t="shared" si="154"/>
        <v>4.0996448482917601E-3</v>
      </c>
      <c r="AK407" s="28">
        <f t="shared" si="155"/>
        <v>3.1921738214702209E-4</v>
      </c>
      <c r="AL407" s="27">
        <f t="shared" si="156"/>
        <v>4.0996448482917601E-3</v>
      </c>
      <c r="AM407" s="28">
        <f t="shared" si="167"/>
        <v>2.6558345460906185E-2</v>
      </c>
      <c r="AN407" s="27">
        <f t="shared" si="168"/>
        <v>-4.0996448482917601E-3</v>
      </c>
      <c r="AO407" s="28">
        <f t="shared" si="157"/>
        <v>-4.0996448482917601E-3</v>
      </c>
      <c r="AP407" s="27">
        <f t="shared" si="158"/>
        <v>-3.1921738214702209E-4</v>
      </c>
      <c r="AQ407" s="29">
        <f t="shared" si="159"/>
        <v>-4.0996448482917601E-3</v>
      </c>
      <c r="AS407" s="30">
        <f t="shared" si="160"/>
        <v>0.82043138318416375</v>
      </c>
      <c r="AT407" s="21">
        <f t="shared" si="161"/>
        <v>0.40007965792170735</v>
      </c>
      <c r="AU407" s="31">
        <f t="shared" ca="1" si="169"/>
        <v>5.629479701992901E-4</v>
      </c>
      <c r="AV407" s="109">
        <f t="shared" ca="1" si="170"/>
        <v>5.6467563820306044E-4</v>
      </c>
      <c r="AW407" s="27" t="e">
        <f t="shared" ca="1" si="171"/>
        <v>#VALUE!</v>
      </c>
      <c r="AX407" s="29" t="e">
        <f t="shared" ca="1" si="172"/>
        <v>#VALUE!</v>
      </c>
    </row>
    <row r="408" spans="13:51" s="11" customFormat="1" ht="15.6" customHeight="1" x14ac:dyDescent="0.3">
      <c r="M408" s="20">
        <f t="shared" si="173"/>
        <v>378</v>
      </c>
      <c r="N408" s="21">
        <f t="shared" si="174"/>
        <v>6.6150000000000215</v>
      </c>
      <c r="O408" s="22">
        <f t="shared" ca="1" si="146"/>
        <v>197.62997912465565</v>
      </c>
      <c r="P408" s="23">
        <f t="shared" ca="1" si="147"/>
        <v>-1</v>
      </c>
      <c r="Q408" s="22" t="e">
        <f t="shared" ca="1" si="148"/>
        <v>#VALUE!</v>
      </c>
      <c r="R408" s="23">
        <f t="shared" ca="1" si="149"/>
        <v>-1</v>
      </c>
      <c r="S408" s="24" t="e">
        <f t="shared" ca="1" si="150"/>
        <v>#VALUE!</v>
      </c>
      <c r="T408" s="23">
        <f t="shared" ca="1" si="151"/>
        <v>-1</v>
      </c>
      <c r="U408" s="112">
        <f t="shared" si="162"/>
        <v>3.9276256080226953E-3</v>
      </c>
      <c r="V408" s="109">
        <f t="shared" si="163"/>
        <v>-3.9276256080226953E-3</v>
      </c>
      <c r="W408" s="112">
        <f t="shared" si="164"/>
        <v>3.9276256080226953E-3</v>
      </c>
      <c r="X408" s="113">
        <f t="shared" si="165"/>
        <v>-3.9276256080226953E-3</v>
      </c>
      <c r="Y408" s="32"/>
      <c r="Z408" s="32"/>
      <c r="AA408" s="32"/>
      <c r="AB408" s="32"/>
      <c r="AC408" s="32"/>
      <c r="AD408" s="32"/>
      <c r="AE408" s="32"/>
      <c r="AG408" s="26">
        <f t="shared" si="152"/>
        <v>0</v>
      </c>
      <c r="AH408" s="27">
        <f t="shared" si="153"/>
        <v>9.8450974012344629E-3</v>
      </c>
      <c r="AI408" s="28">
        <f t="shared" si="166"/>
        <v>3.9276256080226953E-3</v>
      </c>
      <c r="AJ408" s="27">
        <f t="shared" si="154"/>
        <v>3.9276256080226953E-3</v>
      </c>
      <c r="AK408" s="28">
        <f t="shared" si="155"/>
        <v>3.0541836953473398E-4</v>
      </c>
      <c r="AL408" s="27">
        <f t="shared" si="156"/>
        <v>3.9276256080226953E-3</v>
      </c>
      <c r="AM408" s="28">
        <f t="shared" si="167"/>
        <v>2.6558345460906185E-2</v>
      </c>
      <c r="AN408" s="27">
        <f t="shared" si="168"/>
        <v>-3.9276256080226953E-3</v>
      </c>
      <c r="AO408" s="28">
        <f t="shared" si="157"/>
        <v>-3.9276256080226953E-3</v>
      </c>
      <c r="AP408" s="27">
        <f t="shared" si="158"/>
        <v>-3.0541836953473404E-4</v>
      </c>
      <c r="AQ408" s="29">
        <f t="shared" si="159"/>
        <v>-3.9276256080226953E-3</v>
      </c>
      <c r="AS408" s="30">
        <f t="shared" si="160"/>
        <v>0.82000076975390812</v>
      </c>
      <c r="AT408" s="21">
        <f t="shared" si="161"/>
        <v>0.38278516033373178</v>
      </c>
      <c r="AU408" s="31">
        <f t="shared" ca="1" si="169"/>
        <v>5.6272165151671771E-4</v>
      </c>
      <c r="AV408" s="109">
        <f t="shared" ca="1" si="170"/>
        <v>5.6444628180640777E-4</v>
      </c>
      <c r="AW408" s="27" t="e">
        <f t="shared" ca="1" si="171"/>
        <v>#VALUE!</v>
      </c>
      <c r="AX408" s="29" t="e">
        <f t="shared" ca="1" si="172"/>
        <v>#VALUE!</v>
      </c>
    </row>
    <row r="409" spans="13:51" s="11" customFormat="1" ht="15.6" customHeight="1" x14ac:dyDescent="0.3">
      <c r="M409" s="20">
        <f t="shared" si="173"/>
        <v>379</v>
      </c>
      <c r="N409" s="21">
        <f t="shared" si="174"/>
        <v>6.6325000000000216</v>
      </c>
      <c r="O409" s="22">
        <f t="shared" ca="1" si="146"/>
        <v>197.74149094520277</v>
      </c>
      <c r="P409" s="23">
        <f t="shared" ca="1" si="147"/>
        <v>-1</v>
      </c>
      <c r="Q409" s="22" t="e">
        <f t="shared" ca="1" si="148"/>
        <v>#VALUE!</v>
      </c>
      <c r="R409" s="23">
        <f t="shared" ca="1" si="149"/>
        <v>-1</v>
      </c>
      <c r="S409" s="24" t="e">
        <f t="shared" ca="1" si="150"/>
        <v>#VALUE!</v>
      </c>
      <c r="T409" s="23">
        <f t="shared" ca="1" si="151"/>
        <v>-1</v>
      </c>
      <c r="U409" s="112">
        <f t="shared" si="162"/>
        <v>3.7550367329530748E-3</v>
      </c>
      <c r="V409" s="109">
        <f t="shared" si="163"/>
        <v>-3.7550367329530748E-3</v>
      </c>
      <c r="W409" s="112">
        <f t="shared" si="164"/>
        <v>3.7550367329530748E-3</v>
      </c>
      <c r="X409" s="113">
        <f t="shared" si="165"/>
        <v>-3.7550367329530748E-3</v>
      </c>
      <c r="Y409" s="32"/>
      <c r="Z409" s="32"/>
      <c r="AA409" s="32"/>
      <c r="AB409" s="32"/>
      <c r="AC409" s="32"/>
      <c r="AD409" s="32"/>
      <c r="AE409" s="32"/>
      <c r="AG409" s="26">
        <f t="shared" si="152"/>
        <v>0</v>
      </c>
      <c r="AH409" s="27">
        <f t="shared" si="153"/>
        <v>9.4124812470981947E-3</v>
      </c>
      <c r="AI409" s="28">
        <f t="shared" si="166"/>
        <v>3.7550367329530748E-3</v>
      </c>
      <c r="AJ409" s="27">
        <f t="shared" si="154"/>
        <v>3.7550367329530748E-3</v>
      </c>
      <c r="AK409" s="28">
        <f t="shared" si="155"/>
        <v>2.9161211053881536E-4</v>
      </c>
      <c r="AL409" s="27">
        <f t="shared" si="156"/>
        <v>3.7550367329530748E-3</v>
      </c>
      <c r="AM409" s="28">
        <f t="shared" si="167"/>
        <v>2.6558345460906185E-2</v>
      </c>
      <c r="AN409" s="27">
        <f t="shared" si="168"/>
        <v>-3.7550367329530748E-3</v>
      </c>
      <c r="AO409" s="28">
        <f t="shared" si="157"/>
        <v>-3.7550367329530748E-3</v>
      </c>
      <c r="AP409" s="27">
        <f t="shared" si="158"/>
        <v>-2.9161211053881542E-4</v>
      </c>
      <c r="AQ409" s="29">
        <f t="shared" si="159"/>
        <v>-3.7550367329530748E-3</v>
      </c>
      <c r="AS409" s="30">
        <f t="shared" si="160"/>
        <v>0.81957038233636992</v>
      </c>
      <c r="AT409" s="21">
        <f t="shared" si="161"/>
        <v>0.36548158075070764</v>
      </c>
      <c r="AU409" s="31">
        <f t="shared" ca="1" si="169"/>
        <v>5.6250350004927174E-4</v>
      </c>
      <c r="AV409" s="109">
        <f t="shared" ca="1" si="170"/>
        <v>5.6422508559417217E-4</v>
      </c>
      <c r="AW409" s="27" t="e">
        <f t="shared" ca="1" si="171"/>
        <v>#VALUE!</v>
      </c>
      <c r="AX409" s="29" t="e">
        <f t="shared" ca="1" si="172"/>
        <v>#VALUE!</v>
      </c>
    </row>
    <row r="410" spans="13:51" s="11" customFormat="1" ht="15.6" customHeight="1" x14ac:dyDescent="0.3">
      <c r="M410" s="20">
        <f t="shared" si="173"/>
        <v>380</v>
      </c>
      <c r="N410" s="21">
        <f t="shared" si="174"/>
        <v>6.6500000000000217</v>
      </c>
      <c r="O410" s="22">
        <f t="shared" ca="1" si="146"/>
        <v>197.85260671899232</v>
      </c>
      <c r="P410" s="23">
        <f t="shared" ca="1" si="147"/>
        <v>-1</v>
      </c>
      <c r="Q410" s="22" t="e">
        <f t="shared" ca="1" si="148"/>
        <v>#VALUE!</v>
      </c>
      <c r="R410" s="23">
        <f t="shared" ca="1" si="149"/>
        <v>-1</v>
      </c>
      <c r="S410" s="24" t="e">
        <f t="shared" ca="1" si="150"/>
        <v>#VALUE!</v>
      </c>
      <c r="T410" s="23">
        <f t="shared" ca="1" si="151"/>
        <v>-1</v>
      </c>
      <c r="U410" s="112">
        <f t="shared" si="162"/>
        <v>3.5818787611370485E-3</v>
      </c>
      <c r="V410" s="109">
        <f t="shared" si="163"/>
        <v>-3.5818787611370485E-3</v>
      </c>
      <c r="W410" s="112">
        <f t="shared" si="164"/>
        <v>3.5818787611370485E-3</v>
      </c>
      <c r="X410" s="113">
        <f t="shared" si="165"/>
        <v>-3.5818787611370485E-3</v>
      </c>
      <c r="Y410" s="32"/>
      <c r="Z410" s="32"/>
      <c r="AA410" s="32"/>
      <c r="AB410" s="32"/>
      <c r="AC410" s="32"/>
      <c r="AD410" s="32"/>
      <c r="AE410" s="32"/>
      <c r="AG410" s="26">
        <f t="shared" si="152"/>
        <v>0</v>
      </c>
      <c r="AH410" s="27">
        <f t="shared" si="153"/>
        <v>8.9784385789663853E-3</v>
      </c>
      <c r="AI410" s="28">
        <f t="shared" si="166"/>
        <v>3.5818787611370485E-3</v>
      </c>
      <c r="AJ410" s="27">
        <f t="shared" si="154"/>
        <v>3.5818787611370485E-3</v>
      </c>
      <c r="AK410" s="28">
        <f t="shared" si="155"/>
        <v>2.7779860135391843E-4</v>
      </c>
      <c r="AL410" s="27">
        <f t="shared" si="156"/>
        <v>3.5818787611370485E-3</v>
      </c>
      <c r="AM410" s="28">
        <f t="shared" si="167"/>
        <v>2.6558345460906185E-2</v>
      </c>
      <c r="AN410" s="27">
        <f t="shared" si="168"/>
        <v>-3.5818787611370485E-3</v>
      </c>
      <c r="AO410" s="28">
        <f t="shared" si="157"/>
        <v>-3.5818787611370485E-3</v>
      </c>
      <c r="AP410" s="27">
        <f t="shared" si="158"/>
        <v>-2.7779860135391843E-4</v>
      </c>
      <c r="AQ410" s="29">
        <f t="shared" si="159"/>
        <v>-3.5818787611370485E-3</v>
      </c>
      <c r="AS410" s="30">
        <f t="shared" si="160"/>
        <v>0.81914022081292348</v>
      </c>
      <c r="AT410" s="21">
        <f t="shared" si="161"/>
        <v>0.3481689144033388</v>
      </c>
      <c r="AU410" s="31">
        <f t="shared" ca="1" si="169"/>
        <v>5.6227994188229324E-4</v>
      </c>
      <c r="AV410" s="109">
        <f t="shared" ca="1" si="170"/>
        <v>5.6399849059252105E-4</v>
      </c>
      <c r="AW410" s="27" t="e">
        <f t="shared" ca="1" si="171"/>
        <v>#VALUE!</v>
      </c>
      <c r="AX410" s="29" t="e">
        <f t="shared" ca="1" si="172"/>
        <v>#VALUE!</v>
      </c>
    </row>
    <row r="411" spans="13:51" s="11" customFormat="1" ht="15.6" customHeight="1" x14ac:dyDescent="0.3">
      <c r="M411" s="20">
        <f t="shared" si="173"/>
        <v>381</v>
      </c>
      <c r="N411" s="21">
        <f t="shared" si="174"/>
        <v>6.6675000000000217</v>
      </c>
      <c r="O411" s="22">
        <f t="shared" ca="1" si="146"/>
        <v>197.96333702947365</v>
      </c>
      <c r="P411" s="23">
        <f t="shared" ca="1" si="147"/>
        <v>-1</v>
      </c>
      <c r="Q411" s="22" t="e">
        <f t="shared" ca="1" si="148"/>
        <v>#VALUE!</v>
      </c>
      <c r="R411" s="23">
        <f t="shared" ca="1" si="149"/>
        <v>-1</v>
      </c>
      <c r="S411" s="24" t="e">
        <f t="shared" ca="1" si="150"/>
        <v>#VALUE!</v>
      </c>
      <c r="T411" s="23">
        <f t="shared" ca="1" si="151"/>
        <v>-1</v>
      </c>
      <c r="U411" s="112">
        <f t="shared" si="162"/>
        <v>3.4081522262487699E-3</v>
      </c>
      <c r="V411" s="109">
        <f t="shared" si="163"/>
        <v>-3.4081522262487699E-3</v>
      </c>
      <c r="W411" s="112">
        <f t="shared" si="164"/>
        <v>3.4081522262487699E-3</v>
      </c>
      <c r="X411" s="113">
        <f t="shared" si="165"/>
        <v>-3.4081522262487699E-3</v>
      </c>
      <c r="Y411" s="32"/>
      <c r="Z411" s="32"/>
      <c r="AA411" s="32"/>
      <c r="AB411" s="32"/>
      <c r="AC411" s="32"/>
      <c r="AD411" s="32"/>
      <c r="AE411" s="32"/>
      <c r="AG411" s="26">
        <f t="shared" si="152"/>
        <v>0</v>
      </c>
      <c r="AH411" s="27">
        <f t="shared" si="153"/>
        <v>8.5429707345617573E-3</v>
      </c>
      <c r="AI411" s="28">
        <f t="shared" si="166"/>
        <v>3.4081522262487699E-3</v>
      </c>
      <c r="AJ411" s="27">
        <f t="shared" si="154"/>
        <v>3.4081522262487699E-3</v>
      </c>
      <c r="AK411" s="28">
        <f t="shared" si="155"/>
        <v>2.6397783817268765E-4</v>
      </c>
      <c r="AL411" s="27">
        <f t="shared" si="156"/>
        <v>3.4081522262487699E-3</v>
      </c>
      <c r="AM411" s="28">
        <f t="shared" si="167"/>
        <v>2.6558345460906185E-2</v>
      </c>
      <c r="AN411" s="27">
        <f t="shared" si="168"/>
        <v>-3.4081522262487699E-3</v>
      </c>
      <c r="AO411" s="28">
        <f t="shared" si="157"/>
        <v>-3.4081522262487699E-3</v>
      </c>
      <c r="AP411" s="27">
        <f t="shared" si="158"/>
        <v>-2.6397783817268765E-4</v>
      </c>
      <c r="AQ411" s="29">
        <f t="shared" si="159"/>
        <v>-3.4081522262487699E-3</v>
      </c>
      <c r="AS411" s="30">
        <f t="shared" si="160"/>
        <v>0.81871028506500565</v>
      </c>
      <c r="AT411" s="21">
        <f t="shared" si="161"/>
        <v>0.33084715651981272</v>
      </c>
      <c r="AU411" s="31">
        <f t="shared" ca="1" si="169"/>
        <v>5.6206295967142772E-4</v>
      </c>
      <c r="AV411" s="109">
        <f t="shared" ca="1" si="170"/>
        <v>5.6377846621202821E-4</v>
      </c>
      <c r="AW411" s="27" t="e">
        <f t="shared" ca="1" si="171"/>
        <v>#VALUE!</v>
      </c>
      <c r="AX411" s="29" t="e">
        <f t="shared" ca="1" si="172"/>
        <v>#VALUE!</v>
      </c>
    </row>
    <row r="412" spans="13:51" s="11" customFormat="1" ht="15.6" customHeight="1" x14ac:dyDescent="0.3">
      <c r="M412" s="20">
        <f t="shared" si="173"/>
        <v>382</v>
      </c>
      <c r="N412" s="21">
        <f t="shared" si="174"/>
        <v>6.6850000000000218</v>
      </c>
      <c r="O412" s="22">
        <f t="shared" ca="1" si="146"/>
        <v>198.07368282426958</v>
      </c>
      <c r="P412" s="23">
        <f t="shared" ca="1" si="147"/>
        <v>-1</v>
      </c>
      <c r="Q412" s="22" t="e">
        <f t="shared" ca="1" si="148"/>
        <v>#VALUE!</v>
      </c>
      <c r="R412" s="23">
        <f t="shared" ca="1" si="149"/>
        <v>-1</v>
      </c>
      <c r="S412" s="24" t="e">
        <f t="shared" ca="1" si="150"/>
        <v>#VALUE!</v>
      </c>
      <c r="T412" s="23">
        <f t="shared" ca="1" si="151"/>
        <v>-1</v>
      </c>
      <c r="U412" s="112">
        <f t="shared" si="162"/>
        <v>3.2338576576187278E-3</v>
      </c>
      <c r="V412" s="109">
        <f t="shared" si="163"/>
        <v>-3.2338576576187278E-3</v>
      </c>
      <c r="W412" s="112">
        <f t="shared" si="164"/>
        <v>3.2338576576187278E-3</v>
      </c>
      <c r="X412" s="113">
        <f t="shared" si="165"/>
        <v>-3.2338576576187278E-3</v>
      </c>
      <c r="Y412" s="32"/>
      <c r="Z412" s="32"/>
      <c r="AA412" s="32"/>
      <c r="AB412" s="32"/>
      <c r="AC412" s="32"/>
      <c r="AD412" s="32"/>
      <c r="AE412" s="32"/>
      <c r="AG412" s="26">
        <f t="shared" si="152"/>
        <v>0</v>
      </c>
      <c r="AH412" s="27">
        <f t="shared" si="153"/>
        <v>8.1060790407190796E-3</v>
      </c>
      <c r="AI412" s="28">
        <f t="shared" si="166"/>
        <v>3.2338576576187278E-3</v>
      </c>
      <c r="AJ412" s="27">
        <f t="shared" si="154"/>
        <v>3.2338576576187278E-3</v>
      </c>
      <c r="AK412" s="28">
        <f t="shared" si="155"/>
        <v>2.501498171857832E-4</v>
      </c>
      <c r="AL412" s="27">
        <f t="shared" si="156"/>
        <v>3.2338576576187278E-3</v>
      </c>
      <c r="AM412" s="28">
        <f t="shared" si="167"/>
        <v>2.6558345460906185E-2</v>
      </c>
      <c r="AN412" s="27">
        <f t="shared" si="168"/>
        <v>-3.2338576576187278E-3</v>
      </c>
      <c r="AO412" s="28">
        <f t="shared" si="157"/>
        <v>-3.2338576576187278E-3</v>
      </c>
      <c r="AP412" s="27">
        <f t="shared" si="158"/>
        <v>-2.501498171857832E-4</v>
      </c>
      <c r="AQ412" s="29">
        <f t="shared" si="159"/>
        <v>-3.2338576576187278E-3</v>
      </c>
      <c r="AS412" s="30">
        <f t="shared" si="160"/>
        <v>0.81828057497411522</v>
      </c>
      <c r="AT412" s="21">
        <f t="shared" si="161"/>
        <v>0.31351630232582994</v>
      </c>
      <c r="AU412" s="31">
        <f t="shared" ca="1" si="169"/>
        <v>5.6184402413739232E-4</v>
      </c>
      <c r="AV412" s="109">
        <f t="shared" ca="1" si="170"/>
        <v>5.6355649259398621E-4</v>
      </c>
      <c r="AW412" s="27" t="e">
        <f t="shared" ca="1" si="171"/>
        <v>#VALUE!</v>
      </c>
      <c r="AX412" s="29" t="e">
        <f t="shared" ca="1" si="172"/>
        <v>#VALUE!</v>
      </c>
    </row>
    <row r="413" spans="13:51" s="11" customFormat="1" ht="15.6" customHeight="1" x14ac:dyDescent="0.3">
      <c r="M413" s="20">
        <f t="shared" si="173"/>
        <v>383</v>
      </c>
      <c r="N413" s="21">
        <f t="shared" si="174"/>
        <v>6.7025000000000219</v>
      </c>
      <c r="O413" s="22">
        <f t="shared" ca="1" si="146"/>
        <v>198.18365468780704</v>
      </c>
      <c r="P413" s="23">
        <f t="shared" ca="1" si="147"/>
        <v>-1</v>
      </c>
      <c r="Q413" s="22" t="e">
        <f t="shared" ca="1" si="148"/>
        <v>#VALUE!</v>
      </c>
      <c r="R413" s="23">
        <f t="shared" ca="1" si="149"/>
        <v>-1</v>
      </c>
      <c r="S413" s="24" t="e">
        <f t="shared" ca="1" si="150"/>
        <v>#VALUE!</v>
      </c>
      <c r="T413" s="23">
        <f t="shared" ca="1" si="151"/>
        <v>-1</v>
      </c>
      <c r="U413" s="112">
        <f t="shared" si="162"/>
        <v>3.0589955802689797E-3</v>
      </c>
      <c r="V413" s="109">
        <f t="shared" si="163"/>
        <v>-3.0589955802689797E-3</v>
      </c>
      <c r="W413" s="112">
        <f t="shared" si="164"/>
        <v>3.0589955802689797E-3</v>
      </c>
      <c r="X413" s="113">
        <f t="shared" si="165"/>
        <v>-3.0589955802689797E-3</v>
      </c>
      <c r="Y413" s="32"/>
      <c r="Z413" s="32"/>
      <c r="AA413" s="32"/>
      <c r="AB413" s="32"/>
      <c r="AC413" s="32"/>
      <c r="AD413" s="32"/>
      <c r="AE413" s="32"/>
      <c r="AG413" s="26">
        <f t="shared" si="152"/>
        <v>0</v>
      </c>
      <c r="AH413" s="27">
        <f t="shared" si="153"/>
        <v>7.6677648134734879E-3</v>
      </c>
      <c r="AI413" s="28">
        <f t="shared" si="166"/>
        <v>3.0589955802689797E-3</v>
      </c>
      <c r="AJ413" s="27">
        <f t="shared" si="154"/>
        <v>3.0589955802689797E-3</v>
      </c>
      <c r="AK413" s="28">
        <f t="shared" si="155"/>
        <v>2.3631453458185139E-4</v>
      </c>
      <c r="AL413" s="27">
        <f t="shared" si="156"/>
        <v>3.0589955802689797E-3</v>
      </c>
      <c r="AM413" s="28">
        <f t="shared" si="167"/>
        <v>2.6558345460906185E-2</v>
      </c>
      <c r="AN413" s="27">
        <f t="shared" si="168"/>
        <v>-3.0589955802689797E-3</v>
      </c>
      <c r="AO413" s="28">
        <f t="shared" si="157"/>
        <v>-3.0589955802689797E-3</v>
      </c>
      <c r="AP413" s="27">
        <f t="shared" si="158"/>
        <v>-2.3631453458185144E-4</v>
      </c>
      <c r="AQ413" s="29">
        <f t="shared" si="159"/>
        <v>-3.0589955802689797E-3</v>
      </c>
      <c r="AS413" s="30">
        <f t="shared" si="160"/>
        <v>0.81785109042181359</v>
      </c>
      <c r="AT413" s="21">
        <f t="shared" si="161"/>
        <v>0.29617634704456702</v>
      </c>
      <c r="AU413" s="31">
        <f t="shared" ca="1" si="169"/>
        <v>5.616317767807022E-4</v>
      </c>
      <c r="AV413" s="109">
        <f t="shared" ca="1" si="170"/>
        <v>5.6334120161449786E-4</v>
      </c>
      <c r="AW413" s="27" t="e">
        <f t="shared" ca="1" si="171"/>
        <v>#VALUE!</v>
      </c>
      <c r="AX413" s="29" t="e">
        <f t="shared" ca="1" si="172"/>
        <v>#VALUE!</v>
      </c>
    </row>
    <row r="414" spans="13:51" s="11" customFormat="1" ht="15.6" customHeight="1" x14ac:dyDescent="0.3">
      <c r="M414" s="20">
        <f t="shared" si="173"/>
        <v>384</v>
      </c>
      <c r="N414" s="21">
        <f t="shared" si="174"/>
        <v>6.720000000000022</v>
      </c>
      <c r="O414" s="22">
        <f t="shared" ref="O414:O430" ca="1" si="175">CubicSpline(OFFSET($B$18,0,0,NumCurvePoints,1),OFFSET($C$18,0,0,NumCurvePoints,1),N414)</f>
        <v>198.29324975208414</v>
      </c>
      <c r="P414" s="23">
        <f t="shared" ref="P414:P430" ca="1" si="176">IF(ISERROR(MATCH(M414,$A$20:$A$27,0)),-1,OFFSET($C$17,MATCH(M414,$A$20:$A$27,0),0,1,1))</f>
        <v>-1</v>
      </c>
      <c r="Q414" s="22" t="e">
        <f t="shared" ref="Q414:Q430" ca="1" si="177">CubicSpline(OFFSET($B$18,0,0,NumCurvePoints2,1),OFFSET($D$18,0,0,NumCurvePoints2,1),N414)</f>
        <v>#VALUE!</v>
      </c>
      <c r="R414" s="23">
        <f t="shared" ref="R414:R430" ca="1" si="178">IF(ISERROR(MATCH(M414,$A$20:$A$27,0)),-1,OFFSET($D$17,MATCH(M414,$A$20:$A$27,0),0,1,1))</f>
        <v>-1</v>
      </c>
      <c r="S414" s="24" t="e">
        <f t="shared" ref="S414:S430" ca="1" si="179">CubicSpline(OFFSET($B$18,0,0,NumCurvePoints3,1),OFFSET($E$18,0,0,NumCurvePoints3,1),N414)</f>
        <v>#VALUE!</v>
      </c>
      <c r="T414" s="23">
        <f t="shared" ref="T414:T430" ca="1" si="180">IF(ISERROR(MATCH(M414,$A$20:$A$27,0)),-1,OFFSET($E$17,MATCH(M414,$A$20:$A$27,0),0,1,1))</f>
        <v>-1</v>
      </c>
      <c r="U414" s="112">
        <f t="shared" si="162"/>
        <v>2.8835665149486156E-3</v>
      </c>
      <c r="V414" s="109">
        <f t="shared" si="163"/>
        <v>-2.8835665149486156E-3</v>
      </c>
      <c r="W414" s="112">
        <f t="shared" si="164"/>
        <v>2.8835665149486156E-3</v>
      </c>
      <c r="X414" s="113">
        <f t="shared" si="165"/>
        <v>-2.8835665149486156E-3</v>
      </c>
      <c r="Y414" s="32"/>
      <c r="Z414" s="32"/>
      <c r="AA414" s="32"/>
      <c r="AB414" s="32"/>
      <c r="AC414" s="32"/>
      <c r="AD414" s="32"/>
      <c r="AE414" s="32"/>
      <c r="AG414" s="26">
        <f t="shared" ref="AG414:AG430" si="181">(SwapRate1-InterestRate)*AT414</f>
        <v>0</v>
      </c>
      <c r="AH414" s="27">
        <f t="shared" ref="AH414:AH430" si="182">MAX(0.0000000001,SQRT(N414)*AT414*IRVol)</f>
        <v>7.2280293581493751E-3</v>
      </c>
      <c r="AI414" s="28">
        <f t="shared" si="166"/>
        <v>2.8835665149486156E-3</v>
      </c>
      <c r="AJ414" s="27">
        <f t="shared" ref="AJ414:AJ430" si="183">AI414-IF(ThresholdB="",0,1)*IF((ThresholdB-AG414)/AH414&gt;6,0,(1-NORMSDIST((ThresholdB-AG414)/AH414))*(AG414+AH414*NORMDIST(((ThresholdB-AG414)/AH414),0,1,FALSE)/(1-NORMSDIST((ThresholdB-AG414)/AH414))-ThresholdB))</f>
        <v>2.8835665149486156E-3</v>
      </c>
      <c r="AK414" s="28">
        <f t="shared" ref="AK414:AK429" si="184">-InitialMargin2*NORMSDIST(-InitialMargin2/(IRVol*SQRT(MPR/250)*AT414))+(IRVol*SQRT(MPR/250)*AT414)*NORMDIST(-InitialMargin2/(IRVol*SQRT(MPR/250)*AT414),0,1,FALSE)</f>
        <v>2.2247198654754262E-4</v>
      </c>
      <c r="AL414" s="27">
        <f t="shared" ref="AL414:AL429" si="185">IF(OR(BreakMat="",BreakMat=0,BreakMat&gt;N414),IF(AND(ThresholdB="",ThresholdA=0,ThresholdA&lt;&gt;""),AJ414+AK414,IF(AND(ThresholdB=0,ThresholdB&lt;&gt;""),AK414,IF(ThresholdB&gt;0,MAX(AJ414,AK414),AJ414))))</f>
        <v>2.8835665149486156E-3</v>
      </c>
      <c r="AM414" s="28">
        <f t="shared" si="167"/>
        <v>2.6558345460906185E-2</v>
      </c>
      <c r="AN414" s="27">
        <f t="shared" si="168"/>
        <v>-2.8835665149486156E-3</v>
      </c>
      <c r="AO414" s="28">
        <f t="shared" ref="AO414:AO430" si="186">AN414+IF(AND(ThresholdA&lt;&gt;"",(ThresholdA+AG414)/AH414&lt;6),(1-NORMSDIST((ThresholdA+AG414)/AH414))*(-AG414+AH414*NORMDIST(((ThresholdA+AG414)/AH414),0,1,FALSE)/(1-NORMSDIST((ThresholdA+AG414)/AH414))-ThresholdA))</f>
        <v>-2.8835665149486156E-3</v>
      </c>
      <c r="AP414" s="27">
        <f t="shared" ref="AP414:AP429" si="187">InitialMargin1*NORMSDIST(-InitialMargin1/(IRVol*AT414*SQRT(MPR/250)))-(IRVol*AT414*SQRT(MPR/250))*NORMDIST(-InitialMargin1/(IRVol*AT414*SQRT(MPR/250)),0,1,FALSE)</f>
        <v>-2.2247198654754262E-4</v>
      </c>
      <c r="AQ414" s="29">
        <f t="shared" ref="AQ414:AQ429" si="188">IF(OR(BreakMat="",BreakMat=0,BreakMat&gt;N414),IF(AND(ThresholdA="",ThresholdB=0,ThresholdB&lt;&gt;""),AO414+AP414,IF(AND(ThresholdA=0,ThresholdA&lt;&gt;""),AP414,MIN(AO414,AP414))))</f>
        <v>-2.8835665149486156E-3</v>
      </c>
      <c r="AS414" s="30">
        <f t="shared" ref="AS414:AS430" si="189">EXP(-InterestRate*N414)</f>
        <v>0.81742183128972379</v>
      </c>
      <c r="AT414" s="21">
        <f t="shared" ref="AT414:AT430" si="190">MAX((1-EXP(-(Maturity1-N414)*InterestRate))/InterestRate,0)</f>
        <v>0.27882728589669892</v>
      </c>
      <c r="AU414" s="31">
        <f t="shared" ca="1" si="169"/>
        <v>5.6141423160382953E-4</v>
      </c>
      <c r="AV414" s="109">
        <f t="shared" ca="1" si="170"/>
        <v>5.6312062061403267E-4</v>
      </c>
      <c r="AW414" s="27" t="e">
        <f t="shared" ca="1" si="171"/>
        <v>#VALUE!</v>
      </c>
      <c r="AX414" s="29" t="e">
        <f t="shared" ca="1" si="172"/>
        <v>#VALUE!</v>
      </c>
    </row>
    <row r="415" spans="13:51" s="11" customFormat="1" ht="15.6" customHeight="1" x14ac:dyDescent="0.3">
      <c r="M415" s="20">
        <f t="shared" si="173"/>
        <v>385</v>
      </c>
      <c r="N415" s="21">
        <f t="shared" si="174"/>
        <v>6.737500000000022</v>
      </c>
      <c r="O415" s="22">
        <f t="shared" ca="1" si="175"/>
        <v>198.40247666918273</v>
      </c>
      <c r="P415" s="23">
        <f t="shared" ca="1" si="176"/>
        <v>-1</v>
      </c>
      <c r="Q415" s="22" t="e">
        <f t="shared" ca="1" si="177"/>
        <v>#VALUE!</v>
      </c>
      <c r="R415" s="23">
        <f t="shared" ca="1" si="178"/>
        <v>-1</v>
      </c>
      <c r="S415" s="24" t="e">
        <f t="shared" ca="1" si="179"/>
        <v>#VALUE!</v>
      </c>
      <c r="T415" s="23">
        <f t="shared" ca="1" si="180"/>
        <v>-1</v>
      </c>
      <c r="U415" s="112">
        <f t="shared" ref="U415:U430" si="191">AI415</f>
        <v>2.7075709781685456E-3</v>
      </c>
      <c r="V415" s="109">
        <f t="shared" ref="V415:V430" si="192">AN415</f>
        <v>-2.7075709781685456E-3</v>
      </c>
      <c r="W415" s="112">
        <f t="shared" ref="W415:W430" si="193">AL415</f>
        <v>2.7075709781685456E-3</v>
      </c>
      <c r="X415" s="113">
        <f t="shared" ref="X415:X430" si="194">AQ415</f>
        <v>-2.7075709781685456E-3</v>
      </c>
      <c r="Y415" s="32"/>
      <c r="Z415" s="32"/>
      <c r="AA415" s="32"/>
      <c r="AB415" s="32"/>
      <c r="AC415" s="32"/>
      <c r="AD415" s="32"/>
      <c r="AE415" s="32"/>
      <c r="AG415" s="26">
        <f t="shared" si="181"/>
        <v>0</v>
      </c>
      <c r="AH415" s="27">
        <f t="shared" si="182"/>
        <v>6.7868739694475913E-3</v>
      </c>
      <c r="AI415" s="28">
        <f t="shared" ref="AI415:AI430" si="195">(AG415*NORMSDIST(AG415/AH415)+AH415*NORMDIST(AG415/AH415,0,1,FALSE))</f>
        <v>2.7075709781685456E-3</v>
      </c>
      <c r="AJ415" s="27">
        <f t="shared" si="183"/>
        <v>2.7075709781685456E-3</v>
      </c>
      <c r="AK415" s="28">
        <f t="shared" si="184"/>
        <v>2.0862216926750813E-4</v>
      </c>
      <c r="AL415" s="27">
        <f t="shared" si="185"/>
        <v>2.7075709781685456E-3</v>
      </c>
      <c r="AM415" s="28">
        <f t="shared" ref="AM415:AM429" si="196">MAX(AL415,AM414)</f>
        <v>2.6558345460906185E-2</v>
      </c>
      <c r="AN415" s="27">
        <f t="shared" ref="AN415:AN429" si="197">(AG415*NORMSDIST(-AG415/AH415)-AH415*NORMDIST(-AG415/AH415,0,1,FALSE))</f>
        <v>-2.7075709781685456E-3</v>
      </c>
      <c r="AO415" s="28">
        <f t="shared" si="186"/>
        <v>-2.7075709781685456E-3</v>
      </c>
      <c r="AP415" s="27">
        <f t="shared" si="187"/>
        <v>-2.0862216926750813E-4</v>
      </c>
      <c r="AQ415" s="29">
        <f t="shared" si="188"/>
        <v>-2.7075709781685456E-3</v>
      </c>
      <c r="AS415" s="30">
        <f t="shared" si="189"/>
        <v>0.81699279745953146</v>
      </c>
      <c r="AT415" s="21">
        <f t="shared" si="190"/>
        <v>0.26146911410039519</v>
      </c>
      <c r="AU415" s="31">
        <f t="shared" ref="AU415:AU430" ca="1" si="198">EXP(-N414*O414/CntrptyLGD/10000)-EXP(-N415*O415/CntrptyLGD/10000)</f>
        <v>5.6120172914186917E-4</v>
      </c>
      <c r="AV415" s="109">
        <f t="shared" ref="AV415:AV430" ca="1" si="199">EXP(-N414*(O414+1)/CntrptyLGD/10000)-EXP(-N415*(O415+1)/CntrptyLGD/10000)</f>
        <v>5.6290507858536287E-4</v>
      </c>
      <c r="AW415" s="27" t="e">
        <f t="shared" ref="AW415:AW430" ca="1" si="200">EXP(-N414*Q414/OwnLGD/10000)-EXP(-N415*Q415/OwnLGD/10000)</f>
        <v>#VALUE!</v>
      </c>
      <c r="AX415" s="29" t="e">
        <f t="shared" ref="AX415:AX430" ca="1" si="201">EXP(-N414*S414/10000)-EXP(-N415*S415/10000)</f>
        <v>#VALUE!</v>
      </c>
    </row>
    <row r="416" spans="13:51" s="11" customFormat="1" ht="15.6" customHeight="1" x14ac:dyDescent="0.3">
      <c r="M416" s="20">
        <f t="shared" ref="M416:M430" si="202">M415+1</f>
        <v>386</v>
      </c>
      <c r="N416" s="21">
        <f t="shared" ref="N416:N430" si="203">N415+Maturity1/400</f>
        <v>6.7550000000000221</v>
      </c>
      <c r="O416" s="22">
        <f t="shared" ca="1" si="175"/>
        <v>198.51134409198687</v>
      </c>
      <c r="P416" s="23">
        <f t="shared" ca="1" si="176"/>
        <v>-1</v>
      </c>
      <c r="Q416" s="22" t="e">
        <f t="shared" ca="1" si="177"/>
        <v>#VALUE!</v>
      </c>
      <c r="R416" s="23">
        <f t="shared" ca="1" si="178"/>
        <v>-1</v>
      </c>
      <c r="S416" s="24" t="e">
        <f t="shared" ca="1" si="179"/>
        <v>#VALUE!</v>
      </c>
      <c r="T416" s="23">
        <f t="shared" ca="1" si="180"/>
        <v>-1</v>
      </c>
      <c r="U416" s="112">
        <f t="shared" si="191"/>
        <v>2.531009482235792E-3</v>
      </c>
      <c r="V416" s="109">
        <f t="shared" si="192"/>
        <v>-2.531009482235792E-3</v>
      </c>
      <c r="W416" s="112">
        <f t="shared" si="193"/>
        <v>2.531009482235792E-3</v>
      </c>
      <c r="X416" s="113">
        <f t="shared" si="194"/>
        <v>-2.531009482235792E-3</v>
      </c>
      <c r="Y416" s="32"/>
      <c r="Z416" s="32"/>
      <c r="AA416" s="32"/>
      <c r="AB416" s="32"/>
      <c r="AC416" s="32"/>
      <c r="AD416" s="32"/>
      <c r="AE416" s="32"/>
      <c r="AG416" s="26">
        <f t="shared" si="181"/>
        <v>0</v>
      </c>
      <c r="AH416" s="27">
        <f t="shared" si="182"/>
        <v>6.3442999315314044E-3</v>
      </c>
      <c r="AI416" s="28">
        <f t="shared" si="195"/>
        <v>2.531009482235792E-3</v>
      </c>
      <c r="AJ416" s="27">
        <f t="shared" si="183"/>
        <v>2.531009482235792E-3</v>
      </c>
      <c r="AK416" s="28">
        <f t="shared" si="184"/>
        <v>1.9476507892438833E-4</v>
      </c>
      <c r="AL416" s="27">
        <f t="shared" si="185"/>
        <v>2.531009482235792E-3</v>
      </c>
      <c r="AM416" s="28">
        <f t="shared" si="196"/>
        <v>2.6558345460906185E-2</v>
      </c>
      <c r="AN416" s="27">
        <f t="shared" si="197"/>
        <v>-2.531009482235792E-3</v>
      </c>
      <c r="AO416" s="28">
        <f t="shared" si="186"/>
        <v>-2.531009482235792E-3</v>
      </c>
      <c r="AP416" s="27">
        <f t="shared" si="187"/>
        <v>-1.9476507892438836E-4</v>
      </c>
      <c r="AQ416" s="29">
        <f t="shared" si="188"/>
        <v>-2.531009482235792E-3</v>
      </c>
      <c r="AS416" s="30">
        <f t="shared" si="189"/>
        <v>0.81656398881298409</v>
      </c>
      <c r="AT416" s="21">
        <f t="shared" si="190"/>
        <v>0.24410182687130505</v>
      </c>
      <c r="AU416" s="31">
        <f t="shared" ca="1" si="198"/>
        <v>5.6099433664869025E-4</v>
      </c>
      <c r="AV416" s="109">
        <f t="shared" ca="1" si="199"/>
        <v>5.626946426470214E-4</v>
      </c>
      <c r="AW416" s="27" t="e">
        <f t="shared" ca="1" si="200"/>
        <v>#VALUE!</v>
      </c>
      <c r="AX416" s="29" t="e">
        <f t="shared" ca="1" si="201"/>
        <v>#VALUE!</v>
      </c>
    </row>
    <row r="417" spans="13:50" s="11" customFormat="1" ht="15.6" customHeight="1" x14ac:dyDescent="0.3">
      <c r="M417" s="20">
        <f t="shared" si="202"/>
        <v>387</v>
      </c>
      <c r="N417" s="21">
        <f t="shared" si="203"/>
        <v>6.7725000000000222</v>
      </c>
      <c r="O417" s="22">
        <f t="shared" ca="1" si="175"/>
        <v>198.61985107175238</v>
      </c>
      <c r="P417" s="23">
        <f t="shared" ca="1" si="176"/>
        <v>-1</v>
      </c>
      <c r="Q417" s="22" t="e">
        <f t="shared" ca="1" si="177"/>
        <v>#VALUE!</v>
      </c>
      <c r="R417" s="23">
        <f t="shared" ca="1" si="178"/>
        <v>-1</v>
      </c>
      <c r="S417" s="24" t="e">
        <f t="shared" ca="1" si="179"/>
        <v>#VALUE!</v>
      </c>
      <c r="T417" s="23">
        <f t="shared" ca="1" si="180"/>
        <v>-1</v>
      </c>
      <c r="U417" s="112">
        <f t="shared" si="191"/>
        <v>2.3538825352876725E-3</v>
      </c>
      <c r="V417" s="109">
        <f t="shared" si="192"/>
        <v>-2.3538825352876725E-3</v>
      </c>
      <c r="W417" s="112">
        <f t="shared" si="193"/>
        <v>2.3538825352876725E-3</v>
      </c>
      <c r="X417" s="113">
        <f t="shared" si="194"/>
        <v>-2.3538825352876725E-3</v>
      </c>
      <c r="Y417" s="32"/>
      <c r="Z417" s="32"/>
      <c r="AA417" s="32"/>
      <c r="AB417" s="32"/>
      <c r="AC417" s="32"/>
      <c r="AD417" s="32"/>
      <c r="AE417" s="32"/>
      <c r="AG417" s="26">
        <f t="shared" si="181"/>
        <v>0</v>
      </c>
      <c r="AH417" s="27">
        <f t="shared" si="182"/>
        <v>5.9003085181121833E-3</v>
      </c>
      <c r="AI417" s="28">
        <f t="shared" si="195"/>
        <v>2.3538825352876725E-3</v>
      </c>
      <c r="AJ417" s="27">
        <f t="shared" si="183"/>
        <v>2.3538825352876725E-3</v>
      </c>
      <c r="AK417" s="28">
        <f t="shared" si="184"/>
        <v>1.8090071169882171E-4</v>
      </c>
      <c r="AL417" s="27">
        <f t="shared" si="185"/>
        <v>2.3538825352876725E-3</v>
      </c>
      <c r="AM417" s="28">
        <f t="shared" si="196"/>
        <v>2.6558345460906185E-2</v>
      </c>
      <c r="AN417" s="27">
        <f t="shared" si="197"/>
        <v>-2.3538825352876725E-3</v>
      </c>
      <c r="AO417" s="28">
        <f t="shared" si="186"/>
        <v>-2.3538825352876725E-3</v>
      </c>
      <c r="AP417" s="27">
        <f t="shared" si="187"/>
        <v>-1.8090071169882171E-4</v>
      </c>
      <c r="AQ417" s="29">
        <f t="shared" si="188"/>
        <v>-2.3538825352876725E-3</v>
      </c>
      <c r="AS417" s="30">
        <f t="shared" si="189"/>
        <v>0.81613540523189143</v>
      </c>
      <c r="AT417" s="21">
        <f t="shared" si="190"/>
        <v>0.22672541942256874</v>
      </c>
      <c r="AU417" s="31">
        <f t="shared" ca="1" si="198"/>
        <v>5.6078345920751449E-4</v>
      </c>
      <c r="AV417" s="109">
        <f t="shared" ca="1" si="199"/>
        <v>5.6248072751896583E-4</v>
      </c>
      <c r="AW417" s="27" t="e">
        <f t="shared" ca="1" si="200"/>
        <v>#VALUE!</v>
      </c>
      <c r="AX417" s="29" t="e">
        <f t="shared" ca="1" si="201"/>
        <v>#VALUE!</v>
      </c>
    </row>
    <row r="418" spans="13:50" s="11" customFormat="1" ht="15.6" customHeight="1" x14ac:dyDescent="0.3">
      <c r="M418" s="20">
        <f t="shared" si="202"/>
        <v>388</v>
      </c>
      <c r="N418" s="21">
        <f t="shared" si="203"/>
        <v>6.7900000000000222</v>
      </c>
      <c r="O418" s="22">
        <f t="shared" ca="1" si="175"/>
        <v>198.72800242033793</v>
      </c>
      <c r="P418" s="23">
        <f t="shared" ca="1" si="176"/>
        <v>-1</v>
      </c>
      <c r="Q418" s="22" t="e">
        <f t="shared" ca="1" si="177"/>
        <v>#VALUE!</v>
      </c>
      <c r="R418" s="23">
        <f t="shared" ca="1" si="178"/>
        <v>-1</v>
      </c>
      <c r="S418" s="24" t="e">
        <f t="shared" ca="1" si="179"/>
        <v>#VALUE!</v>
      </c>
      <c r="T418" s="23">
        <f t="shared" ca="1" si="180"/>
        <v>-1</v>
      </c>
      <c r="U418" s="112">
        <f t="shared" si="191"/>
        <v>2.1761906413255237E-3</v>
      </c>
      <c r="V418" s="109">
        <f t="shared" si="192"/>
        <v>-2.1761906413255237E-3</v>
      </c>
      <c r="W418" s="112">
        <f t="shared" si="193"/>
        <v>2.1761906413255237E-3</v>
      </c>
      <c r="X418" s="113">
        <f t="shared" si="194"/>
        <v>-2.1761906413255237E-3</v>
      </c>
      <c r="Y418" s="32"/>
      <c r="Z418" s="32"/>
      <c r="AA418" s="32"/>
      <c r="AB418" s="32"/>
      <c r="AC418" s="32"/>
      <c r="AD418" s="32"/>
      <c r="AE418" s="32"/>
      <c r="AG418" s="26">
        <f t="shared" si="181"/>
        <v>0</v>
      </c>
      <c r="AH418" s="27">
        <f t="shared" si="182"/>
        <v>5.4549009925339269E-3</v>
      </c>
      <c r="AI418" s="28">
        <f t="shared" si="195"/>
        <v>2.1761906413255237E-3</v>
      </c>
      <c r="AJ418" s="27">
        <f t="shared" si="183"/>
        <v>2.1761906413255237E-3</v>
      </c>
      <c r="AK418" s="28">
        <f t="shared" si="184"/>
        <v>1.6702906376944777E-4</v>
      </c>
      <c r="AL418" s="27">
        <f t="shared" si="185"/>
        <v>2.1761906413255237E-3</v>
      </c>
      <c r="AM418" s="28">
        <f t="shared" si="196"/>
        <v>2.6558345460906185E-2</v>
      </c>
      <c r="AN418" s="27">
        <f t="shared" si="197"/>
        <v>-2.1761906413255237E-3</v>
      </c>
      <c r="AO418" s="28">
        <f t="shared" si="186"/>
        <v>-2.1761906413255237E-3</v>
      </c>
      <c r="AP418" s="27">
        <f t="shared" si="187"/>
        <v>-1.6702906376944777E-4</v>
      </c>
      <c r="AQ418" s="29">
        <f t="shared" si="188"/>
        <v>-2.1761906413255237E-3</v>
      </c>
      <c r="AS418" s="30">
        <f t="shared" si="189"/>
        <v>0.81570704659812487</v>
      </c>
      <c r="AT418" s="21">
        <f t="shared" si="190"/>
        <v>0.20933988696482109</v>
      </c>
      <c r="AU418" s="31">
        <f t="shared" ca="1" si="198"/>
        <v>5.605743038042954E-4</v>
      </c>
      <c r="AV418" s="109">
        <f t="shared" ca="1" si="199"/>
        <v>5.6226853433893886E-4</v>
      </c>
      <c r="AW418" s="27" t="e">
        <f t="shared" ca="1" si="200"/>
        <v>#VALUE!</v>
      </c>
      <c r="AX418" s="29" t="e">
        <f t="shared" ca="1" si="201"/>
        <v>#VALUE!</v>
      </c>
    </row>
    <row r="419" spans="13:50" s="11" customFormat="1" ht="15.6" customHeight="1" x14ac:dyDescent="0.3">
      <c r="M419" s="20">
        <f t="shared" si="202"/>
        <v>389</v>
      </c>
      <c r="N419" s="21">
        <f t="shared" si="203"/>
        <v>6.8075000000000223</v>
      </c>
      <c r="O419" s="22">
        <f t="shared" ca="1" si="175"/>
        <v>198.83580679086251</v>
      </c>
      <c r="P419" s="23">
        <f t="shared" ca="1" si="176"/>
        <v>-1</v>
      </c>
      <c r="Q419" s="22" t="e">
        <f t="shared" ca="1" si="177"/>
        <v>#VALUE!</v>
      </c>
      <c r="R419" s="23">
        <f t="shared" ca="1" si="178"/>
        <v>-1</v>
      </c>
      <c r="S419" s="24" t="e">
        <f t="shared" ca="1" si="179"/>
        <v>#VALUE!</v>
      </c>
      <c r="T419" s="23">
        <f t="shared" ca="1" si="180"/>
        <v>-1</v>
      </c>
      <c r="U419" s="112">
        <f t="shared" si="191"/>
        <v>1.9979343002477865E-3</v>
      </c>
      <c r="V419" s="109">
        <f t="shared" si="192"/>
        <v>-1.9979343002477865E-3</v>
      </c>
      <c r="W419" s="112">
        <f t="shared" si="193"/>
        <v>1.9979343002477865E-3</v>
      </c>
      <c r="X419" s="113">
        <f t="shared" si="194"/>
        <v>-1.9979343002477865E-3</v>
      </c>
      <c r="Y419" s="32"/>
      <c r="Z419" s="32"/>
      <c r="AA419" s="32"/>
      <c r="AB419" s="32"/>
      <c r="AC419" s="32"/>
      <c r="AD419" s="32"/>
      <c r="AE419" s="32"/>
      <c r="AG419" s="26">
        <f t="shared" si="181"/>
        <v>0</v>
      </c>
      <c r="AH419" s="27">
        <f t="shared" si="182"/>
        <v>5.0080786078562046E-3</v>
      </c>
      <c r="AI419" s="28">
        <f t="shared" si="195"/>
        <v>1.9979343002477865E-3</v>
      </c>
      <c r="AJ419" s="27">
        <f t="shared" si="183"/>
        <v>1.9979343002477865E-3</v>
      </c>
      <c r="AK419" s="28">
        <f t="shared" si="184"/>
        <v>1.5315013131288917E-4</v>
      </c>
      <c r="AL419" s="27">
        <f t="shared" si="185"/>
        <v>1.9979343002477865E-3</v>
      </c>
      <c r="AM419" s="28">
        <f t="shared" si="196"/>
        <v>2.6558345460906185E-2</v>
      </c>
      <c r="AN419" s="27">
        <f t="shared" si="197"/>
        <v>-1.9979343002477865E-3</v>
      </c>
      <c r="AO419" s="28">
        <f t="shared" si="186"/>
        <v>-1.9979343002477865E-3</v>
      </c>
      <c r="AP419" s="27">
        <f t="shared" si="187"/>
        <v>-1.5315013131288917E-4</v>
      </c>
      <c r="AQ419" s="29">
        <f t="shared" si="188"/>
        <v>-1.9979343002477865E-3</v>
      </c>
      <c r="AS419" s="30">
        <f t="shared" si="189"/>
        <v>0.81527891279361819</v>
      </c>
      <c r="AT419" s="21">
        <f t="shared" si="190"/>
        <v>0.19194522470616926</v>
      </c>
      <c r="AU419" s="31">
        <f t="shared" ca="1" si="198"/>
        <v>5.6037038836787012E-4</v>
      </c>
      <c r="AV419" s="109">
        <f t="shared" ca="1" si="199"/>
        <v>5.6206157702609616E-4</v>
      </c>
      <c r="AW419" s="27" t="e">
        <f t="shared" ca="1" si="200"/>
        <v>#VALUE!</v>
      </c>
      <c r="AX419" s="29" t="e">
        <f t="shared" ca="1" si="201"/>
        <v>#VALUE!</v>
      </c>
    </row>
    <row r="420" spans="13:50" s="11" customFormat="1" ht="15.6" customHeight="1" x14ac:dyDescent="0.3">
      <c r="M420" s="20">
        <f t="shared" si="202"/>
        <v>390</v>
      </c>
      <c r="N420" s="21">
        <f t="shared" si="203"/>
        <v>6.8250000000000224</v>
      </c>
      <c r="O420" s="22">
        <f t="shared" ca="1" si="175"/>
        <v>198.94326707497763</v>
      </c>
      <c r="P420" s="23">
        <f t="shared" ca="1" si="176"/>
        <v>-1</v>
      </c>
      <c r="Q420" s="22" t="e">
        <f t="shared" ca="1" si="177"/>
        <v>#VALUE!</v>
      </c>
      <c r="R420" s="23">
        <f t="shared" ca="1" si="178"/>
        <v>-1</v>
      </c>
      <c r="S420" s="24" t="e">
        <f t="shared" ca="1" si="179"/>
        <v>#VALUE!</v>
      </c>
      <c r="T420" s="23">
        <f t="shared" ca="1" si="180"/>
        <v>-1</v>
      </c>
      <c r="U420" s="112">
        <f t="shared" si="191"/>
        <v>1.8191140078831136E-3</v>
      </c>
      <c r="V420" s="109">
        <f t="shared" si="192"/>
        <v>-1.8191140078831136E-3</v>
      </c>
      <c r="W420" s="112">
        <f t="shared" si="193"/>
        <v>1.8191140078831136E-3</v>
      </c>
      <c r="X420" s="113">
        <f t="shared" si="194"/>
        <v>-1.8191140078831136E-3</v>
      </c>
      <c r="Y420" s="32"/>
      <c r="Z420" s="32"/>
      <c r="AA420" s="32"/>
      <c r="AB420" s="32"/>
      <c r="AC420" s="32"/>
      <c r="AD420" s="32"/>
      <c r="AE420" s="32"/>
      <c r="AG420" s="26">
        <f t="shared" si="181"/>
        <v>0</v>
      </c>
      <c r="AH420" s="27">
        <f t="shared" si="182"/>
        <v>4.5598426069371331E-3</v>
      </c>
      <c r="AI420" s="28">
        <f t="shared" si="195"/>
        <v>1.8191140078831136E-3</v>
      </c>
      <c r="AJ420" s="27">
        <f t="shared" si="183"/>
        <v>1.8191140078831136E-3</v>
      </c>
      <c r="AK420" s="28">
        <f t="shared" si="184"/>
        <v>1.3926391050376373E-4</v>
      </c>
      <c r="AL420" s="27">
        <f t="shared" si="185"/>
        <v>1.8191140078831136E-3</v>
      </c>
      <c r="AM420" s="28">
        <f t="shared" si="196"/>
        <v>2.6558345460906185E-2</v>
      </c>
      <c r="AN420" s="27">
        <f t="shared" si="197"/>
        <v>-1.8191140078831136E-3</v>
      </c>
      <c r="AO420" s="28">
        <f t="shared" si="186"/>
        <v>-1.8191140078831136E-3</v>
      </c>
      <c r="AP420" s="27">
        <f t="shared" si="187"/>
        <v>-1.3926391050376376E-4</v>
      </c>
      <c r="AQ420" s="29">
        <f t="shared" si="188"/>
        <v>-1.8191140078831136E-3</v>
      </c>
      <c r="AS420" s="30">
        <f t="shared" si="189"/>
        <v>0.81485100370036712</v>
      </c>
      <c r="AT420" s="21">
        <f t="shared" si="190"/>
        <v>0.17454142785220766</v>
      </c>
      <c r="AU420" s="31">
        <f t="shared" ca="1" si="198"/>
        <v>5.6016655218094069E-4</v>
      </c>
      <c r="AV420" s="109">
        <f t="shared" ca="1" si="199"/>
        <v>5.6185470066927312E-4</v>
      </c>
      <c r="AW420" s="27" t="e">
        <f t="shared" ca="1" si="200"/>
        <v>#VALUE!</v>
      </c>
      <c r="AX420" s="29" t="e">
        <f t="shared" ca="1" si="201"/>
        <v>#VALUE!</v>
      </c>
    </row>
    <row r="421" spans="13:50" s="11" customFormat="1" ht="15.6" customHeight="1" x14ac:dyDescent="0.3">
      <c r="M421" s="20">
        <f t="shared" si="202"/>
        <v>391</v>
      </c>
      <c r="N421" s="21">
        <f t="shared" si="203"/>
        <v>6.8425000000000225</v>
      </c>
      <c r="O421" s="22">
        <f t="shared" ca="1" si="175"/>
        <v>199.05038713112131</v>
      </c>
      <c r="P421" s="23">
        <f t="shared" ca="1" si="176"/>
        <v>-1</v>
      </c>
      <c r="Q421" s="22" t="e">
        <f t="shared" ca="1" si="177"/>
        <v>#VALUE!</v>
      </c>
      <c r="R421" s="23">
        <f t="shared" ca="1" si="178"/>
        <v>-1</v>
      </c>
      <c r="S421" s="24" t="e">
        <f t="shared" ca="1" si="179"/>
        <v>#VALUE!</v>
      </c>
      <c r="T421" s="23">
        <f t="shared" ca="1" si="180"/>
        <v>-1</v>
      </c>
      <c r="U421" s="112">
        <f t="shared" si="191"/>
        <v>1.639730256022954E-3</v>
      </c>
      <c r="V421" s="109">
        <f t="shared" si="192"/>
        <v>-1.639730256022954E-3</v>
      </c>
      <c r="W421" s="112">
        <f t="shared" si="193"/>
        <v>1.639730256022954E-3</v>
      </c>
      <c r="X421" s="113">
        <f t="shared" si="194"/>
        <v>-1.639730256022954E-3</v>
      </c>
      <c r="Y421" s="32"/>
      <c r="Z421" s="32"/>
      <c r="AA421" s="32"/>
      <c r="AB421" s="32"/>
      <c r="AC421" s="32"/>
      <c r="AD421" s="32"/>
      <c r="AE421" s="32"/>
      <c r="AG421" s="26">
        <f t="shared" si="181"/>
        <v>0</v>
      </c>
      <c r="AH421" s="27">
        <f t="shared" si="182"/>
        <v>4.1101942225150656E-3</v>
      </c>
      <c r="AI421" s="28">
        <f t="shared" si="195"/>
        <v>1.639730256022954E-3</v>
      </c>
      <c r="AJ421" s="27">
        <f t="shared" si="183"/>
        <v>1.639730256022954E-3</v>
      </c>
      <c r="AK421" s="28">
        <f t="shared" si="184"/>
        <v>1.2537039751468426E-4</v>
      </c>
      <c r="AL421" s="27">
        <f t="shared" si="185"/>
        <v>1.639730256022954E-3</v>
      </c>
      <c r="AM421" s="28">
        <f t="shared" si="196"/>
        <v>2.6558345460906185E-2</v>
      </c>
      <c r="AN421" s="27">
        <f t="shared" si="197"/>
        <v>-1.639730256022954E-3</v>
      </c>
      <c r="AO421" s="28">
        <f t="shared" si="186"/>
        <v>-1.639730256022954E-3</v>
      </c>
      <c r="AP421" s="27">
        <f t="shared" si="187"/>
        <v>-1.2537039751468426E-4</v>
      </c>
      <c r="AQ421" s="29">
        <f t="shared" si="188"/>
        <v>-1.639730256022954E-3</v>
      </c>
      <c r="AS421" s="30">
        <f t="shared" si="189"/>
        <v>0.81442331920042899</v>
      </c>
      <c r="AT421" s="21">
        <f t="shared" si="190"/>
        <v>0.15712849160601783</v>
      </c>
      <c r="AU421" s="31">
        <f t="shared" ca="1" si="198"/>
        <v>5.5996370042854515E-4</v>
      </c>
      <c r="AV421" s="109">
        <f t="shared" ca="1" si="199"/>
        <v>5.6164880942055628E-4</v>
      </c>
      <c r="AW421" s="27" t="e">
        <f t="shared" ca="1" si="200"/>
        <v>#VALUE!</v>
      </c>
      <c r="AX421" s="29" t="e">
        <f t="shared" ca="1" si="201"/>
        <v>#VALUE!</v>
      </c>
    </row>
    <row r="422" spans="13:50" s="11" customFormat="1" ht="15.6" customHeight="1" x14ac:dyDescent="0.3">
      <c r="M422" s="20">
        <f t="shared" si="202"/>
        <v>392</v>
      </c>
      <c r="N422" s="21">
        <f t="shared" si="203"/>
        <v>6.8600000000000225</v>
      </c>
      <c r="O422" s="22">
        <f t="shared" ca="1" si="175"/>
        <v>199.15717367875467</v>
      </c>
      <c r="P422" s="23">
        <f t="shared" ca="1" si="176"/>
        <v>-1</v>
      </c>
      <c r="Q422" s="22" t="e">
        <f t="shared" ca="1" si="177"/>
        <v>#VALUE!</v>
      </c>
      <c r="R422" s="23">
        <f t="shared" ca="1" si="178"/>
        <v>-1</v>
      </c>
      <c r="S422" s="24" t="e">
        <f t="shared" ca="1" si="179"/>
        <v>#VALUE!</v>
      </c>
      <c r="T422" s="23">
        <f t="shared" ca="1" si="180"/>
        <v>-1</v>
      </c>
      <c r="U422" s="112">
        <f t="shared" si="191"/>
        <v>1.4597835324537142E-3</v>
      </c>
      <c r="V422" s="109">
        <f t="shared" si="192"/>
        <v>-1.4597835324537142E-3</v>
      </c>
      <c r="W422" s="112">
        <f t="shared" si="193"/>
        <v>1.4597835324537142E-3</v>
      </c>
      <c r="X422" s="113">
        <f t="shared" si="194"/>
        <v>-1.4597835324537142E-3</v>
      </c>
      <c r="Y422" s="32"/>
      <c r="Z422" s="32"/>
      <c r="AA422" s="32"/>
      <c r="AB422" s="32"/>
      <c r="AC422" s="32"/>
      <c r="AD422" s="32"/>
      <c r="AE422" s="32"/>
      <c r="AG422" s="26">
        <f t="shared" si="181"/>
        <v>0</v>
      </c>
      <c r="AH422" s="27">
        <f t="shared" si="182"/>
        <v>3.6591346772892005E-3</v>
      </c>
      <c r="AI422" s="28">
        <f t="shared" si="195"/>
        <v>1.4597835324537142E-3</v>
      </c>
      <c r="AJ422" s="27">
        <f t="shared" si="183"/>
        <v>1.4597835324537142E-3</v>
      </c>
      <c r="AK422" s="28">
        <f t="shared" si="184"/>
        <v>1.1146958851625283E-4</v>
      </c>
      <c r="AL422" s="27">
        <f t="shared" si="185"/>
        <v>1.4597835324537142E-3</v>
      </c>
      <c r="AM422" s="28">
        <f t="shared" si="196"/>
        <v>2.6558345460906185E-2</v>
      </c>
      <c r="AN422" s="27">
        <f t="shared" si="197"/>
        <v>-1.4597835324537142E-3</v>
      </c>
      <c r="AO422" s="28">
        <f t="shared" si="186"/>
        <v>-1.4597835324537142E-3</v>
      </c>
      <c r="AP422" s="27">
        <f t="shared" si="187"/>
        <v>-1.1146958851625283E-4</v>
      </c>
      <c r="AQ422" s="29">
        <f t="shared" si="188"/>
        <v>-1.4597835324537142E-3</v>
      </c>
      <c r="AS422" s="30">
        <f t="shared" si="189"/>
        <v>0.81399585917592343</v>
      </c>
      <c r="AT422" s="21">
        <f t="shared" si="190"/>
        <v>0.13970641116816118</v>
      </c>
      <c r="AU422" s="31">
        <f t="shared" ca="1" si="198"/>
        <v>5.5976447105732241E-4</v>
      </c>
      <c r="AV422" s="109">
        <f t="shared" ca="1" si="199"/>
        <v>5.6144653820133783E-4</v>
      </c>
      <c r="AW422" s="27" t="e">
        <f t="shared" ca="1" si="200"/>
        <v>#VALUE!</v>
      </c>
      <c r="AX422" s="29" t="e">
        <f t="shared" ca="1" si="201"/>
        <v>#VALUE!</v>
      </c>
    </row>
    <row r="423" spans="13:50" s="11" customFormat="1" ht="15.6" customHeight="1" x14ac:dyDescent="0.3">
      <c r="M423" s="20">
        <f t="shared" si="202"/>
        <v>393</v>
      </c>
      <c r="N423" s="21">
        <f t="shared" si="203"/>
        <v>6.8775000000000226</v>
      </c>
      <c r="O423" s="22">
        <f t="shared" ca="1" si="175"/>
        <v>199.26363057631588</v>
      </c>
      <c r="P423" s="23">
        <f t="shared" ca="1" si="176"/>
        <v>-1</v>
      </c>
      <c r="Q423" s="22" t="e">
        <f t="shared" ca="1" si="177"/>
        <v>#VALUE!</v>
      </c>
      <c r="R423" s="23">
        <f t="shared" ca="1" si="178"/>
        <v>-1</v>
      </c>
      <c r="S423" s="24" t="e">
        <f t="shared" ca="1" si="179"/>
        <v>#VALUE!</v>
      </c>
      <c r="T423" s="23">
        <f t="shared" ca="1" si="180"/>
        <v>-1</v>
      </c>
      <c r="U423" s="112">
        <f t="shared" si="191"/>
        <v>1.2792743209885592E-3</v>
      </c>
      <c r="V423" s="109">
        <f t="shared" si="192"/>
        <v>-1.2792743209885592E-3</v>
      </c>
      <c r="W423" s="112">
        <f t="shared" si="193"/>
        <v>1.2792743209885592E-3</v>
      </c>
      <c r="X423" s="113">
        <f t="shared" si="194"/>
        <v>-1.2792743209885592E-3</v>
      </c>
      <c r="Y423" s="32"/>
      <c r="Z423" s="32"/>
      <c r="AA423" s="32"/>
      <c r="AB423" s="32"/>
      <c r="AC423" s="32"/>
      <c r="AD423" s="32"/>
      <c r="AE423" s="32"/>
      <c r="AG423" s="26">
        <f t="shared" si="181"/>
        <v>0</v>
      </c>
      <c r="AH423" s="27">
        <f t="shared" si="182"/>
        <v>3.2066651839992967E-3</v>
      </c>
      <c r="AI423" s="28">
        <f t="shared" si="195"/>
        <v>1.2792743209885592E-3</v>
      </c>
      <c r="AJ423" s="27">
        <f t="shared" si="183"/>
        <v>1.2792743209885592E-3</v>
      </c>
      <c r="AK423" s="28">
        <f t="shared" si="184"/>
        <v>9.7561479677054678E-5</v>
      </c>
      <c r="AL423" s="27">
        <f t="shared" si="185"/>
        <v>1.2792743209885592E-3</v>
      </c>
      <c r="AM423" s="28">
        <f t="shared" si="196"/>
        <v>2.6558345460906185E-2</v>
      </c>
      <c r="AN423" s="27">
        <f t="shared" si="197"/>
        <v>-1.2792743209885592E-3</v>
      </c>
      <c r="AO423" s="28">
        <f t="shared" si="186"/>
        <v>-1.2792743209885592E-3</v>
      </c>
      <c r="AP423" s="27">
        <f t="shared" si="187"/>
        <v>-9.7561479677054692E-5</v>
      </c>
      <c r="AQ423" s="29">
        <f t="shared" si="188"/>
        <v>-1.2792743209885592E-3</v>
      </c>
      <c r="AS423" s="30">
        <f t="shared" si="189"/>
        <v>0.8135686235090317</v>
      </c>
      <c r="AT423" s="21">
        <f t="shared" si="190"/>
        <v>0.12227518173667148</v>
      </c>
      <c r="AU423" s="31">
        <f t="shared" ca="1" si="198"/>
        <v>5.5956630636588844E-4</v>
      </c>
      <c r="AV423" s="109">
        <f t="shared" ca="1" si="199"/>
        <v>5.6124533219759076E-4</v>
      </c>
      <c r="AW423" s="27" t="e">
        <f t="shared" ca="1" si="200"/>
        <v>#VALUE!</v>
      </c>
      <c r="AX423" s="29" t="e">
        <f t="shared" ca="1" si="201"/>
        <v>#VALUE!</v>
      </c>
    </row>
    <row r="424" spans="13:50" s="11" customFormat="1" ht="15.6" customHeight="1" x14ac:dyDescent="0.3">
      <c r="M424" s="20">
        <f t="shared" si="202"/>
        <v>394</v>
      </c>
      <c r="N424" s="21">
        <f t="shared" si="203"/>
        <v>6.8950000000000227</v>
      </c>
      <c r="O424" s="22">
        <f t="shared" ca="1" si="175"/>
        <v>199.3697616754784</v>
      </c>
      <c r="P424" s="23">
        <f t="shared" ca="1" si="176"/>
        <v>-1</v>
      </c>
      <c r="Q424" s="22" t="e">
        <f t="shared" ca="1" si="177"/>
        <v>#VALUE!</v>
      </c>
      <c r="R424" s="23">
        <f t="shared" ca="1" si="178"/>
        <v>-1</v>
      </c>
      <c r="S424" s="24" t="e">
        <f t="shared" ca="1" si="179"/>
        <v>#VALUE!</v>
      </c>
      <c r="T424" s="23">
        <f t="shared" ca="1" si="180"/>
        <v>-1</v>
      </c>
      <c r="U424" s="112">
        <f t="shared" si="191"/>
        <v>1.0982031014991039E-3</v>
      </c>
      <c r="V424" s="109">
        <f t="shared" si="192"/>
        <v>-1.0982031014991039E-3</v>
      </c>
      <c r="W424" s="112">
        <f t="shared" si="193"/>
        <v>1.0982031014991039E-3</v>
      </c>
      <c r="X424" s="113">
        <f t="shared" si="194"/>
        <v>-1.0982031014991039E-3</v>
      </c>
      <c r="Y424" s="32"/>
      <c r="Z424" s="32"/>
      <c r="AA424" s="32"/>
      <c r="AB424" s="32"/>
      <c r="AC424" s="32"/>
      <c r="AD424" s="32"/>
      <c r="AE424" s="32"/>
      <c r="AG424" s="26">
        <f t="shared" si="181"/>
        <v>0</v>
      </c>
      <c r="AH424" s="27">
        <f t="shared" si="182"/>
        <v>2.7527869455051123E-3</v>
      </c>
      <c r="AI424" s="28">
        <f t="shared" si="195"/>
        <v>1.0982031014991039E-3</v>
      </c>
      <c r="AJ424" s="27">
        <f t="shared" si="183"/>
        <v>1.0982031014991039E-3</v>
      </c>
      <c r="AK424" s="28">
        <f t="shared" si="184"/>
        <v>8.3646067163670179E-5</v>
      </c>
      <c r="AL424" s="27">
        <f t="shared" si="185"/>
        <v>1.0982031014991039E-3</v>
      </c>
      <c r="AM424" s="28">
        <f t="shared" si="196"/>
        <v>2.6558345460906185E-2</v>
      </c>
      <c r="AN424" s="27">
        <f t="shared" si="197"/>
        <v>-1.0982031014991039E-3</v>
      </c>
      <c r="AO424" s="28">
        <f t="shared" si="186"/>
        <v>-1.0982031014991039E-3</v>
      </c>
      <c r="AP424" s="27">
        <f t="shared" si="187"/>
        <v>-8.3646067163670179E-5</v>
      </c>
      <c r="AQ424" s="29">
        <f t="shared" si="188"/>
        <v>-1.0982031014991039E-3</v>
      </c>
      <c r="AS424" s="30">
        <f t="shared" si="189"/>
        <v>0.81314161208199698</v>
      </c>
      <c r="AT424" s="21">
        <f t="shared" si="190"/>
        <v>0.10483479850706967</v>
      </c>
      <c r="AU424" s="31">
        <f t="shared" ca="1" si="198"/>
        <v>5.5936923284249929E-4</v>
      </c>
      <c r="AV424" s="109">
        <f t="shared" ca="1" si="199"/>
        <v>5.6104521785493855E-4</v>
      </c>
      <c r="AW424" s="27" t="e">
        <f t="shared" ca="1" si="200"/>
        <v>#VALUE!</v>
      </c>
      <c r="AX424" s="29" t="e">
        <f t="shared" ca="1" si="201"/>
        <v>#VALUE!</v>
      </c>
    </row>
    <row r="425" spans="13:50" s="11" customFormat="1" ht="15.6" customHeight="1" x14ac:dyDescent="0.3">
      <c r="M425" s="20">
        <f t="shared" si="202"/>
        <v>395</v>
      </c>
      <c r="N425" s="21">
        <f t="shared" si="203"/>
        <v>6.9125000000000227</v>
      </c>
      <c r="O425" s="22">
        <f t="shared" ca="1" si="175"/>
        <v>199.47557370921527</v>
      </c>
      <c r="P425" s="23">
        <f t="shared" ca="1" si="176"/>
        <v>-1</v>
      </c>
      <c r="Q425" s="22" t="e">
        <f t="shared" ca="1" si="177"/>
        <v>#VALUE!</v>
      </c>
      <c r="R425" s="23">
        <f t="shared" ca="1" si="178"/>
        <v>-1</v>
      </c>
      <c r="S425" s="24" t="e">
        <f t="shared" ca="1" si="179"/>
        <v>#VALUE!</v>
      </c>
      <c r="T425" s="23">
        <f t="shared" ca="1" si="180"/>
        <v>-1</v>
      </c>
      <c r="U425" s="112">
        <f t="shared" si="191"/>
        <v>9.165703499464503E-4</v>
      </c>
      <c r="V425" s="109">
        <f t="shared" si="192"/>
        <v>-9.165703499464503E-4</v>
      </c>
      <c r="W425" s="112">
        <f t="shared" si="193"/>
        <v>9.165703499464503E-4</v>
      </c>
      <c r="X425" s="113">
        <f t="shared" si="194"/>
        <v>-9.165703499464503E-4</v>
      </c>
      <c r="Y425" s="32"/>
      <c r="Z425" s="32"/>
      <c r="AA425" s="32"/>
      <c r="AB425" s="32"/>
      <c r="AC425" s="32"/>
      <c r="AD425" s="32"/>
      <c r="AE425" s="32"/>
      <c r="AG425" s="26">
        <f t="shared" si="181"/>
        <v>0</v>
      </c>
      <c r="AH425" s="27">
        <f t="shared" si="182"/>
        <v>2.297501154864203E-3</v>
      </c>
      <c r="AI425" s="28">
        <f t="shared" si="195"/>
        <v>9.165703499464503E-4</v>
      </c>
      <c r="AJ425" s="27">
        <f t="shared" si="183"/>
        <v>9.165703499464503E-4</v>
      </c>
      <c r="AK425" s="28">
        <f t="shared" si="184"/>
        <v>6.9723347140662959E-5</v>
      </c>
      <c r="AL425" s="27">
        <f t="shared" si="185"/>
        <v>9.165703499464503E-4</v>
      </c>
      <c r="AM425" s="28">
        <f t="shared" si="196"/>
        <v>2.6558345460906185E-2</v>
      </c>
      <c r="AN425" s="27">
        <f t="shared" si="197"/>
        <v>-9.165703499464503E-4</v>
      </c>
      <c r="AO425" s="28">
        <f t="shared" si="186"/>
        <v>-9.165703499464503E-4</v>
      </c>
      <c r="AP425" s="27">
        <f t="shared" si="187"/>
        <v>-6.9723347140662959E-5</v>
      </c>
      <c r="AQ425" s="29">
        <f t="shared" si="188"/>
        <v>-9.165703499464503E-4</v>
      </c>
      <c r="AS425" s="30">
        <f t="shared" si="189"/>
        <v>0.8127148247771242</v>
      </c>
      <c r="AT425" s="21">
        <f t="shared" si="190"/>
        <v>8.7385256672349129E-2</v>
      </c>
      <c r="AU425" s="31">
        <f t="shared" ca="1" si="198"/>
        <v>5.5917592093590596E-4</v>
      </c>
      <c r="AV425" s="109">
        <f t="shared" ca="1" si="199"/>
        <v>5.6084886253460198E-4</v>
      </c>
      <c r="AW425" s="27" t="e">
        <f t="shared" ca="1" si="200"/>
        <v>#VALUE!</v>
      </c>
      <c r="AX425" s="29" t="e">
        <f t="shared" ca="1" si="201"/>
        <v>#VALUE!</v>
      </c>
    </row>
    <row r="426" spans="13:50" s="11" customFormat="1" ht="15.6" customHeight="1" x14ac:dyDescent="0.3">
      <c r="M426" s="20">
        <f t="shared" si="202"/>
        <v>396</v>
      </c>
      <c r="N426" s="21">
        <f t="shared" si="203"/>
        <v>6.9300000000000228</v>
      </c>
      <c r="O426" s="22">
        <f t="shared" ca="1" si="175"/>
        <v>199.58107005238318</v>
      </c>
      <c r="P426" s="23">
        <f t="shared" ca="1" si="176"/>
        <v>-1</v>
      </c>
      <c r="Q426" s="22" t="e">
        <f t="shared" ca="1" si="177"/>
        <v>#VALUE!</v>
      </c>
      <c r="R426" s="23">
        <f t="shared" ca="1" si="178"/>
        <v>-1</v>
      </c>
      <c r="S426" s="24" t="e">
        <f t="shared" ca="1" si="179"/>
        <v>#VALUE!</v>
      </c>
      <c r="T426" s="23">
        <f t="shared" ca="1" si="180"/>
        <v>-1</v>
      </c>
      <c r="U426" s="112">
        <f t="shared" si="191"/>
        <v>7.3437653841204348E-4</v>
      </c>
      <c r="V426" s="109">
        <f t="shared" si="192"/>
        <v>-7.3437653841204348E-4</v>
      </c>
      <c r="W426" s="112">
        <f t="shared" si="193"/>
        <v>7.3437653841204348E-4</v>
      </c>
      <c r="X426" s="113">
        <f t="shared" si="194"/>
        <v>-7.3437653841204348E-4</v>
      </c>
      <c r="Y426" s="32"/>
      <c r="Z426" s="32"/>
      <c r="AA426" s="32"/>
      <c r="AB426" s="32"/>
      <c r="AC426" s="32"/>
      <c r="AD426" s="32"/>
      <c r="AE426" s="32"/>
      <c r="AG426" s="26">
        <f t="shared" si="181"/>
        <v>0</v>
      </c>
      <c r="AH426" s="27">
        <f t="shared" si="182"/>
        <v>1.8408089954092671E-3</v>
      </c>
      <c r="AI426" s="28">
        <f t="shared" si="195"/>
        <v>7.3437653841204348E-4</v>
      </c>
      <c r="AJ426" s="27">
        <f t="shared" si="183"/>
        <v>7.3437653841204348E-4</v>
      </c>
      <c r="AK426" s="28">
        <f t="shared" si="184"/>
        <v>5.5793315770579863E-5</v>
      </c>
      <c r="AL426" s="27">
        <f t="shared" si="185"/>
        <v>7.3437653841204348E-4</v>
      </c>
      <c r="AM426" s="28">
        <f t="shared" si="196"/>
        <v>2.6558345460906185E-2</v>
      </c>
      <c r="AN426" s="27">
        <f t="shared" si="197"/>
        <v>-7.3437653841204348E-4</v>
      </c>
      <c r="AO426" s="28">
        <f t="shared" si="186"/>
        <v>-7.3437653841204348E-4</v>
      </c>
      <c r="AP426" s="27">
        <f t="shared" si="187"/>
        <v>-5.5793315770579863E-5</v>
      </c>
      <c r="AQ426" s="29">
        <f t="shared" si="188"/>
        <v>-7.3437653841204348E-4</v>
      </c>
      <c r="AS426" s="30">
        <f t="shared" si="189"/>
        <v>0.81228826147678024</v>
      </c>
      <c r="AT426" s="21">
        <f t="shared" si="190"/>
        <v>6.9926551422975589E-2</v>
      </c>
      <c r="AU426" s="31">
        <f t="shared" ca="1" si="198"/>
        <v>5.5898334219106616E-4</v>
      </c>
      <c r="AV426" s="109">
        <f t="shared" ca="1" si="199"/>
        <v>5.6065324123344418E-4</v>
      </c>
      <c r="AW426" s="27" t="e">
        <f t="shared" ca="1" si="200"/>
        <v>#VALUE!</v>
      </c>
      <c r="AX426" s="29" t="e">
        <f t="shared" ca="1" si="201"/>
        <v>#VALUE!</v>
      </c>
    </row>
    <row r="427" spans="13:50" s="11" customFormat="1" ht="15.6" customHeight="1" x14ac:dyDescent="0.3">
      <c r="M427" s="20">
        <f t="shared" si="202"/>
        <v>397</v>
      </c>
      <c r="N427" s="21">
        <f t="shared" si="203"/>
        <v>6.9475000000000229</v>
      </c>
      <c r="O427" s="22">
        <f t="shared" ca="1" si="175"/>
        <v>199.68625599052837</v>
      </c>
      <c r="P427" s="23">
        <f t="shared" ca="1" si="176"/>
        <v>-1</v>
      </c>
      <c r="Q427" s="22" t="e">
        <f t="shared" ca="1" si="177"/>
        <v>#VALUE!</v>
      </c>
      <c r="R427" s="23">
        <f t="shared" ca="1" si="178"/>
        <v>-1</v>
      </c>
      <c r="S427" s="24" t="e">
        <f t="shared" ca="1" si="179"/>
        <v>#VALUE!</v>
      </c>
      <c r="T427" s="23">
        <f t="shared" ca="1" si="180"/>
        <v>-1</v>
      </c>
      <c r="U427" s="112">
        <f t="shared" si="191"/>
        <v>5.5162213512834979E-4</v>
      </c>
      <c r="V427" s="109">
        <f t="shared" si="192"/>
        <v>-5.5162213512834979E-4</v>
      </c>
      <c r="W427" s="112">
        <f t="shared" si="193"/>
        <v>5.5162213512834979E-4</v>
      </c>
      <c r="X427" s="113">
        <f t="shared" si="194"/>
        <v>-5.5162213512834979E-4</v>
      </c>
      <c r="Y427" s="32"/>
      <c r="Z427" s="32"/>
      <c r="AA427" s="32"/>
      <c r="AB427" s="32"/>
      <c r="AC427" s="32"/>
      <c r="AD427" s="32"/>
      <c r="AE427" s="32"/>
      <c r="AG427" s="26">
        <f t="shared" si="181"/>
        <v>0</v>
      </c>
      <c r="AH427" s="27">
        <f t="shared" si="182"/>
        <v>1.3827116408250439E-3</v>
      </c>
      <c r="AI427" s="28">
        <f t="shared" si="195"/>
        <v>5.5162213512834979E-4</v>
      </c>
      <c r="AJ427" s="27">
        <f t="shared" si="183"/>
        <v>5.5162213512834979E-4</v>
      </c>
      <c r="AK427" s="28">
        <f t="shared" si="184"/>
        <v>4.1855969213962863E-5</v>
      </c>
      <c r="AL427" s="27">
        <f t="shared" si="185"/>
        <v>5.5162213512834979E-4</v>
      </c>
      <c r="AM427" s="28">
        <f t="shared" si="196"/>
        <v>2.6558345460906185E-2</v>
      </c>
      <c r="AN427" s="27">
        <f t="shared" si="197"/>
        <v>-5.5162213512834979E-4</v>
      </c>
      <c r="AO427" s="28">
        <f t="shared" si="186"/>
        <v>-5.5162213512834979E-4</v>
      </c>
      <c r="AP427" s="27">
        <f t="shared" si="187"/>
        <v>-4.1855969213962869E-5</v>
      </c>
      <c r="AQ427" s="29">
        <f t="shared" si="188"/>
        <v>-5.5162213512834979E-4</v>
      </c>
      <c r="AS427" s="30">
        <f t="shared" si="189"/>
        <v>0.81186192206339336</v>
      </c>
      <c r="AT427" s="21">
        <f t="shared" si="190"/>
        <v>5.2458677946901996E-2</v>
      </c>
      <c r="AU427" s="31">
        <f t="shared" ca="1" si="198"/>
        <v>5.5879328132657502E-4</v>
      </c>
      <c r="AV427" s="109">
        <f t="shared" ca="1" si="199"/>
        <v>5.6046013659638572E-4</v>
      </c>
      <c r="AW427" s="27" t="e">
        <f t="shared" ca="1" si="200"/>
        <v>#VALUE!</v>
      </c>
      <c r="AX427" s="29" t="e">
        <f t="shared" ca="1" si="201"/>
        <v>#VALUE!</v>
      </c>
    </row>
    <row r="428" spans="13:50" s="11" customFormat="1" ht="15.6" customHeight="1" x14ac:dyDescent="0.3">
      <c r="M428" s="20">
        <f t="shared" si="202"/>
        <v>398</v>
      </c>
      <c r="N428" s="21">
        <f t="shared" si="203"/>
        <v>6.965000000000023</v>
      </c>
      <c r="O428" s="22">
        <f t="shared" ca="1" si="175"/>
        <v>199.79113658098478</v>
      </c>
      <c r="P428" s="23">
        <f t="shared" ca="1" si="176"/>
        <v>-1</v>
      </c>
      <c r="Q428" s="22" t="e">
        <f t="shared" ca="1" si="177"/>
        <v>#VALUE!</v>
      </c>
      <c r="R428" s="23">
        <f t="shared" ca="1" si="178"/>
        <v>-1</v>
      </c>
      <c r="S428" s="24" t="e">
        <f t="shared" ca="1" si="179"/>
        <v>#VALUE!</v>
      </c>
      <c r="T428" s="23">
        <f t="shared" ca="1" si="180"/>
        <v>-1</v>
      </c>
      <c r="U428" s="112">
        <f t="shared" si="191"/>
        <v>3.6830760450873995E-4</v>
      </c>
      <c r="V428" s="109">
        <f t="shared" si="192"/>
        <v>-3.6830760450873995E-4</v>
      </c>
      <c r="W428" s="112">
        <f t="shared" si="193"/>
        <v>3.6830760450873995E-4</v>
      </c>
      <c r="X428" s="113">
        <f t="shared" si="194"/>
        <v>-3.6830760450873995E-4</v>
      </c>
      <c r="Y428" s="32"/>
      <c r="Z428" s="32"/>
      <c r="AA428" s="32"/>
      <c r="AB428" s="32"/>
      <c r="AC428" s="32"/>
      <c r="AD428" s="32"/>
      <c r="AE428" s="32"/>
      <c r="AG428" s="26">
        <f t="shared" si="181"/>
        <v>0</v>
      </c>
      <c r="AH428" s="27">
        <f t="shared" si="182"/>
        <v>9.2321025522321967E-4</v>
      </c>
      <c r="AI428" s="28">
        <f t="shared" si="195"/>
        <v>3.6830760450873995E-4</v>
      </c>
      <c r="AJ428" s="27">
        <f t="shared" si="183"/>
        <v>3.6830760450873995E-4</v>
      </c>
      <c r="AK428" s="28">
        <f t="shared" si="184"/>
        <v>2.7911303629325347E-5</v>
      </c>
      <c r="AL428" s="27">
        <f t="shared" si="185"/>
        <v>3.6830760450873995E-4</v>
      </c>
      <c r="AM428" s="28">
        <f t="shared" si="196"/>
        <v>2.6558345460906185E-2</v>
      </c>
      <c r="AN428" s="27">
        <f t="shared" si="197"/>
        <v>-3.6830760450873995E-4</v>
      </c>
      <c r="AO428" s="28">
        <f t="shared" si="186"/>
        <v>-3.6830760450873995E-4</v>
      </c>
      <c r="AP428" s="27">
        <f t="shared" si="187"/>
        <v>-2.7911303629325347E-5</v>
      </c>
      <c r="AQ428" s="29">
        <f t="shared" si="188"/>
        <v>-3.6830760450873995E-4</v>
      </c>
      <c r="AS428" s="30">
        <f t="shared" si="189"/>
        <v>0.81143580641945401</v>
      </c>
      <c r="AT428" s="21">
        <f t="shared" si="190"/>
        <v>3.4981631429538883E-2</v>
      </c>
      <c r="AU428" s="31">
        <f t="shared" ca="1" si="198"/>
        <v>5.5860556990938726E-4</v>
      </c>
      <c r="AV428" s="109">
        <f t="shared" ca="1" si="199"/>
        <v>5.602693803561376E-4</v>
      </c>
      <c r="AW428" s="27" t="e">
        <f t="shared" ca="1" si="200"/>
        <v>#VALUE!</v>
      </c>
      <c r="AX428" s="29" t="e">
        <f t="shared" ca="1" si="201"/>
        <v>#VALUE!</v>
      </c>
    </row>
    <row r="429" spans="13:50" s="11" customFormat="1" ht="15.6" customHeight="1" x14ac:dyDescent="0.3">
      <c r="M429" s="20">
        <f t="shared" si="202"/>
        <v>399</v>
      </c>
      <c r="N429" s="21">
        <f t="shared" si="203"/>
        <v>6.982500000000023</v>
      </c>
      <c r="O429" s="22">
        <f t="shared" ca="1" si="175"/>
        <v>199.89571627313416</v>
      </c>
      <c r="P429" s="23">
        <f t="shared" ca="1" si="176"/>
        <v>-1</v>
      </c>
      <c r="Q429" s="22" t="e">
        <f t="shared" ca="1" si="177"/>
        <v>#VALUE!</v>
      </c>
      <c r="R429" s="23">
        <f t="shared" ca="1" si="178"/>
        <v>-1</v>
      </c>
      <c r="S429" s="24" t="e">
        <f t="shared" ca="1" si="179"/>
        <v>#VALUE!</v>
      </c>
      <c r="T429" s="23">
        <f t="shared" ca="1" si="180"/>
        <v>-1</v>
      </c>
      <c r="U429" s="112">
        <f t="shared" si="191"/>
        <v>1.8443340717759228E-4</v>
      </c>
      <c r="V429" s="109">
        <f t="shared" si="192"/>
        <v>-1.8443340717759228E-4</v>
      </c>
      <c r="W429" s="112">
        <f t="shared" si="193"/>
        <v>1.8443340717759228E-4</v>
      </c>
      <c r="X429" s="113">
        <f t="shared" si="194"/>
        <v>-1.8443340717759228E-4</v>
      </c>
      <c r="Y429" s="32"/>
      <c r="Z429" s="32"/>
      <c r="AA429" s="32"/>
      <c r="AB429" s="32"/>
      <c r="AC429" s="32"/>
      <c r="AD429" s="32"/>
      <c r="AE429" s="32"/>
      <c r="AF429" s="33"/>
      <c r="AG429" s="26">
        <f t="shared" si="181"/>
        <v>0</v>
      </c>
      <c r="AH429" s="27">
        <f t="shared" si="182"/>
        <v>4.6230599321788488E-4</v>
      </c>
      <c r="AI429" s="28">
        <f t="shared" si="195"/>
        <v>1.8443340717759228E-4</v>
      </c>
      <c r="AJ429" s="27">
        <f t="shared" si="183"/>
        <v>1.8443340717759228E-4</v>
      </c>
      <c r="AK429" s="28">
        <f t="shared" si="184"/>
        <v>1.3959315173169879E-5</v>
      </c>
      <c r="AL429" s="27">
        <f t="shared" si="185"/>
        <v>1.8443340717759228E-4</v>
      </c>
      <c r="AM429" s="28">
        <f t="shared" si="196"/>
        <v>2.6558345460906185E-2</v>
      </c>
      <c r="AN429" s="27">
        <f t="shared" si="197"/>
        <v>-1.8443340717759228E-4</v>
      </c>
      <c r="AO429" s="28">
        <f t="shared" si="186"/>
        <v>-1.8443340717759228E-4</v>
      </c>
      <c r="AP429" s="27">
        <f t="shared" si="187"/>
        <v>-1.395931517316988E-5</v>
      </c>
      <c r="AQ429" s="29">
        <f t="shared" si="188"/>
        <v>-1.8443340717759228E-4</v>
      </c>
      <c r="AR429" s="34"/>
      <c r="AS429" s="30">
        <f t="shared" si="189"/>
        <v>0.81100991442751391</v>
      </c>
      <c r="AT429" s="21">
        <f t="shared" si="190"/>
        <v>1.7495407053776578E-2</v>
      </c>
      <c r="AU429" s="31">
        <f t="shared" ca="1" si="198"/>
        <v>5.5841968724179569E-4</v>
      </c>
      <c r="AV429" s="109">
        <f t="shared" ca="1" si="199"/>
        <v>5.6008045239330784E-4</v>
      </c>
      <c r="AW429" s="27" t="e">
        <f t="shared" ca="1" si="200"/>
        <v>#VALUE!</v>
      </c>
      <c r="AX429" s="29" t="e">
        <f t="shared" ca="1" si="201"/>
        <v>#VALUE!</v>
      </c>
    </row>
    <row r="430" spans="13:50" s="11" customFormat="1" ht="15.6" customHeight="1" thickBot="1" x14ac:dyDescent="0.35">
      <c r="M430" s="35">
        <f t="shared" si="202"/>
        <v>400</v>
      </c>
      <c r="N430" s="36">
        <f t="shared" si="203"/>
        <v>7.0000000000000231</v>
      </c>
      <c r="O430" s="37">
        <f t="shared" ca="1" si="175"/>
        <v>200.00000000000165</v>
      </c>
      <c r="P430" s="38">
        <f t="shared" ca="1" si="176"/>
        <v>200</v>
      </c>
      <c r="Q430" s="37" t="e">
        <f t="shared" ca="1" si="177"/>
        <v>#VALUE!</v>
      </c>
      <c r="R430" s="38">
        <f t="shared" ca="1" si="178"/>
        <v>0</v>
      </c>
      <c r="S430" s="39" t="e">
        <f t="shared" ca="1" si="179"/>
        <v>#VALUE!</v>
      </c>
      <c r="T430" s="38">
        <f t="shared" ca="1" si="180"/>
        <v>0</v>
      </c>
      <c r="U430" s="114">
        <f t="shared" si="191"/>
        <v>3.9894228040143271E-11</v>
      </c>
      <c r="V430" s="110">
        <f t="shared" si="192"/>
        <v>0</v>
      </c>
      <c r="W430" s="114">
        <f t="shared" si="193"/>
        <v>0</v>
      </c>
      <c r="X430" s="115">
        <f t="shared" si="194"/>
        <v>0</v>
      </c>
      <c r="Y430" s="32"/>
      <c r="Z430" s="32"/>
      <c r="AA430" s="32"/>
      <c r="AB430" s="32"/>
      <c r="AC430" s="32"/>
      <c r="AD430" s="32"/>
      <c r="AE430" s="32"/>
      <c r="AF430" s="33"/>
      <c r="AG430" s="40">
        <f t="shared" si="181"/>
        <v>0</v>
      </c>
      <c r="AH430" s="41">
        <f t="shared" si="182"/>
        <v>1E-10</v>
      </c>
      <c r="AI430" s="42">
        <f t="shared" si="195"/>
        <v>3.9894228040143271E-11</v>
      </c>
      <c r="AJ430" s="41">
        <f t="shared" si="183"/>
        <v>3.9894228040143271E-11</v>
      </c>
      <c r="AK430" s="42">
        <v>0</v>
      </c>
      <c r="AL430" s="41">
        <v>0</v>
      </c>
      <c r="AM430" s="42">
        <v>0</v>
      </c>
      <c r="AN430" s="41">
        <v>0</v>
      </c>
      <c r="AO430" s="42">
        <f t="shared" si="186"/>
        <v>0</v>
      </c>
      <c r="AP430" s="41">
        <v>0</v>
      </c>
      <c r="AQ430" s="43">
        <v>0</v>
      </c>
      <c r="AR430" s="34"/>
      <c r="AS430" s="44">
        <f t="shared" si="189"/>
        <v>0.81058424597018652</v>
      </c>
      <c r="AT430" s="36">
        <f t="shared" si="190"/>
        <v>0</v>
      </c>
      <c r="AU430" s="45">
        <f t="shared" ca="1" si="198"/>
        <v>5.5823611591510058E-4</v>
      </c>
      <c r="AV430" s="110">
        <f t="shared" ca="1" si="199"/>
        <v>5.5989383471533039E-4</v>
      </c>
      <c r="AW430" s="41" t="e">
        <f t="shared" ca="1" si="200"/>
        <v>#VALUE!</v>
      </c>
      <c r="AX430" s="43" t="e">
        <f t="shared" ca="1" si="201"/>
        <v>#VALUE!</v>
      </c>
    </row>
    <row r="431" spans="13:50" s="11" customFormat="1" ht="15.6" customHeight="1" x14ac:dyDescent="0.3">
      <c r="T431" s="33"/>
      <c r="U431" s="33"/>
      <c r="V431" s="33"/>
      <c r="W431" s="33"/>
      <c r="X431" s="33"/>
      <c r="Y431" s="33"/>
      <c r="Z431" s="33"/>
      <c r="AA431" s="33"/>
      <c r="AB431" s="33"/>
      <c r="AC431" s="33"/>
      <c r="AD431" s="33"/>
      <c r="AE431" s="33"/>
      <c r="AF431" s="33"/>
      <c r="AG431" s="46"/>
      <c r="AH431" s="46"/>
      <c r="AI431" s="46"/>
      <c r="AJ431" s="46"/>
      <c r="AK431" s="46"/>
      <c r="AL431" s="46"/>
      <c r="AM431" s="46"/>
      <c r="AN431" s="46"/>
      <c r="AO431" s="46"/>
      <c r="AP431" s="46"/>
      <c r="AQ431" s="46"/>
      <c r="AR431" s="34"/>
      <c r="AS431" s="34"/>
      <c r="AT431" s="34"/>
      <c r="AU431" s="47"/>
      <c r="AV431" s="48"/>
    </row>
    <row r="432" spans="13:50" s="11" customFormat="1" ht="15.6" customHeight="1" x14ac:dyDescent="0.3">
      <c r="T432" s="33"/>
      <c r="U432" s="33"/>
      <c r="V432" s="33"/>
      <c r="W432" s="33"/>
      <c r="X432" s="33"/>
      <c r="Y432" s="33"/>
      <c r="Z432" s="33"/>
      <c r="AA432" s="33"/>
      <c r="AB432" s="33"/>
      <c r="AC432" s="33"/>
      <c r="AD432" s="33"/>
      <c r="AE432" s="33"/>
      <c r="AF432" s="33"/>
      <c r="AG432" s="46"/>
      <c r="AH432" s="46"/>
      <c r="AI432" s="46"/>
      <c r="AJ432" s="46"/>
      <c r="AK432" s="46"/>
      <c r="AL432" s="46"/>
      <c r="AM432" s="46"/>
      <c r="AN432" s="46"/>
      <c r="AO432" s="46"/>
      <c r="AP432" s="46"/>
      <c r="AQ432" s="46"/>
      <c r="AR432" s="34"/>
      <c r="AS432" s="34"/>
      <c r="AT432" s="34"/>
      <c r="AU432" s="47"/>
      <c r="AV432" s="48"/>
    </row>
    <row r="433" spans="20:48" x14ac:dyDescent="0.3">
      <c r="T433" s="33"/>
      <c r="U433" s="33"/>
      <c r="V433" s="33"/>
      <c r="W433" s="33"/>
      <c r="X433" s="33"/>
      <c r="Y433" s="33"/>
      <c r="Z433" s="33"/>
      <c r="AA433" s="33"/>
      <c r="AB433" s="33"/>
      <c r="AC433" s="33"/>
      <c r="AD433" s="33"/>
      <c r="AE433" s="33"/>
      <c r="AF433" s="33"/>
      <c r="AG433" s="46"/>
      <c r="AH433" s="46"/>
      <c r="AI433" s="46"/>
      <c r="AJ433" s="46"/>
      <c r="AK433" s="46"/>
      <c r="AL433" s="46"/>
      <c r="AM433" s="46"/>
      <c r="AN433" s="46"/>
      <c r="AO433" s="46"/>
      <c r="AP433" s="46"/>
      <c r="AQ433" s="46"/>
      <c r="AR433" s="34"/>
      <c r="AS433" s="34"/>
      <c r="AT433" s="34"/>
      <c r="AU433" s="47"/>
      <c r="AV433" s="48"/>
    </row>
    <row r="434" spans="20:48" x14ac:dyDescent="0.3">
      <c r="T434" s="33"/>
      <c r="U434" s="33"/>
      <c r="V434" s="33"/>
      <c r="W434" s="33"/>
      <c r="X434" s="33"/>
      <c r="Y434" s="33"/>
      <c r="Z434" s="33"/>
      <c r="AA434" s="33"/>
      <c r="AB434" s="33"/>
      <c r="AC434" s="33"/>
      <c r="AD434" s="33"/>
      <c r="AE434" s="33"/>
      <c r="AF434" s="33"/>
      <c r="AG434" s="46"/>
      <c r="AH434" s="46"/>
      <c r="AI434" s="46"/>
      <c r="AJ434" s="46"/>
      <c r="AK434" s="46"/>
      <c r="AL434" s="46"/>
      <c r="AM434" s="46"/>
      <c r="AN434" s="46"/>
      <c r="AO434" s="46"/>
      <c r="AP434" s="46"/>
      <c r="AQ434" s="46"/>
      <c r="AR434" s="34"/>
      <c r="AS434" s="34"/>
      <c r="AT434" s="34"/>
      <c r="AU434" s="47"/>
      <c r="AV434" s="48"/>
    </row>
    <row r="435" spans="20:48" x14ac:dyDescent="0.3">
      <c r="T435" s="33"/>
      <c r="U435" s="33"/>
      <c r="V435" s="33"/>
      <c r="W435" s="33"/>
      <c r="X435" s="33"/>
      <c r="Y435" s="33"/>
      <c r="Z435" s="33"/>
      <c r="AA435" s="33"/>
      <c r="AB435" s="33"/>
      <c r="AC435" s="33"/>
      <c r="AD435" s="33"/>
      <c r="AE435" s="33"/>
      <c r="AF435" s="33"/>
      <c r="AG435" s="46"/>
      <c r="AH435" s="46"/>
      <c r="AI435" s="46"/>
      <c r="AJ435" s="46"/>
      <c r="AK435" s="46"/>
      <c r="AL435" s="46"/>
      <c r="AM435" s="46"/>
      <c r="AN435" s="46"/>
      <c r="AO435" s="46"/>
      <c r="AP435" s="46"/>
      <c r="AQ435" s="46"/>
      <c r="AR435" s="34"/>
      <c r="AS435" s="34"/>
      <c r="AT435" s="34"/>
      <c r="AU435" s="47"/>
      <c r="AV435" s="48"/>
    </row>
    <row r="436" spans="20:48" x14ac:dyDescent="0.3">
      <c r="T436" s="33"/>
      <c r="U436" s="33"/>
      <c r="V436" s="33"/>
      <c r="W436" s="33"/>
      <c r="X436" s="33"/>
      <c r="Y436" s="33"/>
      <c r="Z436" s="33"/>
      <c r="AA436" s="33"/>
      <c r="AB436" s="33"/>
      <c r="AC436" s="33"/>
      <c r="AD436" s="33"/>
      <c r="AE436" s="33"/>
      <c r="AF436" s="33"/>
      <c r="AG436" s="46"/>
      <c r="AH436" s="46"/>
      <c r="AI436" s="46"/>
      <c r="AJ436" s="46"/>
      <c r="AK436" s="46"/>
      <c r="AL436" s="46"/>
      <c r="AM436" s="46"/>
      <c r="AN436" s="46"/>
      <c r="AO436" s="46"/>
      <c r="AP436" s="46"/>
      <c r="AQ436" s="46"/>
      <c r="AR436" s="34"/>
      <c r="AS436" s="34"/>
      <c r="AT436" s="34"/>
      <c r="AU436" s="47"/>
      <c r="AV436" s="48"/>
    </row>
    <row r="437" spans="20:48" x14ac:dyDescent="0.3">
      <c r="T437" s="33"/>
      <c r="U437" s="33"/>
      <c r="V437" s="33"/>
      <c r="W437" s="33"/>
      <c r="X437" s="33"/>
      <c r="Y437" s="33"/>
      <c r="Z437" s="33"/>
      <c r="AA437" s="33"/>
      <c r="AB437" s="33"/>
      <c r="AC437" s="33"/>
      <c r="AD437" s="33"/>
      <c r="AE437" s="33"/>
      <c r="AF437" s="33"/>
      <c r="AG437" s="46"/>
      <c r="AH437" s="46"/>
      <c r="AI437" s="46"/>
      <c r="AJ437" s="46"/>
      <c r="AK437" s="46"/>
      <c r="AL437" s="46"/>
      <c r="AM437" s="46"/>
      <c r="AN437" s="46"/>
      <c r="AO437" s="46"/>
      <c r="AP437" s="46"/>
      <c r="AQ437" s="46"/>
      <c r="AR437" s="34"/>
      <c r="AS437" s="34"/>
      <c r="AT437" s="34"/>
      <c r="AU437" s="47"/>
      <c r="AV437" s="48"/>
    </row>
    <row r="438" spans="20:48" x14ac:dyDescent="0.3">
      <c r="T438" s="33"/>
      <c r="U438" s="33"/>
      <c r="V438" s="33"/>
      <c r="W438" s="33"/>
      <c r="X438" s="33"/>
      <c r="Y438" s="33"/>
      <c r="Z438" s="33"/>
      <c r="AA438" s="33"/>
      <c r="AB438" s="33"/>
      <c r="AC438" s="33"/>
      <c r="AD438" s="33"/>
      <c r="AE438" s="33"/>
      <c r="AF438" s="33"/>
      <c r="AG438" s="46"/>
      <c r="AH438" s="46"/>
      <c r="AI438" s="46"/>
      <c r="AJ438" s="46"/>
      <c r="AK438" s="46"/>
      <c r="AL438" s="46"/>
      <c r="AM438" s="46"/>
      <c r="AN438" s="46"/>
      <c r="AO438" s="46"/>
      <c r="AP438" s="46"/>
      <c r="AQ438" s="46"/>
      <c r="AR438" s="34"/>
      <c r="AS438" s="34"/>
      <c r="AT438" s="34"/>
      <c r="AU438" s="47"/>
      <c r="AV438" s="48"/>
    </row>
    <row r="439" spans="20:48" x14ac:dyDescent="0.3">
      <c r="T439" s="33"/>
      <c r="U439" s="33"/>
      <c r="V439" s="33"/>
      <c r="W439" s="33"/>
      <c r="X439" s="33"/>
      <c r="Y439" s="33"/>
      <c r="Z439" s="33"/>
      <c r="AA439" s="33"/>
      <c r="AB439" s="33"/>
      <c r="AC439" s="33"/>
      <c r="AD439" s="33"/>
      <c r="AE439" s="33"/>
      <c r="AF439" s="33"/>
      <c r="AG439" s="46"/>
      <c r="AH439" s="46"/>
      <c r="AI439" s="46"/>
      <c r="AJ439" s="46"/>
      <c r="AK439" s="46"/>
      <c r="AL439" s="46"/>
      <c r="AM439" s="46"/>
      <c r="AN439" s="46"/>
      <c r="AO439" s="46"/>
      <c r="AP439" s="46"/>
      <c r="AQ439" s="46"/>
      <c r="AR439" s="34"/>
      <c r="AS439" s="34"/>
      <c r="AT439" s="34"/>
      <c r="AU439" s="47"/>
      <c r="AV439" s="48"/>
    </row>
    <row r="440" spans="20:48" x14ac:dyDescent="0.3">
      <c r="T440" s="33"/>
      <c r="U440" s="33"/>
      <c r="V440" s="33"/>
      <c r="W440" s="33"/>
      <c r="X440" s="33"/>
      <c r="Y440" s="33"/>
      <c r="Z440" s="33"/>
      <c r="AA440" s="33"/>
      <c r="AB440" s="33"/>
      <c r="AC440" s="33"/>
      <c r="AD440" s="33"/>
      <c r="AE440" s="33"/>
      <c r="AF440" s="33"/>
      <c r="AG440" s="46"/>
      <c r="AH440" s="46"/>
      <c r="AI440" s="46"/>
      <c r="AJ440" s="46"/>
      <c r="AK440" s="46"/>
      <c r="AL440" s="46"/>
      <c r="AM440" s="46"/>
      <c r="AN440" s="46"/>
      <c r="AO440" s="46"/>
      <c r="AP440" s="46"/>
      <c r="AQ440" s="46"/>
      <c r="AR440" s="34"/>
      <c r="AS440" s="34"/>
      <c r="AT440" s="34"/>
      <c r="AU440" s="47"/>
      <c r="AV440" s="48"/>
    </row>
    <row r="441" spans="20:48" x14ac:dyDescent="0.3">
      <c r="T441" s="33"/>
      <c r="U441" s="33"/>
      <c r="V441" s="33"/>
      <c r="W441" s="33"/>
      <c r="X441" s="33"/>
      <c r="Y441" s="33"/>
      <c r="Z441" s="33"/>
      <c r="AA441" s="33"/>
      <c r="AB441" s="33"/>
      <c r="AC441" s="33"/>
      <c r="AD441" s="33"/>
      <c r="AE441" s="33"/>
      <c r="AF441" s="33"/>
      <c r="AG441" s="46"/>
      <c r="AH441" s="46"/>
      <c r="AI441" s="46"/>
      <c r="AJ441" s="46"/>
      <c r="AK441" s="46"/>
      <c r="AL441" s="46"/>
      <c r="AM441" s="46"/>
      <c r="AN441" s="46"/>
      <c r="AO441" s="46"/>
      <c r="AP441" s="46"/>
      <c r="AQ441" s="46"/>
      <c r="AR441" s="34"/>
      <c r="AS441" s="34"/>
      <c r="AT441" s="34"/>
      <c r="AU441" s="47"/>
      <c r="AV441" s="48"/>
    </row>
    <row r="442" spans="20:48" x14ac:dyDescent="0.3">
      <c r="T442" s="33"/>
      <c r="U442" s="33"/>
      <c r="V442" s="33"/>
      <c r="W442" s="33"/>
      <c r="X442" s="33"/>
      <c r="Y442" s="33"/>
      <c r="Z442" s="33"/>
      <c r="AA442" s="33"/>
      <c r="AB442" s="33"/>
      <c r="AC442" s="33"/>
      <c r="AD442" s="33"/>
      <c r="AE442" s="33"/>
      <c r="AF442" s="33"/>
      <c r="AG442" s="46"/>
      <c r="AH442" s="46"/>
      <c r="AI442" s="46"/>
      <c r="AJ442" s="46"/>
      <c r="AK442" s="46"/>
      <c r="AL442" s="46"/>
      <c r="AM442" s="46"/>
      <c r="AN442" s="46"/>
      <c r="AO442" s="46"/>
      <c r="AP442" s="46"/>
      <c r="AQ442" s="46"/>
      <c r="AR442" s="34"/>
      <c r="AS442" s="34"/>
      <c r="AT442" s="34"/>
      <c r="AU442" s="47"/>
      <c r="AV442" s="48"/>
    </row>
    <row r="443" spans="20:48" x14ac:dyDescent="0.3">
      <c r="T443" s="33"/>
      <c r="U443" s="33"/>
      <c r="V443" s="33"/>
      <c r="W443" s="33"/>
      <c r="X443" s="33"/>
      <c r="Y443" s="33"/>
      <c r="Z443" s="33"/>
      <c r="AA443" s="33"/>
      <c r="AB443" s="33"/>
      <c r="AC443" s="33"/>
      <c r="AD443" s="33"/>
      <c r="AE443" s="33"/>
      <c r="AF443" s="33"/>
      <c r="AG443" s="46"/>
      <c r="AH443" s="46"/>
      <c r="AI443" s="46"/>
      <c r="AJ443" s="46"/>
      <c r="AK443" s="46"/>
      <c r="AL443" s="46"/>
      <c r="AM443" s="46"/>
      <c r="AN443" s="46"/>
      <c r="AO443" s="46"/>
      <c r="AP443" s="46"/>
      <c r="AQ443" s="46"/>
      <c r="AR443" s="34"/>
      <c r="AS443" s="34"/>
      <c r="AT443" s="34"/>
      <c r="AU443" s="47"/>
      <c r="AV443" s="48"/>
    </row>
    <row r="444" spans="20:48" x14ac:dyDescent="0.3">
      <c r="T444" s="33"/>
      <c r="U444" s="33"/>
      <c r="V444" s="33"/>
      <c r="W444" s="33"/>
      <c r="X444" s="33"/>
      <c r="Y444" s="33"/>
      <c r="Z444" s="33"/>
      <c r="AA444" s="33"/>
      <c r="AB444" s="33"/>
      <c r="AC444" s="33"/>
      <c r="AD444" s="33"/>
      <c r="AE444" s="33"/>
      <c r="AF444" s="33"/>
      <c r="AG444" s="46"/>
      <c r="AH444" s="46"/>
      <c r="AI444" s="46"/>
      <c r="AJ444" s="46"/>
      <c r="AK444" s="46"/>
      <c r="AL444" s="46"/>
      <c r="AM444" s="46"/>
      <c r="AN444" s="46"/>
      <c r="AO444" s="46"/>
      <c r="AP444" s="46"/>
      <c r="AQ444" s="46"/>
      <c r="AR444" s="34"/>
      <c r="AS444" s="34"/>
      <c r="AT444" s="34"/>
      <c r="AU444" s="47"/>
      <c r="AV444" s="48"/>
    </row>
    <row r="445" spans="20:48" x14ac:dyDescent="0.3">
      <c r="T445" s="33"/>
      <c r="U445" s="33"/>
      <c r="V445" s="33"/>
      <c r="W445" s="33"/>
      <c r="X445" s="33"/>
      <c r="Y445" s="33"/>
      <c r="Z445" s="33"/>
      <c r="AA445" s="33"/>
      <c r="AB445" s="33"/>
      <c r="AC445" s="33"/>
      <c r="AD445" s="33"/>
      <c r="AE445" s="33"/>
      <c r="AF445" s="33"/>
      <c r="AG445" s="46"/>
      <c r="AH445" s="46"/>
      <c r="AI445" s="46"/>
      <c r="AJ445" s="46"/>
      <c r="AK445" s="46"/>
      <c r="AL445" s="46"/>
      <c r="AM445" s="46"/>
      <c r="AN445" s="46"/>
      <c r="AO445" s="46"/>
      <c r="AP445" s="46"/>
      <c r="AQ445" s="46"/>
      <c r="AR445" s="34"/>
      <c r="AS445" s="34"/>
      <c r="AT445" s="34"/>
      <c r="AU445" s="47"/>
      <c r="AV445" s="48"/>
    </row>
    <row r="446" spans="20:48" x14ac:dyDescent="0.3">
      <c r="T446" s="33"/>
      <c r="U446" s="33"/>
      <c r="V446" s="33"/>
      <c r="W446" s="33"/>
      <c r="X446" s="33"/>
      <c r="Y446" s="33"/>
      <c r="Z446" s="33"/>
      <c r="AA446" s="33"/>
      <c r="AB446" s="33"/>
      <c r="AC446" s="33"/>
      <c r="AD446" s="33"/>
      <c r="AE446" s="33"/>
      <c r="AF446" s="33"/>
      <c r="AG446" s="46"/>
      <c r="AH446" s="46"/>
      <c r="AI446" s="46"/>
      <c r="AJ446" s="46"/>
      <c r="AK446" s="46"/>
      <c r="AL446" s="46"/>
      <c r="AM446" s="46"/>
      <c r="AN446" s="46"/>
      <c r="AO446" s="46"/>
      <c r="AP446" s="46"/>
      <c r="AQ446" s="46"/>
      <c r="AR446" s="34"/>
      <c r="AS446" s="34"/>
      <c r="AT446" s="34"/>
      <c r="AU446" s="47"/>
      <c r="AV446" s="48"/>
    </row>
    <row r="447" spans="20:48" x14ac:dyDescent="0.3">
      <c r="T447" s="33"/>
      <c r="U447" s="33"/>
      <c r="V447" s="33"/>
      <c r="W447" s="33"/>
      <c r="X447" s="33"/>
      <c r="Y447" s="33"/>
      <c r="Z447" s="33"/>
      <c r="AA447" s="33"/>
      <c r="AB447" s="33"/>
      <c r="AC447" s="33"/>
      <c r="AD447" s="33"/>
      <c r="AE447" s="33"/>
      <c r="AF447" s="33"/>
      <c r="AG447" s="46"/>
      <c r="AH447" s="46"/>
      <c r="AI447" s="46"/>
      <c r="AJ447" s="46"/>
      <c r="AK447" s="46"/>
      <c r="AL447" s="46"/>
      <c r="AM447" s="46"/>
      <c r="AN447" s="46"/>
      <c r="AO447" s="46"/>
      <c r="AP447" s="46"/>
      <c r="AQ447" s="46"/>
      <c r="AR447" s="34"/>
      <c r="AS447" s="34"/>
      <c r="AT447" s="34"/>
      <c r="AU447" s="47"/>
      <c r="AV447" s="48"/>
    </row>
    <row r="448" spans="20:48" x14ac:dyDescent="0.3">
      <c r="T448" s="33"/>
      <c r="U448" s="33"/>
      <c r="V448" s="33"/>
      <c r="W448" s="33"/>
      <c r="X448" s="33"/>
      <c r="Y448" s="33"/>
      <c r="Z448" s="33"/>
      <c r="AA448" s="33"/>
      <c r="AB448" s="33"/>
      <c r="AC448" s="33"/>
      <c r="AD448" s="33"/>
      <c r="AE448" s="33"/>
      <c r="AF448" s="33"/>
      <c r="AG448" s="46"/>
      <c r="AH448" s="46"/>
      <c r="AI448" s="46"/>
      <c r="AJ448" s="46"/>
      <c r="AK448" s="46"/>
      <c r="AL448" s="46"/>
      <c r="AM448" s="46"/>
      <c r="AN448" s="46"/>
      <c r="AO448" s="46"/>
      <c r="AP448" s="46"/>
      <c r="AQ448" s="46"/>
      <c r="AR448" s="34"/>
      <c r="AS448" s="34"/>
      <c r="AT448" s="34"/>
      <c r="AU448" s="47"/>
      <c r="AV448" s="48"/>
    </row>
    <row r="449" spans="20:48" x14ac:dyDescent="0.3">
      <c r="T449" s="33"/>
      <c r="U449" s="33"/>
      <c r="V449" s="33"/>
      <c r="W449" s="33"/>
      <c r="X449" s="33"/>
      <c r="Y449" s="33"/>
      <c r="Z449" s="33"/>
      <c r="AA449" s="33"/>
      <c r="AB449" s="33"/>
      <c r="AC449" s="33"/>
      <c r="AD449" s="33"/>
      <c r="AE449" s="33"/>
      <c r="AF449" s="33"/>
      <c r="AG449" s="46"/>
      <c r="AH449" s="46"/>
      <c r="AI449" s="46"/>
      <c r="AJ449" s="46"/>
      <c r="AK449" s="46"/>
      <c r="AL449" s="46"/>
      <c r="AM449" s="46"/>
      <c r="AN449" s="46"/>
      <c r="AO449" s="46"/>
      <c r="AP449" s="46"/>
      <c r="AQ449" s="46"/>
      <c r="AR449" s="34"/>
      <c r="AS449" s="34"/>
      <c r="AT449" s="34"/>
      <c r="AU449" s="47"/>
      <c r="AV449" s="48"/>
    </row>
    <row r="450" spans="20:48" x14ac:dyDescent="0.3">
      <c r="T450" s="33"/>
      <c r="U450" s="33"/>
      <c r="V450" s="33"/>
      <c r="W450" s="33"/>
      <c r="X450" s="33"/>
      <c r="Y450" s="33"/>
      <c r="Z450" s="33"/>
      <c r="AA450" s="33"/>
      <c r="AB450" s="33"/>
      <c r="AC450" s="33"/>
      <c r="AD450" s="33"/>
      <c r="AE450" s="33"/>
      <c r="AF450" s="33"/>
      <c r="AG450" s="46"/>
      <c r="AH450" s="46"/>
      <c r="AI450" s="46"/>
      <c r="AJ450" s="46"/>
      <c r="AK450" s="46"/>
      <c r="AL450" s="46"/>
      <c r="AM450" s="46"/>
      <c r="AN450" s="46"/>
      <c r="AO450" s="46"/>
      <c r="AP450" s="46"/>
      <c r="AQ450" s="46"/>
      <c r="AR450" s="34"/>
      <c r="AS450" s="34"/>
      <c r="AT450" s="34"/>
      <c r="AU450" s="47"/>
      <c r="AV450" s="48"/>
    </row>
    <row r="451" spans="20:48" x14ac:dyDescent="0.3">
      <c r="T451" s="33"/>
      <c r="U451" s="33"/>
      <c r="V451" s="33"/>
      <c r="W451" s="33"/>
      <c r="X451" s="33"/>
      <c r="Y451" s="33"/>
      <c r="Z451" s="33"/>
      <c r="AA451" s="33"/>
      <c r="AB451" s="33"/>
      <c r="AC451" s="33"/>
      <c r="AD451" s="33"/>
      <c r="AE451" s="33"/>
      <c r="AF451" s="33"/>
      <c r="AG451" s="46"/>
      <c r="AH451" s="46"/>
      <c r="AI451" s="46"/>
      <c r="AJ451" s="46"/>
      <c r="AK451" s="46"/>
      <c r="AL451" s="46"/>
      <c r="AM451" s="46"/>
      <c r="AN451" s="46"/>
      <c r="AO451" s="46"/>
      <c r="AP451" s="46"/>
      <c r="AQ451" s="46"/>
      <c r="AR451" s="34"/>
      <c r="AS451" s="34"/>
      <c r="AT451" s="34"/>
      <c r="AU451" s="47"/>
      <c r="AV451" s="48"/>
    </row>
    <row r="452" spans="20:48" x14ac:dyDescent="0.3">
      <c r="T452" s="33"/>
      <c r="U452" s="33"/>
      <c r="V452" s="33"/>
      <c r="W452" s="33"/>
      <c r="X452" s="33"/>
      <c r="Y452" s="33"/>
      <c r="Z452" s="33"/>
      <c r="AA452" s="33"/>
      <c r="AB452" s="33"/>
      <c r="AC452" s="33"/>
      <c r="AD452" s="33"/>
      <c r="AE452" s="33"/>
      <c r="AF452" s="33"/>
      <c r="AG452" s="46"/>
      <c r="AH452" s="46"/>
      <c r="AI452" s="46"/>
      <c r="AJ452" s="46"/>
      <c r="AK452" s="46"/>
      <c r="AL452" s="46"/>
      <c r="AM452" s="46"/>
      <c r="AN452" s="46"/>
      <c r="AO452" s="46"/>
      <c r="AP452" s="46"/>
      <c r="AQ452" s="46"/>
      <c r="AR452" s="34"/>
      <c r="AS452" s="34"/>
      <c r="AT452" s="34"/>
      <c r="AU452" s="47"/>
      <c r="AV452" s="48"/>
    </row>
    <row r="453" spans="20:48" x14ac:dyDescent="0.3">
      <c r="T453" s="33"/>
      <c r="U453" s="33"/>
      <c r="V453" s="33"/>
      <c r="W453" s="33"/>
      <c r="X453" s="33"/>
      <c r="Y453" s="33"/>
      <c r="Z453" s="33"/>
      <c r="AA453" s="33"/>
      <c r="AB453" s="33"/>
      <c r="AC453" s="33"/>
      <c r="AD453" s="33"/>
      <c r="AE453" s="33"/>
      <c r="AF453" s="33"/>
      <c r="AG453" s="46"/>
      <c r="AH453" s="46"/>
      <c r="AI453" s="46"/>
      <c r="AJ453" s="46"/>
      <c r="AK453" s="46"/>
      <c r="AL453" s="46"/>
      <c r="AM453" s="46"/>
      <c r="AN453" s="46"/>
      <c r="AO453" s="46"/>
      <c r="AP453" s="46"/>
      <c r="AQ453" s="46"/>
      <c r="AR453" s="34"/>
      <c r="AS453" s="34"/>
      <c r="AT453" s="34"/>
      <c r="AU453" s="47"/>
      <c r="AV453" s="48"/>
    </row>
    <row r="454" spans="20:48" x14ac:dyDescent="0.3">
      <c r="T454" s="33"/>
      <c r="U454" s="33"/>
      <c r="V454" s="33"/>
      <c r="W454" s="33"/>
      <c r="X454" s="33"/>
      <c r="Y454" s="33"/>
      <c r="Z454" s="33"/>
      <c r="AA454" s="33"/>
      <c r="AB454" s="33"/>
      <c r="AC454" s="33"/>
      <c r="AD454" s="33"/>
      <c r="AE454" s="33"/>
      <c r="AF454" s="33"/>
      <c r="AG454" s="46"/>
      <c r="AH454" s="46"/>
      <c r="AI454" s="46"/>
      <c r="AJ454" s="46"/>
      <c r="AK454" s="46"/>
      <c r="AL454" s="46"/>
      <c r="AM454" s="46"/>
      <c r="AN454" s="46"/>
      <c r="AO454" s="46"/>
      <c r="AP454" s="46"/>
      <c r="AQ454" s="46"/>
      <c r="AR454" s="34"/>
      <c r="AS454" s="34"/>
      <c r="AT454" s="34"/>
      <c r="AU454" s="47"/>
      <c r="AV454" s="48"/>
    </row>
    <row r="455" spans="20:48" x14ac:dyDescent="0.3">
      <c r="T455" s="33"/>
      <c r="U455" s="33"/>
      <c r="V455" s="33"/>
      <c r="W455" s="33"/>
      <c r="X455" s="33"/>
      <c r="Y455" s="33"/>
      <c r="Z455" s="33"/>
      <c r="AA455" s="33"/>
      <c r="AB455" s="33"/>
      <c r="AC455" s="33"/>
      <c r="AD455" s="33"/>
      <c r="AE455" s="33"/>
      <c r="AF455" s="33"/>
      <c r="AG455" s="46"/>
      <c r="AH455" s="46"/>
      <c r="AI455" s="46"/>
      <c r="AJ455" s="46"/>
      <c r="AK455" s="46"/>
      <c r="AL455" s="46"/>
      <c r="AM455" s="46"/>
      <c r="AN455" s="46"/>
      <c r="AO455" s="46"/>
      <c r="AP455" s="46"/>
      <c r="AQ455" s="46"/>
      <c r="AR455" s="34"/>
      <c r="AS455" s="34"/>
      <c r="AT455" s="34"/>
      <c r="AU455" s="47"/>
      <c r="AV455" s="48"/>
    </row>
    <row r="456" spans="20:48" x14ac:dyDescent="0.3">
      <c r="T456" s="33"/>
      <c r="U456" s="33"/>
      <c r="V456" s="33"/>
      <c r="W456" s="33"/>
      <c r="X456" s="33"/>
      <c r="Y456" s="33"/>
      <c r="Z456" s="33"/>
      <c r="AA456" s="33"/>
      <c r="AB456" s="33"/>
      <c r="AC456" s="33"/>
      <c r="AD456" s="33"/>
      <c r="AE456" s="33"/>
      <c r="AF456" s="33"/>
      <c r="AG456" s="46"/>
      <c r="AH456" s="46"/>
      <c r="AI456" s="46"/>
      <c r="AJ456" s="46"/>
      <c r="AK456" s="46"/>
      <c r="AL456" s="46"/>
      <c r="AM456" s="46"/>
      <c r="AN456" s="46"/>
      <c r="AO456" s="46"/>
      <c r="AP456" s="46"/>
      <c r="AQ456" s="46"/>
      <c r="AR456" s="34"/>
      <c r="AS456" s="34"/>
      <c r="AT456" s="34"/>
      <c r="AU456" s="47"/>
      <c r="AV456" s="48"/>
    </row>
    <row r="457" spans="20:48" x14ac:dyDescent="0.3">
      <c r="T457" s="33"/>
      <c r="U457" s="33"/>
      <c r="V457" s="33"/>
      <c r="W457" s="33"/>
      <c r="X457" s="33"/>
      <c r="Y457" s="33"/>
      <c r="Z457" s="33"/>
      <c r="AA457" s="33"/>
      <c r="AB457" s="33"/>
      <c r="AC457" s="33"/>
      <c r="AD457" s="33"/>
      <c r="AE457" s="33"/>
      <c r="AF457" s="33"/>
      <c r="AG457" s="46"/>
      <c r="AH457" s="46"/>
      <c r="AI457" s="46"/>
      <c r="AJ457" s="46"/>
      <c r="AK457" s="46"/>
      <c r="AL457" s="46"/>
      <c r="AM457" s="46"/>
      <c r="AN457" s="46"/>
      <c r="AO457" s="46"/>
      <c r="AP457" s="46"/>
      <c r="AQ457" s="46"/>
      <c r="AR457" s="34"/>
      <c r="AS457" s="34"/>
      <c r="AT457" s="34"/>
      <c r="AU457" s="47"/>
      <c r="AV457" s="48"/>
    </row>
    <row r="458" spans="20:48" x14ac:dyDescent="0.3">
      <c r="T458" s="33"/>
      <c r="U458" s="33"/>
      <c r="V458" s="33"/>
      <c r="W458" s="33"/>
      <c r="X458" s="33"/>
      <c r="Y458" s="33"/>
      <c r="Z458" s="33"/>
      <c r="AA458" s="33"/>
      <c r="AB458" s="33"/>
      <c r="AC458" s="33"/>
      <c r="AD458" s="33"/>
      <c r="AE458" s="33"/>
      <c r="AF458" s="33"/>
      <c r="AG458" s="46"/>
      <c r="AH458" s="46"/>
      <c r="AI458" s="46"/>
      <c r="AJ458" s="46"/>
      <c r="AK458" s="46"/>
      <c r="AL458" s="46"/>
      <c r="AM458" s="46"/>
      <c r="AN458" s="46"/>
      <c r="AO458" s="46"/>
      <c r="AP458" s="46"/>
      <c r="AQ458" s="46"/>
      <c r="AR458" s="34"/>
      <c r="AS458" s="34"/>
      <c r="AT458" s="34"/>
      <c r="AU458" s="47"/>
      <c r="AV458" s="48"/>
    </row>
    <row r="459" spans="20:48" x14ac:dyDescent="0.3">
      <c r="T459" s="33"/>
      <c r="U459" s="33"/>
      <c r="V459" s="33"/>
      <c r="W459" s="33"/>
      <c r="X459" s="33"/>
      <c r="Y459" s="33"/>
      <c r="Z459" s="33"/>
      <c r="AA459" s="33"/>
      <c r="AB459" s="33"/>
      <c r="AC459" s="33"/>
      <c r="AD459" s="33"/>
      <c r="AE459" s="33"/>
      <c r="AF459" s="33"/>
      <c r="AG459" s="46"/>
      <c r="AH459" s="46"/>
      <c r="AI459" s="46"/>
      <c r="AJ459" s="46"/>
      <c r="AK459" s="46"/>
      <c r="AL459" s="46"/>
      <c r="AM459" s="46"/>
      <c r="AN459" s="46"/>
      <c r="AO459" s="46"/>
      <c r="AP459" s="46"/>
      <c r="AQ459" s="46"/>
      <c r="AR459" s="34"/>
      <c r="AS459" s="34"/>
      <c r="AT459" s="34"/>
      <c r="AU459" s="47"/>
      <c r="AV459" s="48"/>
    </row>
    <row r="460" spans="20:48" x14ac:dyDescent="0.3">
      <c r="T460" s="33"/>
      <c r="U460" s="33"/>
      <c r="V460" s="33"/>
      <c r="W460" s="33"/>
      <c r="X460" s="33"/>
      <c r="Y460" s="33"/>
      <c r="Z460" s="33"/>
      <c r="AA460" s="33"/>
      <c r="AB460" s="33"/>
      <c r="AC460" s="33"/>
      <c r="AD460" s="33"/>
      <c r="AE460" s="33"/>
      <c r="AF460" s="33"/>
      <c r="AG460" s="46"/>
      <c r="AH460" s="46"/>
      <c r="AI460" s="46"/>
      <c r="AJ460" s="46"/>
      <c r="AK460" s="46"/>
      <c r="AL460" s="46"/>
      <c r="AM460" s="46"/>
      <c r="AN460" s="46"/>
      <c r="AO460" s="46"/>
      <c r="AP460" s="46"/>
      <c r="AQ460" s="46"/>
      <c r="AR460" s="34"/>
      <c r="AS460" s="34"/>
      <c r="AT460" s="34"/>
      <c r="AU460" s="47"/>
      <c r="AV460" s="48"/>
    </row>
    <row r="461" spans="20:48" x14ac:dyDescent="0.3">
      <c r="T461" s="33"/>
      <c r="U461" s="33"/>
      <c r="V461" s="33"/>
      <c r="W461" s="33"/>
      <c r="X461" s="33"/>
      <c r="Y461" s="33"/>
      <c r="Z461" s="33"/>
      <c r="AA461" s="33"/>
      <c r="AB461" s="33"/>
      <c r="AC461" s="33"/>
      <c r="AD461" s="33"/>
      <c r="AE461" s="33"/>
      <c r="AF461" s="33"/>
      <c r="AG461" s="46"/>
      <c r="AH461" s="46"/>
      <c r="AI461" s="46"/>
      <c r="AJ461" s="46"/>
      <c r="AK461" s="46"/>
      <c r="AL461" s="46"/>
      <c r="AM461" s="46"/>
      <c r="AN461" s="46"/>
      <c r="AO461" s="46"/>
      <c r="AP461" s="46"/>
      <c r="AQ461" s="46"/>
      <c r="AR461" s="34"/>
      <c r="AS461" s="34"/>
      <c r="AT461" s="34"/>
      <c r="AU461" s="47"/>
      <c r="AV461" s="48"/>
    </row>
    <row r="462" spans="20:48" x14ac:dyDescent="0.3">
      <c r="T462" s="33"/>
      <c r="U462" s="33"/>
      <c r="V462" s="33"/>
      <c r="W462" s="33"/>
      <c r="X462" s="33"/>
      <c r="Y462" s="33"/>
      <c r="Z462" s="33"/>
      <c r="AA462" s="33"/>
      <c r="AB462" s="33"/>
      <c r="AC462" s="33"/>
      <c r="AD462" s="33"/>
      <c r="AE462" s="33"/>
      <c r="AF462" s="33"/>
      <c r="AG462" s="46"/>
      <c r="AH462" s="46"/>
      <c r="AI462" s="46"/>
      <c r="AJ462" s="46"/>
      <c r="AK462" s="46"/>
      <c r="AL462" s="46"/>
      <c r="AM462" s="46"/>
      <c r="AN462" s="46"/>
      <c r="AO462" s="46"/>
      <c r="AP462" s="46"/>
      <c r="AQ462" s="46"/>
      <c r="AR462" s="34"/>
      <c r="AS462" s="34"/>
      <c r="AT462" s="34"/>
      <c r="AU462" s="47"/>
      <c r="AV462" s="48"/>
    </row>
    <row r="463" spans="20:48" x14ac:dyDescent="0.3">
      <c r="T463" s="33"/>
      <c r="U463" s="33"/>
      <c r="V463" s="33"/>
      <c r="W463" s="33"/>
      <c r="X463" s="33"/>
      <c r="Y463" s="33"/>
      <c r="Z463" s="33"/>
      <c r="AA463" s="33"/>
      <c r="AB463" s="33"/>
      <c r="AC463" s="33"/>
      <c r="AD463" s="33"/>
      <c r="AE463" s="33"/>
      <c r="AF463" s="33"/>
      <c r="AG463" s="46"/>
      <c r="AH463" s="46"/>
      <c r="AI463" s="46"/>
      <c r="AJ463" s="46"/>
      <c r="AK463" s="46"/>
      <c r="AL463" s="46"/>
      <c r="AM463" s="46"/>
      <c r="AN463" s="46"/>
      <c r="AO463" s="46"/>
      <c r="AP463" s="46"/>
      <c r="AQ463" s="46"/>
      <c r="AR463" s="34"/>
      <c r="AS463" s="34"/>
      <c r="AT463" s="34"/>
      <c r="AU463" s="47"/>
      <c r="AV463" s="48"/>
    </row>
    <row r="464" spans="20:48" x14ac:dyDescent="0.3">
      <c r="T464" s="33"/>
      <c r="U464" s="33"/>
      <c r="V464" s="33"/>
      <c r="W464" s="33"/>
      <c r="X464" s="33"/>
      <c r="Y464" s="33"/>
      <c r="Z464" s="33"/>
      <c r="AA464" s="33"/>
      <c r="AB464" s="33"/>
      <c r="AC464" s="33"/>
      <c r="AD464" s="33"/>
      <c r="AE464" s="33"/>
      <c r="AF464" s="33"/>
      <c r="AG464" s="46"/>
      <c r="AH464" s="46"/>
      <c r="AI464" s="46"/>
      <c r="AJ464" s="46"/>
      <c r="AK464" s="46"/>
      <c r="AL464" s="46"/>
      <c r="AM464" s="46"/>
      <c r="AN464" s="46"/>
      <c r="AO464" s="46"/>
      <c r="AP464" s="46"/>
      <c r="AQ464" s="46"/>
      <c r="AR464" s="34"/>
      <c r="AS464" s="34"/>
      <c r="AT464" s="34"/>
      <c r="AU464" s="47"/>
      <c r="AV464" s="48"/>
    </row>
    <row r="465" spans="20:48" x14ac:dyDescent="0.3">
      <c r="T465" s="33"/>
      <c r="U465" s="33"/>
      <c r="V465" s="33"/>
      <c r="W465" s="33"/>
      <c r="X465" s="33"/>
      <c r="Y465" s="33"/>
      <c r="Z465" s="33"/>
      <c r="AA465" s="33"/>
      <c r="AB465" s="33"/>
      <c r="AC465" s="33"/>
      <c r="AD465" s="33"/>
      <c r="AE465" s="33"/>
      <c r="AF465" s="33"/>
      <c r="AG465" s="46"/>
      <c r="AH465" s="46"/>
      <c r="AI465" s="46"/>
      <c r="AJ465" s="46"/>
      <c r="AK465" s="46"/>
      <c r="AL465" s="46"/>
      <c r="AM465" s="46"/>
      <c r="AN465" s="46"/>
      <c r="AO465" s="46"/>
      <c r="AP465" s="46"/>
      <c r="AQ465" s="46"/>
      <c r="AR465" s="34"/>
      <c r="AS465" s="34"/>
      <c r="AT465" s="34"/>
      <c r="AU465" s="47"/>
      <c r="AV465" s="48"/>
    </row>
    <row r="466" spans="20:48" x14ac:dyDescent="0.3">
      <c r="T466" s="33"/>
      <c r="U466" s="33"/>
      <c r="V466" s="33"/>
      <c r="W466" s="33"/>
      <c r="X466" s="33"/>
      <c r="Y466" s="33"/>
      <c r="Z466" s="33"/>
      <c r="AA466" s="33"/>
      <c r="AB466" s="33"/>
      <c r="AC466" s="33"/>
      <c r="AD466" s="33"/>
      <c r="AE466" s="33"/>
      <c r="AF466" s="33"/>
      <c r="AG466" s="46"/>
      <c r="AH466" s="46"/>
      <c r="AI466" s="46"/>
      <c r="AJ466" s="46"/>
      <c r="AK466" s="46"/>
      <c r="AL466" s="46"/>
      <c r="AM466" s="46"/>
      <c r="AN466" s="46"/>
      <c r="AO466" s="46"/>
      <c r="AP466" s="46"/>
      <c r="AQ466" s="46"/>
      <c r="AR466" s="34"/>
      <c r="AS466" s="34"/>
      <c r="AT466" s="34"/>
      <c r="AU466" s="47"/>
      <c r="AV466" s="48"/>
    </row>
    <row r="467" spans="20:48" x14ac:dyDescent="0.3">
      <c r="T467" s="33"/>
      <c r="U467" s="33"/>
      <c r="V467" s="33"/>
      <c r="W467" s="33"/>
      <c r="X467" s="33"/>
      <c r="Y467" s="33"/>
      <c r="Z467" s="33"/>
      <c r="AA467" s="33"/>
      <c r="AB467" s="33"/>
      <c r="AC467" s="33"/>
      <c r="AD467" s="33"/>
      <c r="AE467" s="33"/>
      <c r="AF467" s="33"/>
      <c r="AG467" s="46"/>
      <c r="AH467" s="46"/>
      <c r="AI467" s="46"/>
      <c r="AJ467" s="46"/>
      <c r="AK467" s="46"/>
      <c r="AL467" s="46"/>
      <c r="AM467" s="46"/>
      <c r="AN467" s="46"/>
      <c r="AO467" s="46"/>
      <c r="AP467" s="46"/>
      <c r="AQ467" s="46"/>
      <c r="AR467" s="34"/>
      <c r="AS467" s="34"/>
      <c r="AT467" s="34"/>
      <c r="AU467" s="47"/>
      <c r="AV467" s="48"/>
    </row>
    <row r="468" spans="20:48" x14ac:dyDescent="0.3">
      <c r="T468" s="33"/>
      <c r="U468" s="33"/>
      <c r="V468" s="33"/>
      <c r="W468" s="33"/>
      <c r="X468" s="33"/>
      <c r="Y468" s="33"/>
      <c r="Z468" s="33"/>
      <c r="AA468" s="33"/>
      <c r="AB468" s="33"/>
      <c r="AC468" s="33"/>
      <c r="AD468" s="33"/>
      <c r="AE468" s="33"/>
      <c r="AF468" s="33"/>
      <c r="AG468" s="46"/>
      <c r="AH468" s="46"/>
      <c r="AI468" s="46"/>
      <c r="AJ468" s="46"/>
      <c r="AK468" s="46"/>
      <c r="AL468" s="46"/>
      <c r="AM468" s="46"/>
      <c r="AN468" s="46"/>
      <c r="AO468" s="46"/>
      <c r="AP468" s="46"/>
      <c r="AQ468" s="46"/>
      <c r="AR468" s="34"/>
      <c r="AS468" s="34"/>
      <c r="AT468" s="34"/>
      <c r="AU468" s="47"/>
      <c r="AV468" s="48"/>
    </row>
    <row r="469" spans="20:48" x14ac:dyDescent="0.3">
      <c r="T469" s="33"/>
      <c r="U469" s="33"/>
      <c r="V469" s="33"/>
      <c r="W469" s="33"/>
      <c r="X469" s="33"/>
      <c r="Y469" s="33"/>
      <c r="Z469" s="33"/>
      <c r="AA469" s="33"/>
      <c r="AB469" s="33"/>
      <c r="AC469" s="33"/>
      <c r="AD469" s="33"/>
      <c r="AE469" s="33"/>
      <c r="AF469" s="33"/>
      <c r="AG469" s="46"/>
      <c r="AH469" s="46"/>
      <c r="AI469" s="46"/>
      <c r="AJ469" s="46"/>
      <c r="AK469" s="46"/>
      <c r="AL469" s="46"/>
      <c r="AM469" s="46"/>
      <c r="AN469" s="46"/>
      <c r="AO469" s="46"/>
      <c r="AP469" s="46"/>
      <c r="AQ469" s="46"/>
      <c r="AR469" s="34"/>
      <c r="AS469" s="34"/>
      <c r="AT469" s="34"/>
      <c r="AU469" s="47"/>
      <c r="AV469" s="48"/>
    </row>
    <row r="470" spans="20:48" x14ac:dyDescent="0.3">
      <c r="T470" s="33"/>
      <c r="U470" s="33"/>
      <c r="V470" s="33"/>
      <c r="W470" s="33"/>
      <c r="X470" s="33"/>
      <c r="Y470" s="33"/>
      <c r="Z470" s="33"/>
      <c r="AA470" s="33"/>
      <c r="AB470" s="33"/>
      <c r="AC470" s="33"/>
      <c r="AD470" s="33"/>
      <c r="AE470" s="33"/>
      <c r="AF470" s="33"/>
      <c r="AG470" s="46"/>
      <c r="AH470" s="46"/>
      <c r="AI470" s="46"/>
      <c r="AJ470" s="46"/>
      <c r="AK470" s="46"/>
      <c r="AL470" s="46"/>
      <c r="AM470" s="46"/>
      <c r="AN470" s="46"/>
      <c r="AO470" s="46"/>
      <c r="AP470" s="46"/>
      <c r="AQ470" s="46"/>
      <c r="AR470" s="34"/>
      <c r="AS470" s="34"/>
      <c r="AT470" s="34"/>
      <c r="AU470" s="47"/>
      <c r="AV470" s="48"/>
    </row>
    <row r="471" spans="20:48" x14ac:dyDescent="0.3">
      <c r="T471" s="33"/>
      <c r="U471" s="33"/>
      <c r="V471" s="33"/>
      <c r="W471" s="33"/>
      <c r="X471" s="33"/>
      <c r="Y471" s="33"/>
      <c r="Z471" s="33"/>
      <c r="AA471" s="33"/>
      <c r="AB471" s="33"/>
      <c r="AC471" s="33"/>
      <c r="AD471" s="33"/>
      <c r="AE471" s="33"/>
      <c r="AF471" s="33"/>
      <c r="AG471" s="46"/>
      <c r="AH471" s="46"/>
      <c r="AI471" s="46"/>
      <c r="AJ471" s="46"/>
      <c r="AK471" s="46"/>
      <c r="AL471" s="46"/>
      <c r="AM471" s="46"/>
      <c r="AN471" s="46"/>
      <c r="AO471" s="46"/>
      <c r="AP471" s="46"/>
      <c r="AQ471" s="46"/>
      <c r="AR471" s="34"/>
      <c r="AS471" s="34"/>
      <c r="AT471" s="34"/>
      <c r="AU471" s="47"/>
      <c r="AV471" s="48"/>
    </row>
    <row r="472" spans="20:48" x14ac:dyDescent="0.3">
      <c r="T472" s="33"/>
      <c r="U472" s="33"/>
      <c r="V472" s="33"/>
      <c r="W472" s="33"/>
      <c r="X472" s="33"/>
      <c r="Y472" s="33"/>
      <c r="Z472" s="33"/>
      <c r="AA472" s="33"/>
      <c r="AB472" s="33"/>
      <c r="AC472" s="33"/>
      <c r="AD472" s="33"/>
      <c r="AE472" s="33"/>
      <c r="AF472" s="33"/>
      <c r="AG472" s="46"/>
      <c r="AH472" s="46"/>
      <c r="AI472" s="46"/>
      <c r="AJ472" s="46"/>
      <c r="AK472" s="46"/>
      <c r="AL472" s="46"/>
      <c r="AM472" s="46"/>
      <c r="AN472" s="46"/>
      <c r="AO472" s="46"/>
      <c r="AP472" s="46"/>
      <c r="AQ472" s="46"/>
      <c r="AR472" s="34"/>
      <c r="AS472" s="34"/>
      <c r="AT472" s="34"/>
      <c r="AU472" s="47"/>
      <c r="AV472" s="48"/>
    </row>
    <row r="473" spans="20:48" x14ac:dyDescent="0.3">
      <c r="T473" s="33"/>
      <c r="U473" s="33"/>
      <c r="V473" s="33"/>
      <c r="W473" s="33"/>
      <c r="X473" s="33"/>
      <c r="Y473" s="33"/>
      <c r="Z473" s="33"/>
      <c r="AA473" s="33"/>
      <c r="AB473" s="33"/>
      <c r="AC473" s="33"/>
      <c r="AD473" s="33"/>
      <c r="AE473" s="33"/>
      <c r="AF473" s="33"/>
      <c r="AG473" s="46"/>
      <c r="AH473" s="46"/>
      <c r="AI473" s="46"/>
      <c r="AJ473" s="46"/>
      <c r="AK473" s="46"/>
      <c r="AL473" s="46"/>
      <c r="AM473" s="46"/>
      <c r="AN473" s="46"/>
      <c r="AO473" s="46"/>
      <c r="AP473" s="46"/>
      <c r="AQ473" s="46"/>
      <c r="AR473" s="34"/>
      <c r="AS473" s="34"/>
      <c r="AT473" s="34"/>
      <c r="AU473" s="47"/>
      <c r="AV473" s="48"/>
    </row>
    <row r="474" spans="20:48" x14ac:dyDescent="0.3">
      <c r="T474" s="33"/>
      <c r="U474" s="33"/>
      <c r="V474" s="33"/>
      <c r="W474" s="33"/>
      <c r="X474" s="33"/>
      <c r="Y474" s="33"/>
      <c r="Z474" s="33"/>
      <c r="AA474" s="33"/>
      <c r="AB474" s="33"/>
      <c r="AC474" s="33"/>
      <c r="AD474" s="33"/>
      <c r="AE474" s="33"/>
      <c r="AF474" s="33"/>
      <c r="AG474" s="46"/>
      <c r="AH474" s="46"/>
      <c r="AI474" s="46"/>
      <c r="AJ474" s="46"/>
      <c r="AK474" s="46"/>
      <c r="AL474" s="46"/>
      <c r="AM474" s="46"/>
      <c r="AN474" s="46"/>
      <c r="AO474" s="46"/>
      <c r="AP474" s="46"/>
      <c r="AQ474" s="46"/>
      <c r="AR474" s="34"/>
      <c r="AS474" s="34"/>
      <c r="AT474" s="34"/>
      <c r="AU474" s="47"/>
      <c r="AV474" s="48"/>
    </row>
    <row r="475" spans="20:48" x14ac:dyDescent="0.3">
      <c r="T475" s="33"/>
      <c r="U475" s="33"/>
      <c r="V475" s="33"/>
      <c r="W475" s="33"/>
      <c r="X475" s="33"/>
      <c r="Y475" s="33"/>
      <c r="Z475" s="33"/>
      <c r="AA475" s="33"/>
      <c r="AB475" s="33"/>
      <c r="AC475" s="33"/>
      <c r="AD475" s="33"/>
      <c r="AE475" s="33"/>
      <c r="AF475" s="33"/>
      <c r="AG475" s="46"/>
      <c r="AH475" s="46"/>
      <c r="AI475" s="46"/>
      <c r="AJ475" s="46"/>
      <c r="AK475" s="46"/>
      <c r="AL475" s="46"/>
      <c r="AM475" s="46"/>
      <c r="AN475" s="46"/>
      <c r="AO475" s="46"/>
      <c r="AP475" s="46"/>
      <c r="AQ475" s="46"/>
      <c r="AR475" s="34"/>
      <c r="AS475" s="34"/>
      <c r="AT475" s="34"/>
      <c r="AU475" s="47"/>
      <c r="AV475" s="48"/>
    </row>
    <row r="476" spans="20:48" x14ac:dyDescent="0.3">
      <c r="T476" s="33"/>
      <c r="U476" s="33"/>
      <c r="V476" s="33"/>
      <c r="W476" s="33"/>
      <c r="X476" s="33"/>
      <c r="Y476" s="33"/>
      <c r="Z476" s="33"/>
      <c r="AA476" s="33"/>
      <c r="AB476" s="33"/>
      <c r="AC476" s="33"/>
      <c r="AD476" s="33"/>
      <c r="AE476" s="33"/>
      <c r="AF476" s="33"/>
      <c r="AG476" s="46"/>
      <c r="AH476" s="46"/>
      <c r="AI476" s="46"/>
      <c r="AJ476" s="46"/>
      <c r="AK476" s="46"/>
      <c r="AL476" s="46"/>
      <c r="AM476" s="46"/>
      <c r="AN476" s="46"/>
      <c r="AO476" s="46"/>
      <c r="AP476" s="46"/>
      <c r="AQ476" s="46"/>
      <c r="AR476" s="34"/>
      <c r="AS476" s="34"/>
      <c r="AT476" s="34"/>
      <c r="AU476" s="47"/>
      <c r="AV476" s="48"/>
    </row>
    <row r="477" spans="20:48" x14ac:dyDescent="0.3">
      <c r="T477" s="33"/>
      <c r="U477" s="33"/>
      <c r="V477" s="33"/>
      <c r="W477" s="33"/>
      <c r="X477" s="33"/>
      <c r="Y477" s="33"/>
      <c r="Z477" s="33"/>
      <c r="AA477" s="33"/>
      <c r="AB477" s="33"/>
      <c r="AC477" s="33"/>
      <c r="AD477" s="33"/>
      <c r="AE477" s="33"/>
      <c r="AF477" s="33"/>
      <c r="AG477" s="46"/>
      <c r="AH477" s="46"/>
      <c r="AI477" s="46"/>
      <c r="AJ477" s="46"/>
      <c r="AK477" s="46"/>
      <c r="AL477" s="46"/>
      <c r="AM477" s="46"/>
      <c r="AN477" s="46"/>
      <c r="AO477" s="46"/>
      <c r="AP477" s="46"/>
      <c r="AQ477" s="46"/>
      <c r="AR477" s="34"/>
      <c r="AS477" s="34"/>
      <c r="AT477" s="34"/>
      <c r="AU477" s="47"/>
      <c r="AV477" s="48"/>
    </row>
    <row r="478" spans="20:48" x14ac:dyDescent="0.3">
      <c r="T478" s="33"/>
      <c r="U478" s="33"/>
      <c r="V478" s="33"/>
      <c r="W478" s="33"/>
      <c r="X478" s="33"/>
      <c r="Y478" s="33"/>
      <c r="Z478" s="33"/>
      <c r="AA478" s="33"/>
      <c r="AB478" s="33"/>
      <c r="AC478" s="33"/>
      <c r="AD478" s="33"/>
      <c r="AE478" s="33"/>
      <c r="AF478" s="33"/>
      <c r="AG478" s="46"/>
      <c r="AH478" s="46"/>
      <c r="AI478" s="46"/>
      <c r="AJ478" s="46"/>
      <c r="AK478" s="46"/>
      <c r="AL478" s="46"/>
      <c r="AM478" s="46"/>
      <c r="AN478" s="46"/>
      <c r="AO478" s="46"/>
      <c r="AP478" s="46"/>
      <c r="AQ478" s="46"/>
      <c r="AR478" s="34"/>
      <c r="AS478" s="34"/>
      <c r="AT478" s="34"/>
      <c r="AU478" s="47"/>
      <c r="AV478" s="48"/>
    </row>
    <row r="479" spans="20:48" x14ac:dyDescent="0.3">
      <c r="T479" s="33"/>
      <c r="U479" s="33"/>
      <c r="V479" s="33"/>
      <c r="W479" s="33"/>
      <c r="X479" s="33"/>
      <c r="Y479" s="33"/>
      <c r="Z479" s="33"/>
      <c r="AA479" s="33"/>
      <c r="AB479" s="33"/>
      <c r="AC479" s="33"/>
      <c r="AD479" s="33"/>
      <c r="AE479" s="33"/>
      <c r="AF479" s="33"/>
      <c r="AG479" s="46"/>
      <c r="AH479" s="46"/>
      <c r="AI479" s="46"/>
      <c r="AJ479" s="46"/>
      <c r="AK479" s="46"/>
      <c r="AL479" s="46"/>
      <c r="AM479" s="46"/>
      <c r="AN479" s="46"/>
      <c r="AO479" s="46"/>
      <c r="AP479" s="46"/>
      <c r="AQ479" s="46"/>
      <c r="AR479" s="34"/>
      <c r="AS479" s="34"/>
      <c r="AT479" s="34"/>
      <c r="AU479" s="47"/>
      <c r="AV479" s="48"/>
    </row>
    <row r="480" spans="20:48" x14ac:dyDescent="0.3">
      <c r="T480" s="33"/>
      <c r="U480" s="33"/>
      <c r="V480" s="33"/>
      <c r="W480" s="33"/>
      <c r="X480" s="33"/>
      <c r="Y480" s="33"/>
      <c r="Z480" s="33"/>
      <c r="AA480" s="33"/>
      <c r="AB480" s="33"/>
      <c r="AC480" s="33"/>
      <c r="AD480" s="33"/>
      <c r="AE480" s="33"/>
      <c r="AF480" s="33"/>
      <c r="AG480" s="46"/>
      <c r="AH480" s="46"/>
      <c r="AI480" s="46"/>
      <c r="AJ480" s="46"/>
      <c r="AK480" s="46"/>
      <c r="AL480" s="46"/>
      <c r="AM480" s="46"/>
      <c r="AN480" s="46"/>
      <c r="AO480" s="46"/>
      <c r="AP480" s="46"/>
      <c r="AQ480" s="46"/>
      <c r="AR480" s="34"/>
      <c r="AS480" s="34"/>
      <c r="AT480" s="34"/>
      <c r="AU480" s="47"/>
      <c r="AV480" s="48"/>
    </row>
    <row r="481" spans="20:48" x14ac:dyDescent="0.3">
      <c r="T481" s="33"/>
      <c r="U481" s="33"/>
      <c r="V481" s="33"/>
      <c r="W481" s="33"/>
      <c r="X481" s="33"/>
      <c r="Y481" s="33"/>
      <c r="Z481" s="33"/>
      <c r="AA481" s="33"/>
      <c r="AB481" s="33"/>
      <c r="AC481" s="33"/>
      <c r="AD481" s="33"/>
      <c r="AE481" s="33"/>
      <c r="AF481" s="33"/>
      <c r="AG481" s="46"/>
      <c r="AH481" s="46"/>
      <c r="AI481" s="46"/>
      <c r="AJ481" s="46"/>
      <c r="AK481" s="46"/>
      <c r="AL481" s="46"/>
      <c r="AM481" s="46"/>
      <c r="AN481" s="46"/>
      <c r="AO481" s="46"/>
      <c r="AP481" s="46"/>
      <c r="AQ481" s="46"/>
      <c r="AR481" s="34"/>
      <c r="AS481" s="34"/>
      <c r="AT481" s="34"/>
      <c r="AU481" s="47"/>
      <c r="AV481" s="48"/>
    </row>
    <row r="482" spans="20:48" x14ac:dyDescent="0.3">
      <c r="T482" s="33"/>
      <c r="U482" s="33"/>
      <c r="V482" s="33"/>
      <c r="W482" s="33"/>
      <c r="X482" s="33"/>
      <c r="Y482" s="33"/>
      <c r="Z482" s="33"/>
      <c r="AA482" s="33"/>
      <c r="AB482" s="33"/>
      <c r="AC482" s="33"/>
      <c r="AD482" s="33"/>
      <c r="AE482" s="33"/>
      <c r="AF482" s="33"/>
      <c r="AG482" s="46"/>
      <c r="AH482" s="46"/>
      <c r="AI482" s="46"/>
      <c r="AJ482" s="46"/>
      <c r="AK482" s="46"/>
      <c r="AL482" s="46"/>
      <c r="AM482" s="46"/>
      <c r="AN482" s="46"/>
      <c r="AO482" s="46"/>
      <c r="AP482" s="46"/>
      <c r="AQ482" s="46"/>
      <c r="AR482" s="34"/>
      <c r="AS482" s="34"/>
      <c r="AT482" s="34"/>
      <c r="AU482" s="47"/>
      <c r="AV482" s="48"/>
    </row>
    <row r="483" spans="20:48" x14ac:dyDescent="0.3">
      <c r="T483" s="33"/>
      <c r="U483" s="33"/>
      <c r="V483" s="33"/>
      <c r="W483" s="33"/>
      <c r="X483" s="33"/>
      <c r="Y483" s="33"/>
      <c r="Z483" s="33"/>
      <c r="AA483" s="33"/>
      <c r="AB483" s="33"/>
      <c r="AC483" s="33"/>
      <c r="AD483" s="33"/>
      <c r="AE483" s="33"/>
      <c r="AF483" s="33"/>
      <c r="AG483" s="46"/>
      <c r="AH483" s="46"/>
      <c r="AI483" s="46"/>
      <c r="AJ483" s="46"/>
      <c r="AK483" s="46"/>
      <c r="AL483" s="46"/>
      <c r="AM483" s="46"/>
      <c r="AN483" s="46"/>
      <c r="AO483" s="46"/>
      <c r="AP483" s="46"/>
      <c r="AQ483" s="46"/>
      <c r="AR483" s="34"/>
      <c r="AS483" s="34"/>
      <c r="AT483" s="34"/>
      <c r="AU483" s="47"/>
      <c r="AV483" s="48"/>
    </row>
    <row r="484" spans="20:48" x14ac:dyDescent="0.3">
      <c r="T484" s="33"/>
      <c r="U484" s="33"/>
      <c r="V484" s="33"/>
      <c r="W484" s="33"/>
      <c r="X484" s="33"/>
      <c r="Y484" s="33"/>
      <c r="Z484" s="33"/>
      <c r="AA484" s="33"/>
      <c r="AB484" s="33"/>
      <c r="AC484" s="33"/>
      <c r="AD484" s="33"/>
      <c r="AE484" s="33"/>
      <c r="AF484" s="33"/>
      <c r="AG484" s="46"/>
      <c r="AH484" s="46"/>
      <c r="AI484" s="46"/>
      <c r="AJ484" s="46"/>
      <c r="AK484" s="46"/>
      <c r="AL484" s="46"/>
      <c r="AM484" s="46"/>
      <c r="AN484" s="46"/>
      <c r="AO484" s="46"/>
      <c r="AP484" s="46"/>
      <c r="AQ484" s="46"/>
      <c r="AR484" s="34"/>
      <c r="AS484" s="34"/>
      <c r="AT484" s="34"/>
      <c r="AU484" s="47"/>
      <c r="AV484" s="48"/>
    </row>
    <row r="485" spans="20:48" x14ac:dyDescent="0.3">
      <c r="T485" s="33"/>
      <c r="U485" s="33"/>
      <c r="V485" s="33"/>
      <c r="W485" s="33"/>
      <c r="X485" s="33"/>
      <c r="Y485" s="33"/>
      <c r="Z485" s="33"/>
      <c r="AA485" s="33"/>
      <c r="AB485" s="33"/>
      <c r="AC485" s="33"/>
      <c r="AD485" s="33"/>
      <c r="AE485" s="33"/>
      <c r="AF485" s="33"/>
      <c r="AG485" s="46"/>
      <c r="AH485" s="46"/>
      <c r="AI485" s="46"/>
      <c r="AJ485" s="46"/>
      <c r="AK485" s="46"/>
      <c r="AL485" s="46"/>
      <c r="AM485" s="46"/>
      <c r="AN485" s="46"/>
      <c r="AO485" s="46"/>
      <c r="AP485" s="46"/>
      <c r="AQ485" s="46"/>
      <c r="AR485" s="34"/>
      <c r="AS485" s="34"/>
      <c r="AT485" s="34"/>
      <c r="AU485" s="47"/>
      <c r="AV485" s="48"/>
    </row>
    <row r="486" spans="20:48" x14ac:dyDescent="0.3">
      <c r="T486" s="33"/>
      <c r="U486" s="33"/>
      <c r="V486" s="33"/>
      <c r="W486" s="33"/>
      <c r="X486" s="33"/>
      <c r="Y486" s="33"/>
      <c r="Z486" s="33"/>
      <c r="AA486" s="33"/>
      <c r="AB486" s="33"/>
      <c r="AC486" s="33"/>
      <c r="AD486" s="33"/>
      <c r="AE486" s="33"/>
      <c r="AF486" s="33"/>
      <c r="AG486" s="46"/>
      <c r="AH486" s="46"/>
      <c r="AI486" s="46"/>
      <c r="AJ486" s="46"/>
      <c r="AK486" s="46"/>
      <c r="AL486" s="46"/>
      <c r="AM486" s="46"/>
      <c r="AN486" s="46"/>
      <c r="AO486" s="46"/>
      <c r="AP486" s="46"/>
      <c r="AQ486" s="46"/>
      <c r="AR486" s="34"/>
      <c r="AS486" s="34"/>
      <c r="AT486" s="34"/>
      <c r="AU486" s="47"/>
      <c r="AV486" s="48"/>
    </row>
    <row r="487" spans="20:48" x14ac:dyDescent="0.3">
      <c r="T487" s="33"/>
      <c r="U487" s="33"/>
      <c r="V487" s="33"/>
      <c r="W487" s="33"/>
      <c r="X487" s="33"/>
      <c r="Y487" s="33"/>
      <c r="Z487" s="33"/>
      <c r="AA487" s="33"/>
      <c r="AB487" s="33"/>
      <c r="AC487" s="33"/>
      <c r="AD487" s="33"/>
      <c r="AE487" s="33"/>
      <c r="AF487" s="33"/>
      <c r="AG487" s="46"/>
      <c r="AH487" s="46"/>
      <c r="AI487" s="46"/>
      <c r="AJ487" s="46"/>
      <c r="AK487" s="46"/>
      <c r="AL487" s="46"/>
      <c r="AM487" s="46"/>
      <c r="AN487" s="46"/>
      <c r="AO487" s="46"/>
      <c r="AP487" s="46"/>
      <c r="AQ487" s="46"/>
      <c r="AR487" s="34"/>
      <c r="AS487" s="34"/>
      <c r="AT487" s="34"/>
      <c r="AU487" s="47"/>
      <c r="AV487" s="48"/>
    </row>
    <row r="488" spans="20:48" x14ac:dyDescent="0.3">
      <c r="T488" s="33"/>
      <c r="U488" s="33"/>
      <c r="V488" s="33"/>
      <c r="W488" s="33"/>
      <c r="X488" s="33"/>
      <c r="Y488" s="33"/>
      <c r="Z488" s="33"/>
      <c r="AA488" s="33"/>
      <c r="AB488" s="33"/>
      <c r="AC488" s="33"/>
      <c r="AD488" s="33"/>
      <c r="AE488" s="33"/>
      <c r="AF488" s="33"/>
      <c r="AG488" s="46"/>
      <c r="AH488" s="46"/>
      <c r="AI488" s="46"/>
      <c r="AJ488" s="46"/>
      <c r="AK488" s="46"/>
      <c r="AL488" s="46"/>
      <c r="AM488" s="46"/>
      <c r="AN488" s="46"/>
      <c r="AO488" s="46"/>
      <c r="AP488" s="46"/>
      <c r="AQ488" s="46"/>
      <c r="AR488" s="34"/>
      <c r="AS488" s="34"/>
      <c r="AT488" s="34"/>
      <c r="AU488" s="47"/>
      <c r="AV488" s="48"/>
    </row>
    <row r="489" spans="20:48" x14ac:dyDescent="0.3">
      <c r="T489" s="33"/>
      <c r="U489" s="33"/>
      <c r="V489" s="33"/>
      <c r="W489" s="33"/>
      <c r="X489" s="33"/>
      <c r="Y489" s="33"/>
      <c r="Z489" s="33"/>
      <c r="AA489" s="33"/>
      <c r="AB489" s="33"/>
      <c r="AC489" s="33"/>
      <c r="AD489" s="33"/>
      <c r="AE489" s="33"/>
      <c r="AF489" s="33"/>
      <c r="AG489" s="46"/>
      <c r="AH489" s="46"/>
      <c r="AI489" s="46"/>
      <c r="AJ489" s="46"/>
      <c r="AK489" s="46"/>
      <c r="AL489" s="46"/>
      <c r="AM489" s="46"/>
      <c r="AN489" s="46"/>
      <c r="AO489" s="46"/>
      <c r="AP489" s="46"/>
      <c r="AQ489" s="46"/>
      <c r="AR489" s="34"/>
      <c r="AS489" s="34"/>
      <c r="AT489" s="34"/>
      <c r="AU489" s="47"/>
      <c r="AV489" s="48"/>
    </row>
    <row r="490" spans="20:48" x14ac:dyDescent="0.3">
      <c r="T490" s="33"/>
      <c r="U490" s="33"/>
      <c r="V490" s="33"/>
      <c r="W490" s="33"/>
      <c r="X490" s="33"/>
      <c r="Y490" s="33"/>
      <c r="Z490" s="33"/>
      <c r="AA490" s="33"/>
      <c r="AB490" s="33"/>
      <c r="AC490" s="33"/>
      <c r="AD490" s="33"/>
      <c r="AE490" s="33"/>
      <c r="AF490" s="33"/>
      <c r="AG490" s="46"/>
      <c r="AH490" s="46"/>
      <c r="AI490" s="46"/>
      <c r="AJ490" s="46"/>
      <c r="AK490" s="46"/>
      <c r="AL490" s="46"/>
      <c r="AM490" s="46"/>
      <c r="AN490" s="46"/>
      <c r="AO490" s="46"/>
      <c r="AP490" s="46"/>
      <c r="AQ490" s="46"/>
      <c r="AR490" s="34"/>
      <c r="AS490" s="34"/>
      <c r="AT490" s="34"/>
      <c r="AU490" s="47"/>
      <c r="AV490" s="48"/>
    </row>
    <row r="491" spans="20:48" x14ac:dyDescent="0.3">
      <c r="T491" s="33"/>
      <c r="U491" s="33"/>
      <c r="V491" s="33"/>
      <c r="W491" s="33"/>
      <c r="X491" s="33"/>
      <c r="Y491" s="33"/>
      <c r="Z491" s="33"/>
      <c r="AA491" s="33"/>
      <c r="AB491" s="33"/>
      <c r="AC491" s="33"/>
      <c r="AD491" s="33"/>
      <c r="AE491" s="33"/>
      <c r="AF491" s="33"/>
      <c r="AG491" s="46"/>
      <c r="AH491" s="46"/>
      <c r="AI491" s="46"/>
      <c r="AJ491" s="46"/>
      <c r="AK491" s="46"/>
      <c r="AL491" s="46"/>
      <c r="AM491" s="46"/>
      <c r="AN491" s="46"/>
      <c r="AO491" s="46"/>
      <c r="AP491" s="46"/>
      <c r="AQ491" s="46"/>
      <c r="AR491" s="34"/>
      <c r="AS491" s="34"/>
      <c r="AT491" s="34"/>
      <c r="AU491" s="47"/>
      <c r="AV491" s="48"/>
    </row>
    <row r="492" spans="20:48" x14ac:dyDescent="0.3">
      <c r="T492" s="33"/>
      <c r="U492" s="33"/>
      <c r="V492" s="33"/>
      <c r="W492" s="33"/>
      <c r="X492" s="33"/>
      <c r="Y492" s="33"/>
      <c r="Z492" s="33"/>
      <c r="AA492" s="33"/>
      <c r="AB492" s="33"/>
      <c r="AC492" s="33"/>
      <c r="AD492" s="33"/>
      <c r="AE492" s="33"/>
      <c r="AF492" s="33"/>
      <c r="AG492" s="46"/>
      <c r="AH492" s="46"/>
      <c r="AI492" s="46"/>
      <c r="AJ492" s="46"/>
      <c r="AK492" s="46"/>
      <c r="AL492" s="46"/>
      <c r="AM492" s="46"/>
      <c r="AN492" s="46"/>
      <c r="AO492" s="46"/>
      <c r="AP492" s="46"/>
      <c r="AQ492" s="46"/>
      <c r="AR492" s="34"/>
      <c r="AS492" s="34"/>
      <c r="AT492" s="34"/>
      <c r="AU492" s="47"/>
      <c r="AV492" s="48"/>
    </row>
    <row r="493" spans="20:48" x14ac:dyDescent="0.3">
      <c r="T493" s="33"/>
      <c r="U493" s="33"/>
      <c r="V493" s="33"/>
      <c r="W493" s="33"/>
      <c r="X493" s="33"/>
      <c r="Y493" s="33"/>
      <c r="Z493" s="33"/>
      <c r="AA493" s="33"/>
      <c r="AB493" s="33"/>
      <c r="AC493" s="33"/>
      <c r="AD493" s="33"/>
      <c r="AE493" s="33"/>
      <c r="AF493" s="33"/>
      <c r="AG493" s="46"/>
      <c r="AH493" s="46"/>
      <c r="AI493" s="46"/>
      <c r="AJ493" s="46"/>
      <c r="AK493" s="46"/>
      <c r="AL493" s="46"/>
      <c r="AM493" s="46"/>
      <c r="AN493" s="46"/>
      <c r="AO493" s="46"/>
      <c r="AP493" s="46"/>
      <c r="AQ493" s="46"/>
      <c r="AR493" s="34"/>
      <c r="AS493" s="34"/>
      <c r="AT493" s="34"/>
      <c r="AU493" s="47"/>
      <c r="AV493" s="48"/>
    </row>
    <row r="494" spans="20:48" x14ac:dyDescent="0.3">
      <c r="T494" s="33"/>
      <c r="U494" s="33"/>
      <c r="V494" s="33"/>
      <c r="W494" s="33"/>
      <c r="X494" s="33"/>
      <c r="Y494" s="33"/>
      <c r="Z494" s="33"/>
      <c r="AA494" s="33"/>
      <c r="AB494" s="33"/>
      <c r="AC494" s="33"/>
      <c r="AD494" s="33"/>
      <c r="AE494" s="33"/>
      <c r="AF494" s="33"/>
      <c r="AG494" s="46"/>
      <c r="AH494" s="46"/>
      <c r="AI494" s="46"/>
      <c r="AJ494" s="46"/>
      <c r="AK494" s="46"/>
      <c r="AL494" s="46"/>
      <c r="AM494" s="46"/>
      <c r="AN494" s="46"/>
      <c r="AO494" s="46"/>
      <c r="AP494" s="46"/>
      <c r="AQ494" s="46"/>
      <c r="AR494" s="34"/>
      <c r="AS494" s="34"/>
      <c r="AT494" s="34"/>
      <c r="AU494" s="47"/>
      <c r="AV494" s="48"/>
    </row>
    <row r="495" spans="20:48" x14ac:dyDescent="0.3">
      <c r="T495" s="33"/>
      <c r="U495" s="33"/>
      <c r="V495" s="33"/>
      <c r="W495" s="33"/>
      <c r="X495" s="33"/>
      <c r="Y495" s="33"/>
      <c r="Z495" s="33"/>
      <c r="AA495" s="33"/>
      <c r="AB495" s="33"/>
      <c r="AC495" s="33"/>
      <c r="AD495" s="33"/>
      <c r="AE495" s="33"/>
      <c r="AF495" s="33"/>
      <c r="AG495" s="46"/>
      <c r="AH495" s="46"/>
      <c r="AI495" s="46"/>
      <c r="AJ495" s="46"/>
      <c r="AK495" s="46"/>
      <c r="AL495" s="46"/>
      <c r="AM495" s="46"/>
      <c r="AN495" s="46"/>
      <c r="AO495" s="46"/>
      <c r="AP495" s="46"/>
      <c r="AQ495" s="46"/>
      <c r="AR495" s="34"/>
      <c r="AS495" s="34"/>
      <c r="AT495" s="34"/>
      <c r="AU495" s="47"/>
      <c r="AV495" s="48"/>
    </row>
    <row r="496" spans="20:48" x14ac:dyDescent="0.3">
      <c r="T496" s="33"/>
      <c r="U496" s="33"/>
      <c r="V496" s="33"/>
      <c r="W496" s="33"/>
      <c r="X496" s="33"/>
      <c r="Y496" s="33"/>
      <c r="Z496" s="33"/>
      <c r="AA496" s="33"/>
      <c r="AB496" s="33"/>
      <c r="AC496" s="33"/>
      <c r="AD496" s="33"/>
      <c r="AE496" s="33"/>
      <c r="AF496" s="33"/>
      <c r="AG496" s="46"/>
      <c r="AH496" s="46"/>
      <c r="AI496" s="46"/>
      <c r="AJ496" s="46"/>
      <c r="AK496" s="46"/>
      <c r="AL496" s="46"/>
      <c r="AM496" s="46"/>
      <c r="AN496" s="46"/>
      <c r="AO496" s="46"/>
      <c r="AP496" s="46"/>
      <c r="AQ496" s="46"/>
      <c r="AR496" s="34"/>
      <c r="AS496" s="34"/>
      <c r="AT496" s="34"/>
      <c r="AU496" s="47"/>
      <c r="AV496" s="48"/>
    </row>
    <row r="497" spans="20:48" x14ac:dyDescent="0.3">
      <c r="T497" s="33"/>
      <c r="U497" s="33"/>
      <c r="V497" s="33"/>
      <c r="W497" s="33"/>
      <c r="X497" s="33"/>
      <c r="Y497" s="33"/>
      <c r="Z497" s="33"/>
      <c r="AA497" s="33"/>
      <c r="AB497" s="33"/>
      <c r="AC497" s="33"/>
      <c r="AD497" s="33"/>
      <c r="AE497" s="33"/>
      <c r="AF497" s="33"/>
      <c r="AG497" s="46"/>
      <c r="AH497" s="46"/>
      <c r="AI497" s="46"/>
      <c r="AJ497" s="46"/>
      <c r="AK497" s="46"/>
      <c r="AL497" s="46"/>
      <c r="AM497" s="46"/>
      <c r="AN497" s="46"/>
      <c r="AO497" s="46"/>
      <c r="AP497" s="46"/>
      <c r="AQ497" s="46"/>
      <c r="AR497" s="34"/>
      <c r="AS497" s="34"/>
      <c r="AT497" s="34"/>
      <c r="AU497" s="47"/>
      <c r="AV497" s="48"/>
    </row>
    <row r="498" spans="20:48" x14ac:dyDescent="0.3">
      <c r="T498" s="33"/>
      <c r="U498" s="33"/>
      <c r="V498" s="33"/>
      <c r="W498" s="33"/>
      <c r="X498" s="33"/>
      <c r="Y498" s="33"/>
      <c r="Z498" s="33"/>
      <c r="AA498" s="33"/>
      <c r="AB498" s="33"/>
      <c r="AC498" s="33"/>
      <c r="AD498" s="33"/>
      <c r="AE498" s="33"/>
      <c r="AF498" s="33"/>
      <c r="AG498" s="46"/>
      <c r="AH498" s="46"/>
      <c r="AI498" s="46"/>
      <c r="AJ498" s="46"/>
      <c r="AK498" s="46"/>
      <c r="AL498" s="46"/>
      <c r="AM498" s="46"/>
      <c r="AN498" s="46"/>
      <c r="AO498" s="46"/>
      <c r="AP498" s="46"/>
      <c r="AQ498" s="46"/>
      <c r="AR498" s="34"/>
      <c r="AS498" s="34"/>
      <c r="AT498" s="34"/>
      <c r="AU498" s="47"/>
      <c r="AV498" s="48"/>
    </row>
    <row r="499" spans="20:48" x14ac:dyDescent="0.3">
      <c r="T499" s="33"/>
      <c r="U499" s="33"/>
      <c r="V499" s="33"/>
      <c r="W499" s="33"/>
      <c r="X499" s="33"/>
      <c r="Y499" s="33"/>
      <c r="Z499" s="33"/>
      <c r="AA499" s="33"/>
      <c r="AB499" s="33"/>
      <c r="AC499" s="33"/>
      <c r="AD499" s="33"/>
      <c r="AE499" s="33"/>
      <c r="AF499" s="33"/>
      <c r="AG499" s="46"/>
      <c r="AH499" s="46"/>
      <c r="AI499" s="46"/>
      <c r="AJ499" s="46"/>
      <c r="AK499" s="46"/>
      <c r="AL499" s="46"/>
      <c r="AM499" s="46"/>
      <c r="AN499" s="46"/>
      <c r="AO499" s="46"/>
      <c r="AP499" s="46"/>
      <c r="AQ499" s="46"/>
      <c r="AR499" s="34"/>
      <c r="AS499" s="34"/>
      <c r="AT499" s="34"/>
      <c r="AU499" s="47"/>
      <c r="AV499" s="48"/>
    </row>
    <row r="500" spans="20:48" x14ac:dyDescent="0.3">
      <c r="T500" s="33"/>
      <c r="U500" s="33"/>
      <c r="V500" s="33"/>
      <c r="W500" s="33"/>
      <c r="X500" s="33"/>
      <c r="Y500" s="33"/>
      <c r="Z500" s="33"/>
      <c r="AA500" s="33"/>
      <c r="AB500" s="33"/>
      <c r="AC500" s="33"/>
      <c r="AD500" s="33"/>
      <c r="AE500" s="33"/>
      <c r="AF500" s="33"/>
      <c r="AG500" s="46"/>
      <c r="AH500" s="46"/>
      <c r="AI500" s="46"/>
      <c r="AJ500" s="46"/>
      <c r="AK500" s="46"/>
      <c r="AL500" s="46"/>
      <c r="AM500" s="46"/>
      <c r="AN500" s="46"/>
      <c r="AO500" s="46"/>
      <c r="AP500" s="46"/>
      <c r="AQ500" s="46"/>
      <c r="AR500" s="34"/>
      <c r="AS500" s="34"/>
      <c r="AT500" s="34"/>
      <c r="AU500" s="47"/>
      <c r="AV500" s="48"/>
    </row>
    <row r="501" spans="20:48" x14ac:dyDescent="0.3">
      <c r="T501" s="33"/>
      <c r="U501" s="33"/>
      <c r="V501" s="33"/>
      <c r="W501" s="33"/>
      <c r="X501" s="33"/>
      <c r="Y501" s="33"/>
      <c r="Z501" s="33"/>
      <c r="AA501" s="33"/>
      <c r="AB501" s="33"/>
      <c r="AC501" s="33"/>
      <c r="AD501" s="33"/>
      <c r="AE501" s="33"/>
      <c r="AF501" s="33"/>
      <c r="AG501" s="46"/>
      <c r="AH501" s="46"/>
      <c r="AI501" s="46"/>
      <c r="AJ501" s="46"/>
      <c r="AK501" s="46"/>
      <c r="AL501" s="46"/>
      <c r="AM501" s="46"/>
      <c r="AN501" s="46"/>
      <c r="AO501" s="46"/>
      <c r="AP501" s="46"/>
      <c r="AQ501" s="46"/>
      <c r="AR501" s="34"/>
      <c r="AS501" s="34"/>
      <c r="AT501" s="34"/>
      <c r="AU501" s="47"/>
      <c r="AV501" s="48"/>
    </row>
    <row r="502" spans="20:48" x14ac:dyDescent="0.3">
      <c r="T502" s="33"/>
      <c r="U502" s="33"/>
      <c r="V502" s="33"/>
      <c r="W502" s="33"/>
      <c r="X502" s="33"/>
      <c r="Y502" s="33"/>
      <c r="Z502" s="33"/>
      <c r="AA502" s="33"/>
      <c r="AB502" s="33"/>
      <c r="AC502" s="33"/>
      <c r="AD502" s="33"/>
      <c r="AE502" s="33"/>
      <c r="AF502" s="33"/>
      <c r="AG502" s="46"/>
      <c r="AH502" s="46"/>
      <c r="AI502" s="46"/>
      <c r="AJ502" s="46"/>
      <c r="AK502" s="46"/>
      <c r="AL502" s="46"/>
      <c r="AM502" s="46"/>
      <c r="AN502" s="46"/>
      <c r="AO502" s="46"/>
      <c r="AP502" s="46"/>
      <c r="AQ502" s="46"/>
      <c r="AR502" s="34"/>
      <c r="AS502" s="34"/>
      <c r="AT502" s="34"/>
      <c r="AU502" s="47"/>
      <c r="AV502" s="48"/>
    </row>
    <row r="503" spans="20:48" x14ac:dyDescent="0.3">
      <c r="T503" s="33"/>
      <c r="U503" s="33"/>
      <c r="V503" s="33"/>
      <c r="W503" s="33"/>
      <c r="X503" s="33"/>
      <c r="Y503" s="33"/>
      <c r="Z503" s="33"/>
      <c r="AA503" s="33"/>
      <c r="AB503" s="33"/>
      <c r="AC503" s="33"/>
      <c r="AD503" s="33"/>
      <c r="AE503" s="33"/>
      <c r="AF503" s="33"/>
      <c r="AG503" s="46"/>
      <c r="AH503" s="46"/>
      <c r="AI503" s="46"/>
      <c r="AJ503" s="46"/>
      <c r="AK503" s="46"/>
      <c r="AL503" s="46"/>
      <c r="AM503" s="46"/>
      <c r="AN503" s="46"/>
      <c r="AO503" s="46"/>
      <c r="AP503" s="46"/>
      <c r="AQ503" s="46"/>
      <c r="AR503" s="34"/>
      <c r="AS503" s="34"/>
      <c r="AT503" s="34"/>
      <c r="AU503" s="47"/>
      <c r="AV503" s="48"/>
    </row>
    <row r="504" spans="20:48" x14ac:dyDescent="0.3">
      <c r="T504" s="33"/>
      <c r="U504" s="33"/>
      <c r="V504" s="33"/>
      <c r="W504" s="33"/>
      <c r="X504" s="33"/>
      <c r="Y504" s="33"/>
      <c r="Z504" s="33"/>
      <c r="AA504" s="33"/>
      <c r="AB504" s="33"/>
      <c r="AC504" s="33"/>
      <c r="AD504" s="33"/>
      <c r="AE504" s="33"/>
      <c r="AF504" s="33"/>
      <c r="AG504" s="46"/>
      <c r="AH504" s="46"/>
      <c r="AI504" s="46"/>
      <c r="AJ504" s="46"/>
      <c r="AK504" s="46"/>
      <c r="AL504" s="46"/>
      <c r="AM504" s="46"/>
      <c r="AN504" s="46"/>
      <c r="AO504" s="46"/>
      <c r="AP504" s="46"/>
      <c r="AQ504" s="46"/>
      <c r="AR504" s="34"/>
      <c r="AS504" s="34"/>
      <c r="AT504" s="34"/>
      <c r="AU504" s="47"/>
      <c r="AV504" s="48"/>
    </row>
    <row r="505" spans="20:48" x14ac:dyDescent="0.3">
      <c r="T505" s="33"/>
      <c r="U505" s="33"/>
      <c r="V505" s="33"/>
      <c r="W505" s="33"/>
      <c r="X505" s="33"/>
      <c r="Y505" s="33"/>
      <c r="Z505" s="33"/>
      <c r="AA505" s="33"/>
      <c r="AB505" s="33"/>
      <c r="AC505" s="33"/>
      <c r="AD505" s="33"/>
      <c r="AE505" s="33"/>
      <c r="AF505" s="33"/>
      <c r="AG505" s="46"/>
      <c r="AH505" s="46"/>
      <c r="AI505" s="46"/>
      <c r="AJ505" s="46"/>
      <c r="AK505" s="46"/>
      <c r="AL505" s="46"/>
      <c r="AM505" s="46"/>
      <c r="AN505" s="46"/>
      <c r="AO505" s="46"/>
      <c r="AP505" s="46"/>
      <c r="AQ505" s="46"/>
      <c r="AR505" s="34"/>
      <c r="AS505" s="34"/>
      <c r="AT505" s="34"/>
      <c r="AU505" s="47"/>
      <c r="AV505" s="48"/>
    </row>
    <row r="506" spans="20:48" x14ac:dyDescent="0.3">
      <c r="T506" s="33"/>
      <c r="U506" s="33"/>
      <c r="V506" s="33"/>
      <c r="W506" s="33"/>
      <c r="X506" s="33"/>
      <c r="Y506" s="33"/>
      <c r="Z506" s="33"/>
      <c r="AA506" s="33"/>
      <c r="AB506" s="33"/>
      <c r="AC506" s="33"/>
      <c r="AD506" s="33"/>
      <c r="AE506" s="33"/>
      <c r="AF506" s="33"/>
      <c r="AG506" s="46"/>
      <c r="AH506" s="46"/>
      <c r="AI506" s="46"/>
      <c r="AJ506" s="46"/>
      <c r="AK506" s="46"/>
      <c r="AL506" s="46"/>
      <c r="AM506" s="46"/>
      <c r="AN506" s="46"/>
      <c r="AO506" s="46"/>
      <c r="AP506" s="46"/>
      <c r="AQ506" s="46"/>
      <c r="AR506" s="34"/>
      <c r="AS506" s="34"/>
      <c r="AT506" s="34"/>
      <c r="AU506" s="47"/>
      <c r="AV506" s="48"/>
    </row>
    <row r="507" spans="20:48" x14ac:dyDescent="0.3">
      <c r="T507" s="33"/>
      <c r="U507" s="33"/>
      <c r="V507" s="33"/>
      <c r="W507" s="33"/>
      <c r="X507" s="33"/>
      <c r="Y507" s="33"/>
      <c r="Z507" s="33"/>
      <c r="AA507" s="33"/>
      <c r="AB507" s="33"/>
      <c r="AC507" s="33"/>
      <c r="AD507" s="33"/>
      <c r="AE507" s="33"/>
      <c r="AF507" s="33"/>
      <c r="AG507" s="46"/>
      <c r="AH507" s="46"/>
      <c r="AI507" s="46"/>
      <c r="AJ507" s="46"/>
      <c r="AK507" s="46"/>
      <c r="AL507" s="46"/>
      <c r="AM507" s="46"/>
      <c r="AN507" s="46"/>
      <c r="AO507" s="46"/>
      <c r="AP507" s="46"/>
      <c r="AQ507" s="46"/>
      <c r="AR507" s="34"/>
      <c r="AS507" s="34"/>
      <c r="AT507" s="34"/>
      <c r="AU507" s="47"/>
      <c r="AV507" s="48"/>
    </row>
    <row r="508" spans="20:48" x14ac:dyDescent="0.3">
      <c r="T508" s="33"/>
      <c r="U508" s="33"/>
      <c r="V508" s="33"/>
      <c r="W508" s="33"/>
      <c r="X508" s="33"/>
      <c r="Y508" s="33"/>
      <c r="Z508" s="33"/>
      <c r="AA508" s="33"/>
      <c r="AB508" s="33"/>
      <c r="AC508" s="33"/>
      <c r="AD508" s="33"/>
      <c r="AE508" s="33"/>
      <c r="AF508" s="33"/>
      <c r="AG508" s="46"/>
      <c r="AH508" s="46"/>
      <c r="AI508" s="46"/>
      <c r="AJ508" s="46"/>
      <c r="AK508" s="46"/>
      <c r="AL508" s="46"/>
      <c r="AM508" s="46"/>
      <c r="AN508" s="46"/>
      <c r="AO508" s="46"/>
      <c r="AP508" s="46"/>
      <c r="AQ508" s="46"/>
      <c r="AR508" s="34"/>
      <c r="AS508" s="34"/>
      <c r="AT508" s="34"/>
      <c r="AU508" s="47"/>
      <c r="AV508" s="48"/>
    </row>
    <row r="509" spans="20:48" x14ac:dyDescent="0.3">
      <c r="T509" s="33"/>
      <c r="U509" s="33"/>
      <c r="V509" s="33"/>
      <c r="W509" s="33"/>
      <c r="X509" s="33"/>
      <c r="Y509" s="33"/>
      <c r="Z509" s="33"/>
      <c r="AA509" s="33"/>
      <c r="AB509" s="33"/>
      <c r="AC509" s="33"/>
      <c r="AD509" s="33"/>
      <c r="AE509" s="33"/>
      <c r="AF509" s="33"/>
      <c r="AG509" s="46"/>
      <c r="AH509" s="46"/>
      <c r="AI509" s="46"/>
      <c r="AJ509" s="46"/>
      <c r="AK509" s="46"/>
      <c r="AL509" s="46"/>
      <c r="AM509" s="46"/>
      <c r="AN509" s="46"/>
      <c r="AO509" s="46"/>
      <c r="AP509" s="46"/>
      <c r="AQ509" s="46"/>
      <c r="AR509" s="34"/>
      <c r="AS509" s="34"/>
      <c r="AT509" s="34"/>
      <c r="AU509" s="47"/>
      <c r="AV509" s="48"/>
    </row>
    <row r="510" spans="20:48" x14ac:dyDescent="0.3">
      <c r="T510" s="33"/>
      <c r="U510" s="33"/>
      <c r="V510" s="33"/>
      <c r="W510" s="33"/>
      <c r="X510" s="33"/>
      <c r="Y510" s="33"/>
      <c r="Z510" s="33"/>
      <c r="AA510" s="33"/>
      <c r="AB510" s="33"/>
      <c r="AC510" s="33"/>
      <c r="AD510" s="33"/>
      <c r="AE510" s="33"/>
      <c r="AF510" s="33"/>
      <c r="AG510" s="46"/>
      <c r="AH510" s="46"/>
      <c r="AI510" s="46"/>
      <c r="AJ510" s="46"/>
      <c r="AK510" s="46"/>
      <c r="AL510" s="46"/>
      <c r="AM510" s="46"/>
      <c r="AN510" s="46"/>
      <c r="AO510" s="46"/>
      <c r="AP510" s="46"/>
      <c r="AQ510" s="46"/>
      <c r="AR510" s="34"/>
      <c r="AS510" s="34"/>
      <c r="AT510" s="34"/>
      <c r="AU510" s="47"/>
      <c r="AV510" s="48"/>
    </row>
    <row r="511" spans="20:48" x14ac:dyDescent="0.3">
      <c r="T511" s="33"/>
      <c r="U511" s="33"/>
      <c r="V511" s="33"/>
      <c r="W511" s="33"/>
      <c r="X511" s="33"/>
      <c r="Y511" s="33"/>
      <c r="Z511" s="33"/>
      <c r="AA511" s="33"/>
      <c r="AB511" s="33"/>
      <c r="AC511" s="33"/>
      <c r="AD511" s="33"/>
      <c r="AE511" s="33"/>
      <c r="AF511" s="33"/>
      <c r="AG511" s="46"/>
      <c r="AH511" s="46"/>
      <c r="AI511" s="46"/>
      <c r="AJ511" s="46"/>
      <c r="AK511" s="46"/>
      <c r="AL511" s="46"/>
      <c r="AM511" s="46"/>
      <c r="AN511" s="46"/>
      <c r="AO511" s="46"/>
      <c r="AP511" s="46"/>
      <c r="AQ511" s="46"/>
      <c r="AR511" s="34"/>
      <c r="AS511" s="34"/>
      <c r="AT511" s="34"/>
      <c r="AU511" s="47"/>
      <c r="AV511" s="48"/>
    </row>
    <row r="512" spans="20:48" x14ac:dyDescent="0.3">
      <c r="T512" s="33"/>
      <c r="U512" s="33"/>
      <c r="V512" s="33"/>
      <c r="W512" s="33"/>
      <c r="X512" s="33"/>
      <c r="Y512" s="33"/>
      <c r="Z512" s="33"/>
      <c r="AA512" s="33"/>
      <c r="AB512" s="33"/>
      <c r="AC512" s="33"/>
      <c r="AD512" s="33"/>
      <c r="AE512" s="33"/>
      <c r="AF512" s="33"/>
      <c r="AG512" s="46"/>
      <c r="AH512" s="46"/>
      <c r="AI512" s="46"/>
      <c r="AJ512" s="46"/>
      <c r="AK512" s="46"/>
      <c r="AL512" s="46"/>
      <c r="AM512" s="46"/>
      <c r="AN512" s="46"/>
      <c r="AO512" s="46"/>
      <c r="AP512" s="46"/>
      <c r="AQ512" s="46"/>
      <c r="AR512" s="34"/>
      <c r="AS512" s="34"/>
      <c r="AT512" s="34"/>
      <c r="AU512" s="47"/>
      <c r="AV512" s="48"/>
    </row>
    <row r="513" spans="20:48" x14ac:dyDescent="0.3">
      <c r="T513" s="33"/>
      <c r="U513" s="33"/>
      <c r="V513" s="33"/>
      <c r="W513" s="33"/>
      <c r="X513" s="33"/>
      <c r="Y513" s="33"/>
      <c r="Z513" s="33"/>
      <c r="AA513" s="33"/>
      <c r="AB513" s="33"/>
      <c r="AC513" s="33"/>
      <c r="AD513" s="33"/>
      <c r="AE513" s="33"/>
      <c r="AF513" s="33"/>
      <c r="AG513" s="46"/>
      <c r="AH513" s="46"/>
      <c r="AI513" s="46"/>
      <c r="AJ513" s="46"/>
      <c r="AK513" s="46"/>
      <c r="AL513" s="46"/>
      <c r="AM513" s="46"/>
      <c r="AN513" s="46"/>
      <c r="AO513" s="46"/>
      <c r="AP513" s="46"/>
      <c r="AQ513" s="46"/>
      <c r="AR513" s="34"/>
      <c r="AS513" s="34"/>
      <c r="AT513" s="34"/>
      <c r="AU513" s="47"/>
      <c r="AV513" s="48"/>
    </row>
    <row r="514" spans="20:48" x14ac:dyDescent="0.3">
      <c r="T514" s="33"/>
      <c r="U514" s="33"/>
      <c r="V514" s="33"/>
      <c r="W514" s="33"/>
      <c r="X514" s="33"/>
      <c r="Y514" s="33"/>
      <c r="Z514" s="33"/>
      <c r="AA514" s="33"/>
      <c r="AB514" s="33"/>
      <c r="AC514" s="33"/>
      <c r="AD514" s="33"/>
      <c r="AE514" s="33"/>
      <c r="AF514" s="33"/>
      <c r="AG514" s="46"/>
      <c r="AH514" s="46"/>
      <c r="AI514" s="46"/>
      <c r="AJ514" s="46"/>
      <c r="AK514" s="46"/>
      <c r="AL514" s="46"/>
      <c r="AM514" s="46"/>
      <c r="AN514" s="46"/>
      <c r="AO514" s="46"/>
      <c r="AP514" s="46"/>
      <c r="AQ514" s="46"/>
      <c r="AR514" s="34"/>
      <c r="AS514" s="34"/>
      <c r="AT514" s="34"/>
      <c r="AU514" s="47"/>
      <c r="AV514" s="48"/>
    </row>
    <row r="515" spans="20:48" x14ac:dyDescent="0.3">
      <c r="T515" s="33"/>
      <c r="U515" s="33"/>
      <c r="V515" s="33"/>
      <c r="W515" s="33"/>
      <c r="X515" s="33"/>
      <c r="Y515" s="33"/>
      <c r="Z515" s="33"/>
      <c r="AA515" s="33"/>
      <c r="AB515" s="33"/>
      <c r="AC515" s="33"/>
      <c r="AD515" s="33"/>
      <c r="AE515" s="33"/>
      <c r="AF515" s="33"/>
      <c r="AG515" s="46"/>
      <c r="AH515" s="46"/>
      <c r="AI515" s="46"/>
      <c r="AJ515" s="46"/>
      <c r="AK515" s="46"/>
      <c r="AL515" s="46"/>
      <c r="AM515" s="46"/>
      <c r="AN515" s="46"/>
      <c r="AO515" s="46"/>
      <c r="AP515" s="46"/>
      <c r="AQ515" s="46"/>
      <c r="AR515" s="34"/>
      <c r="AS515" s="34"/>
      <c r="AT515" s="34"/>
      <c r="AU515" s="47"/>
      <c r="AV515" s="48"/>
    </row>
    <row r="516" spans="20:48" x14ac:dyDescent="0.3">
      <c r="T516" s="33"/>
      <c r="U516" s="33"/>
      <c r="V516" s="33"/>
      <c r="W516" s="33"/>
      <c r="X516" s="33"/>
      <c r="Y516" s="33"/>
      <c r="Z516" s="33"/>
      <c r="AA516" s="33"/>
      <c r="AB516" s="33"/>
      <c r="AC516" s="33"/>
      <c r="AD516" s="33"/>
      <c r="AE516" s="33"/>
      <c r="AF516" s="33"/>
      <c r="AG516" s="46"/>
      <c r="AH516" s="46"/>
      <c r="AI516" s="46"/>
      <c r="AJ516" s="46"/>
      <c r="AK516" s="46"/>
      <c r="AL516" s="46"/>
      <c r="AM516" s="46"/>
      <c r="AN516" s="46"/>
      <c r="AO516" s="46"/>
      <c r="AP516" s="46"/>
      <c r="AQ516" s="46"/>
      <c r="AR516" s="34"/>
      <c r="AS516" s="34"/>
      <c r="AT516" s="34"/>
      <c r="AU516" s="47"/>
      <c r="AV516" s="48"/>
    </row>
    <row r="517" spans="20:48" x14ac:dyDescent="0.3">
      <c r="T517" s="33"/>
      <c r="U517" s="33"/>
      <c r="V517" s="33"/>
      <c r="W517" s="33"/>
      <c r="X517" s="33"/>
      <c r="Y517" s="33"/>
      <c r="Z517" s="33"/>
      <c r="AA517" s="33"/>
      <c r="AB517" s="33"/>
      <c r="AC517" s="33"/>
      <c r="AD517" s="33"/>
      <c r="AE517" s="33"/>
      <c r="AF517" s="33"/>
      <c r="AG517" s="46"/>
      <c r="AH517" s="46"/>
      <c r="AI517" s="46"/>
      <c r="AJ517" s="46"/>
      <c r="AK517" s="46"/>
      <c r="AL517" s="46"/>
      <c r="AM517" s="46"/>
      <c r="AN517" s="46"/>
      <c r="AO517" s="46"/>
      <c r="AP517" s="46"/>
      <c r="AQ517" s="46"/>
      <c r="AR517" s="34"/>
      <c r="AS517" s="34"/>
      <c r="AT517" s="34"/>
      <c r="AU517" s="47"/>
      <c r="AV517" s="48"/>
    </row>
    <row r="518" spans="20:48" x14ac:dyDescent="0.3">
      <c r="T518" s="33"/>
      <c r="U518" s="33"/>
      <c r="V518" s="33"/>
      <c r="W518" s="33"/>
      <c r="X518" s="33"/>
      <c r="Y518" s="33"/>
      <c r="Z518" s="33"/>
      <c r="AA518" s="33"/>
      <c r="AB518" s="33"/>
      <c r="AC518" s="33"/>
      <c r="AD518" s="33"/>
      <c r="AE518" s="33"/>
      <c r="AF518" s="33"/>
      <c r="AG518" s="46"/>
      <c r="AH518" s="46"/>
      <c r="AI518" s="46"/>
      <c r="AJ518" s="46"/>
      <c r="AK518" s="46"/>
      <c r="AL518" s="46"/>
      <c r="AM518" s="46"/>
      <c r="AN518" s="46"/>
      <c r="AO518" s="46"/>
      <c r="AP518" s="46"/>
      <c r="AQ518" s="46"/>
      <c r="AR518" s="34"/>
      <c r="AS518" s="34"/>
      <c r="AT518" s="34"/>
      <c r="AU518" s="47"/>
      <c r="AV518" s="48"/>
    </row>
    <row r="519" spans="20:48" x14ac:dyDescent="0.3">
      <c r="T519" s="33"/>
      <c r="U519" s="33"/>
      <c r="V519" s="33"/>
      <c r="W519" s="33"/>
      <c r="X519" s="33"/>
      <c r="Y519" s="33"/>
      <c r="Z519" s="33"/>
      <c r="AA519" s="33"/>
      <c r="AB519" s="33"/>
      <c r="AC519" s="33"/>
      <c r="AD519" s="33"/>
      <c r="AE519" s="33"/>
      <c r="AF519" s="33"/>
      <c r="AG519" s="46"/>
      <c r="AH519" s="46"/>
      <c r="AI519" s="46"/>
      <c r="AJ519" s="46"/>
      <c r="AK519" s="46"/>
      <c r="AL519" s="46"/>
      <c r="AM519" s="46"/>
      <c r="AN519" s="46"/>
      <c r="AO519" s="46"/>
      <c r="AP519" s="46"/>
      <c r="AQ519" s="46"/>
      <c r="AR519" s="34"/>
      <c r="AS519" s="34"/>
      <c r="AT519" s="34"/>
      <c r="AU519" s="47"/>
      <c r="AV519" s="48"/>
    </row>
    <row r="520" spans="20:48" x14ac:dyDescent="0.3">
      <c r="T520" s="33"/>
      <c r="U520" s="33"/>
      <c r="V520" s="33"/>
      <c r="W520" s="33"/>
      <c r="X520" s="33"/>
      <c r="Y520" s="33"/>
      <c r="Z520" s="33"/>
      <c r="AA520" s="33"/>
      <c r="AB520" s="33"/>
      <c r="AC520" s="33"/>
      <c r="AD520" s="33"/>
      <c r="AE520" s="33"/>
      <c r="AF520" s="33"/>
      <c r="AG520" s="46"/>
      <c r="AH520" s="46"/>
      <c r="AI520" s="46"/>
      <c r="AJ520" s="46"/>
      <c r="AK520" s="46"/>
      <c r="AL520" s="46"/>
      <c r="AM520" s="46"/>
      <c r="AN520" s="46"/>
      <c r="AO520" s="46"/>
      <c r="AP520" s="46"/>
      <c r="AQ520" s="46"/>
      <c r="AR520" s="34"/>
      <c r="AS520" s="34"/>
      <c r="AT520" s="34"/>
      <c r="AU520" s="47"/>
      <c r="AV520" s="48"/>
    </row>
    <row r="521" spans="20:48" x14ac:dyDescent="0.3">
      <c r="T521" s="33"/>
      <c r="U521" s="33"/>
      <c r="V521" s="33"/>
      <c r="W521" s="33"/>
      <c r="X521" s="33"/>
      <c r="Y521" s="33"/>
      <c r="Z521" s="33"/>
      <c r="AA521" s="33"/>
      <c r="AB521" s="33"/>
      <c r="AC521" s="33"/>
      <c r="AD521" s="33"/>
      <c r="AE521" s="33"/>
      <c r="AF521" s="33"/>
      <c r="AG521" s="46"/>
      <c r="AH521" s="46"/>
      <c r="AI521" s="46"/>
      <c r="AJ521" s="46"/>
      <c r="AK521" s="46"/>
      <c r="AL521" s="46"/>
      <c r="AM521" s="46"/>
      <c r="AN521" s="46"/>
      <c r="AO521" s="46"/>
      <c r="AP521" s="46"/>
      <c r="AQ521" s="46"/>
      <c r="AR521" s="34"/>
      <c r="AS521" s="34"/>
      <c r="AT521" s="34"/>
      <c r="AU521" s="47"/>
      <c r="AV521" s="48"/>
    </row>
    <row r="522" spans="20:48" x14ac:dyDescent="0.3">
      <c r="T522" s="33"/>
      <c r="U522" s="33"/>
      <c r="V522" s="33"/>
      <c r="W522" s="33"/>
      <c r="X522" s="33"/>
      <c r="Y522" s="33"/>
      <c r="Z522" s="33"/>
      <c r="AA522" s="33"/>
      <c r="AB522" s="33"/>
      <c r="AC522" s="33"/>
      <c r="AD522" s="33"/>
      <c r="AE522" s="33"/>
      <c r="AF522" s="33"/>
      <c r="AG522" s="46"/>
      <c r="AH522" s="46"/>
      <c r="AI522" s="46"/>
      <c r="AJ522" s="46"/>
      <c r="AK522" s="46"/>
      <c r="AL522" s="46"/>
      <c r="AM522" s="46"/>
      <c r="AN522" s="46"/>
      <c r="AO522" s="46"/>
      <c r="AP522" s="46"/>
      <c r="AQ522" s="46"/>
      <c r="AR522" s="34"/>
      <c r="AS522" s="34"/>
      <c r="AT522" s="34"/>
      <c r="AU522" s="47"/>
      <c r="AV522" s="48"/>
    </row>
    <row r="523" spans="20:48" x14ac:dyDescent="0.3">
      <c r="T523" s="33"/>
      <c r="U523" s="33"/>
      <c r="V523" s="33"/>
      <c r="W523" s="33"/>
      <c r="X523" s="33"/>
      <c r="Y523" s="33"/>
      <c r="Z523" s="33"/>
      <c r="AA523" s="33"/>
      <c r="AB523" s="33"/>
      <c r="AC523" s="33"/>
      <c r="AD523" s="33"/>
      <c r="AE523" s="33"/>
      <c r="AF523" s="33"/>
      <c r="AG523" s="46"/>
      <c r="AH523" s="46"/>
      <c r="AI523" s="46"/>
      <c r="AJ523" s="46"/>
      <c r="AK523" s="46"/>
      <c r="AL523" s="46"/>
      <c r="AM523" s="46"/>
      <c r="AN523" s="46"/>
      <c r="AO523" s="46"/>
      <c r="AP523" s="46"/>
      <c r="AQ523" s="46"/>
      <c r="AR523" s="34"/>
      <c r="AS523" s="34"/>
      <c r="AT523" s="34"/>
      <c r="AU523" s="47"/>
      <c r="AV523" s="48"/>
    </row>
    <row r="524" spans="20:48" x14ac:dyDescent="0.3">
      <c r="T524" s="33"/>
      <c r="U524" s="33"/>
      <c r="V524" s="33"/>
      <c r="W524" s="33"/>
      <c r="X524" s="33"/>
      <c r="Y524" s="33"/>
      <c r="Z524" s="33"/>
      <c r="AA524" s="33"/>
      <c r="AB524" s="33"/>
      <c r="AC524" s="33"/>
      <c r="AD524" s="33"/>
      <c r="AE524" s="33"/>
      <c r="AF524" s="33"/>
      <c r="AG524" s="46"/>
      <c r="AH524" s="46"/>
      <c r="AI524" s="46"/>
      <c r="AJ524" s="46"/>
      <c r="AK524" s="46"/>
      <c r="AL524" s="46"/>
      <c r="AM524" s="46"/>
      <c r="AN524" s="46"/>
      <c r="AO524" s="46"/>
      <c r="AP524" s="46"/>
      <c r="AQ524" s="46"/>
      <c r="AR524" s="34"/>
      <c r="AS524" s="34"/>
      <c r="AT524" s="34"/>
      <c r="AU524" s="47"/>
      <c r="AV524" s="48"/>
    </row>
    <row r="525" spans="20:48" x14ac:dyDescent="0.3">
      <c r="T525" s="33"/>
      <c r="U525" s="33"/>
      <c r="V525" s="33"/>
      <c r="W525" s="33"/>
      <c r="X525" s="33"/>
      <c r="Y525" s="33"/>
      <c r="Z525" s="33"/>
      <c r="AA525" s="33"/>
      <c r="AB525" s="33"/>
      <c r="AC525" s="33"/>
      <c r="AD525" s="33"/>
      <c r="AE525" s="33"/>
      <c r="AF525" s="33"/>
      <c r="AG525" s="46"/>
      <c r="AH525" s="46"/>
      <c r="AI525" s="46"/>
      <c r="AJ525" s="46"/>
      <c r="AK525" s="46"/>
      <c r="AL525" s="46"/>
      <c r="AM525" s="46"/>
      <c r="AN525" s="46"/>
      <c r="AO525" s="46"/>
      <c r="AP525" s="46"/>
      <c r="AQ525" s="46"/>
      <c r="AR525" s="34"/>
      <c r="AS525" s="34"/>
      <c r="AT525" s="34"/>
      <c r="AU525" s="47"/>
      <c r="AV525" s="48"/>
    </row>
    <row r="526" spans="20:48" x14ac:dyDescent="0.3">
      <c r="T526" s="33"/>
      <c r="U526" s="33"/>
      <c r="V526" s="33"/>
      <c r="W526" s="33"/>
      <c r="X526" s="33"/>
      <c r="Y526" s="33"/>
      <c r="Z526" s="33"/>
      <c r="AA526" s="33"/>
      <c r="AB526" s="33"/>
      <c r="AC526" s="33"/>
      <c r="AD526" s="33"/>
      <c r="AE526" s="33"/>
      <c r="AF526" s="33"/>
      <c r="AG526" s="46"/>
      <c r="AH526" s="46"/>
      <c r="AI526" s="46"/>
      <c r="AJ526" s="46"/>
      <c r="AK526" s="46"/>
      <c r="AL526" s="46"/>
      <c r="AM526" s="46"/>
      <c r="AN526" s="46"/>
      <c r="AO526" s="46"/>
      <c r="AP526" s="46"/>
      <c r="AQ526" s="46"/>
      <c r="AR526" s="34"/>
      <c r="AS526" s="34"/>
      <c r="AT526" s="34"/>
      <c r="AU526" s="47"/>
      <c r="AV526" s="48"/>
    </row>
    <row r="527" spans="20:48" x14ac:dyDescent="0.3">
      <c r="T527" s="33"/>
      <c r="U527" s="33"/>
      <c r="V527" s="33"/>
      <c r="W527" s="33"/>
      <c r="X527" s="33"/>
      <c r="Y527" s="33"/>
      <c r="Z527" s="33"/>
      <c r="AA527" s="33"/>
      <c r="AB527" s="33"/>
      <c r="AC527" s="33"/>
      <c r="AD527" s="33"/>
      <c r="AE527" s="33"/>
      <c r="AF527" s="33"/>
      <c r="AG527" s="46"/>
      <c r="AH527" s="46"/>
      <c r="AI527" s="46"/>
      <c r="AJ527" s="46"/>
      <c r="AK527" s="46"/>
      <c r="AL527" s="46"/>
      <c r="AM527" s="46"/>
      <c r="AN527" s="46"/>
      <c r="AO527" s="46"/>
      <c r="AP527" s="46"/>
      <c r="AQ527" s="46"/>
      <c r="AR527" s="34"/>
      <c r="AS527" s="34"/>
      <c r="AT527" s="34"/>
      <c r="AU527" s="47"/>
      <c r="AV527" s="48"/>
    </row>
    <row r="528" spans="20:48" x14ac:dyDescent="0.3">
      <c r="T528" s="33"/>
      <c r="U528" s="33"/>
      <c r="V528" s="33"/>
      <c r="W528" s="33"/>
      <c r="X528" s="33"/>
      <c r="Y528" s="33"/>
      <c r="Z528" s="33"/>
      <c r="AA528" s="33"/>
      <c r="AB528" s="33"/>
      <c r="AC528" s="33"/>
      <c r="AD528" s="33"/>
      <c r="AE528" s="33"/>
      <c r="AF528" s="33"/>
      <c r="AG528" s="46"/>
      <c r="AH528" s="46"/>
      <c r="AI528" s="46"/>
      <c r="AJ528" s="46"/>
      <c r="AK528" s="46"/>
      <c r="AL528" s="46"/>
      <c r="AM528" s="46"/>
      <c r="AN528" s="46"/>
      <c r="AO528" s="46"/>
      <c r="AP528" s="46"/>
      <c r="AQ528" s="46"/>
      <c r="AR528" s="34"/>
      <c r="AS528" s="34"/>
      <c r="AT528" s="34"/>
      <c r="AU528" s="47"/>
      <c r="AV528" s="48"/>
    </row>
    <row r="529" spans="20:48" x14ac:dyDescent="0.3">
      <c r="T529" s="33"/>
      <c r="U529" s="33"/>
      <c r="V529" s="33"/>
      <c r="W529" s="33"/>
      <c r="X529" s="33"/>
      <c r="Y529" s="33"/>
      <c r="Z529" s="33"/>
      <c r="AA529" s="33"/>
      <c r="AB529" s="33"/>
      <c r="AC529" s="33"/>
      <c r="AD529" s="33"/>
      <c r="AE529" s="33"/>
      <c r="AF529" s="33"/>
      <c r="AG529" s="46"/>
      <c r="AH529" s="46"/>
      <c r="AI529" s="46"/>
      <c r="AJ529" s="46"/>
      <c r="AK529" s="46"/>
      <c r="AL529" s="46"/>
      <c r="AM529" s="46"/>
      <c r="AN529" s="46"/>
      <c r="AO529" s="46"/>
      <c r="AP529" s="46"/>
      <c r="AQ529" s="46"/>
      <c r="AR529" s="34"/>
      <c r="AS529" s="34"/>
      <c r="AT529" s="34"/>
      <c r="AU529" s="47"/>
      <c r="AV529" s="48"/>
    </row>
    <row r="530" spans="20:48" x14ac:dyDescent="0.3">
      <c r="T530" s="33"/>
      <c r="U530" s="33"/>
      <c r="V530" s="33"/>
      <c r="W530" s="33"/>
      <c r="X530" s="33"/>
      <c r="Y530" s="33"/>
      <c r="Z530" s="33"/>
      <c r="AA530" s="33"/>
      <c r="AB530" s="33"/>
      <c r="AC530" s="33"/>
      <c r="AD530" s="33"/>
      <c r="AE530" s="33"/>
      <c r="AF530" s="33"/>
      <c r="AG530" s="46"/>
      <c r="AH530" s="46"/>
      <c r="AI530" s="46"/>
      <c r="AJ530" s="46"/>
      <c r="AK530" s="46"/>
      <c r="AL530" s="46"/>
      <c r="AM530" s="46"/>
      <c r="AN530" s="46"/>
      <c r="AO530" s="46"/>
      <c r="AP530" s="46"/>
      <c r="AQ530" s="46"/>
      <c r="AR530" s="34"/>
      <c r="AS530" s="34"/>
      <c r="AT530" s="34"/>
      <c r="AU530" s="47"/>
      <c r="AV530" s="48"/>
    </row>
    <row r="531" spans="20:48" x14ac:dyDescent="0.3">
      <c r="T531" s="33"/>
      <c r="U531" s="33"/>
      <c r="V531" s="33"/>
      <c r="W531" s="33"/>
      <c r="X531" s="33"/>
      <c r="Y531" s="33"/>
      <c r="Z531" s="33"/>
      <c r="AA531" s="33"/>
      <c r="AB531" s="33"/>
      <c r="AC531" s="33"/>
      <c r="AD531" s="33"/>
      <c r="AE531" s="33"/>
      <c r="AF531" s="33"/>
      <c r="AG531" s="46"/>
      <c r="AH531" s="46"/>
      <c r="AI531" s="46"/>
      <c r="AJ531" s="46"/>
      <c r="AK531" s="46"/>
      <c r="AL531" s="46"/>
      <c r="AM531" s="46"/>
      <c r="AN531" s="46"/>
      <c r="AO531" s="46"/>
      <c r="AP531" s="46"/>
      <c r="AQ531" s="46"/>
      <c r="AR531" s="34"/>
      <c r="AS531" s="34"/>
      <c r="AT531" s="34"/>
      <c r="AU531" s="47"/>
      <c r="AV531" s="48"/>
    </row>
    <row r="532" spans="20:48" x14ac:dyDescent="0.3">
      <c r="T532" s="33"/>
      <c r="U532" s="33"/>
      <c r="V532" s="33"/>
      <c r="W532" s="33"/>
      <c r="X532" s="33"/>
      <c r="Y532" s="33"/>
      <c r="Z532" s="33"/>
      <c r="AA532" s="33"/>
      <c r="AB532" s="33"/>
      <c r="AC532" s="33"/>
      <c r="AD532" s="33"/>
      <c r="AE532" s="33"/>
      <c r="AF532" s="33"/>
      <c r="AG532" s="46"/>
      <c r="AH532" s="46"/>
      <c r="AI532" s="46"/>
      <c r="AJ532" s="46"/>
      <c r="AK532" s="46"/>
      <c r="AL532" s="46"/>
      <c r="AM532" s="46"/>
      <c r="AN532" s="46"/>
      <c r="AO532" s="46"/>
      <c r="AP532" s="46"/>
      <c r="AQ532" s="46"/>
      <c r="AR532" s="34"/>
      <c r="AS532" s="34"/>
      <c r="AT532" s="34"/>
      <c r="AU532" s="47"/>
      <c r="AV532" s="48"/>
    </row>
    <row r="533" spans="20:48" x14ac:dyDescent="0.3">
      <c r="T533" s="33"/>
      <c r="U533" s="33"/>
      <c r="V533" s="33"/>
      <c r="W533" s="33"/>
      <c r="X533" s="33"/>
      <c r="Y533" s="33"/>
      <c r="Z533" s="33"/>
      <c r="AA533" s="33"/>
      <c r="AB533" s="33"/>
      <c r="AC533" s="33"/>
      <c r="AD533" s="33"/>
      <c r="AE533" s="33"/>
      <c r="AF533" s="33"/>
      <c r="AG533" s="46"/>
      <c r="AH533" s="46"/>
      <c r="AI533" s="46"/>
      <c r="AJ533" s="46"/>
      <c r="AK533" s="46"/>
      <c r="AL533" s="46"/>
      <c r="AM533" s="46"/>
      <c r="AN533" s="46"/>
      <c r="AO533" s="46"/>
      <c r="AP533" s="46"/>
      <c r="AQ533" s="46"/>
      <c r="AR533" s="34"/>
      <c r="AS533" s="34"/>
      <c r="AT533" s="34"/>
      <c r="AU533" s="47"/>
      <c r="AV533" s="48"/>
    </row>
    <row r="534" spans="20:48" x14ac:dyDescent="0.3">
      <c r="T534" s="33"/>
      <c r="U534" s="33"/>
      <c r="V534" s="33"/>
      <c r="W534" s="33"/>
      <c r="X534" s="33"/>
      <c r="Y534" s="33"/>
      <c r="Z534" s="33"/>
      <c r="AA534" s="33"/>
      <c r="AB534" s="33"/>
      <c r="AC534" s="33"/>
      <c r="AD534" s="33"/>
      <c r="AE534" s="33"/>
      <c r="AF534" s="33"/>
      <c r="AG534" s="46"/>
      <c r="AH534" s="46"/>
      <c r="AI534" s="46"/>
      <c r="AJ534" s="46"/>
      <c r="AK534" s="46"/>
      <c r="AL534" s="46"/>
      <c r="AM534" s="46"/>
      <c r="AN534" s="46"/>
      <c r="AO534" s="46"/>
      <c r="AP534" s="46"/>
      <c r="AQ534" s="46"/>
      <c r="AR534" s="34"/>
      <c r="AS534" s="34"/>
      <c r="AT534" s="34"/>
      <c r="AU534" s="47"/>
      <c r="AV534" s="48"/>
    </row>
    <row r="535" spans="20:48" x14ac:dyDescent="0.3">
      <c r="T535" s="33"/>
      <c r="U535" s="33"/>
      <c r="V535" s="33"/>
      <c r="W535" s="33"/>
      <c r="X535" s="33"/>
      <c r="Y535" s="33"/>
      <c r="Z535" s="33"/>
      <c r="AA535" s="33"/>
      <c r="AB535" s="33"/>
      <c r="AC535" s="33"/>
      <c r="AD535" s="33"/>
      <c r="AE535" s="33"/>
      <c r="AF535" s="33"/>
      <c r="AG535" s="46"/>
      <c r="AH535" s="46"/>
      <c r="AI535" s="46"/>
      <c r="AJ535" s="46"/>
      <c r="AK535" s="46"/>
      <c r="AL535" s="46"/>
      <c r="AM535" s="46"/>
      <c r="AN535" s="46"/>
      <c r="AO535" s="46"/>
      <c r="AP535" s="46"/>
      <c r="AQ535" s="46"/>
      <c r="AR535" s="34"/>
      <c r="AS535" s="34"/>
      <c r="AT535" s="34"/>
      <c r="AU535" s="47"/>
      <c r="AV535" s="48"/>
    </row>
    <row r="536" spans="20:48" x14ac:dyDescent="0.3">
      <c r="T536" s="33"/>
      <c r="U536" s="33"/>
      <c r="V536" s="33"/>
      <c r="W536" s="33"/>
      <c r="X536" s="33"/>
      <c r="Y536" s="33"/>
      <c r="Z536" s="33"/>
      <c r="AA536" s="33"/>
      <c r="AB536" s="33"/>
      <c r="AC536" s="33"/>
      <c r="AD536" s="33"/>
      <c r="AE536" s="33"/>
      <c r="AF536" s="33"/>
      <c r="AG536" s="46"/>
      <c r="AH536" s="46"/>
      <c r="AI536" s="46"/>
      <c r="AJ536" s="46"/>
      <c r="AK536" s="46"/>
      <c r="AL536" s="46"/>
      <c r="AM536" s="46"/>
      <c r="AN536" s="46"/>
      <c r="AO536" s="46"/>
      <c r="AP536" s="46"/>
      <c r="AQ536" s="46"/>
      <c r="AR536" s="34"/>
      <c r="AS536" s="34"/>
      <c r="AT536" s="34"/>
      <c r="AU536" s="47"/>
      <c r="AV536" s="48"/>
    </row>
    <row r="537" spans="20:48" x14ac:dyDescent="0.3">
      <c r="T537" s="33"/>
      <c r="U537" s="33"/>
      <c r="V537" s="33"/>
      <c r="W537" s="33"/>
      <c r="X537" s="33"/>
      <c r="Y537" s="33"/>
      <c r="Z537" s="33"/>
      <c r="AA537" s="33"/>
      <c r="AB537" s="33"/>
      <c r="AC537" s="33"/>
      <c r="AD537" s="33"/>
      <c r="AE537" s="33"/>
      <c r="AF537" s="33"/>
      <c r="AG537" s="46"/>
      <c r="AH537" s="46"/>
      <c r="AI537" s="46"/>
      <c r="AJ537" s="46"/>
      <c r="AK537" s="46"/>
      <c r="AL537" s="46"/>
      <c r="AM537" s="46"/>
      <c r="AN537" s="46"/>
      <c r="AO537" s="46"/>
      <c r="AP537" s="46"/>
      <c r="AQ537" s="46"/>
      <c r="AR537" s="34"/>
      <c r="AS537" s="34"/>
      <c r="AT537" s="34"/>
      <c r="AU537" s="47"/>
      <c r="AV537" s="48"/>
    </row>
    <row r="538" spans="20:48" x14ac:dyDescent="0.3">
      <c r="T538" s="33"/>
      <c r="U538" s="33"/>
      <c r="V538" s="33"/>
      <c r="W538" s="33"/>
      <c r="X538" s="33"/>
      <c r="Y538" s="33"/>
      <c r="Z538" s="33"/>
      <c r="AA538" s="33"/>
      <c r="AB538" s="33"/>
      <c r="AC538" s="33"/>
      <c r="AD538" s="33"/>
      <c r="AE538" s="33"/>
      <c r="AF538" s="33"/>
      <c r="AG538" s="46"/>
      <c r="AH538" s="46"/>
      <c r="AI538" s="46"/>
      <c r="AJ538" s="46"/>
      <c r="AK538" s="46"/>
      <c r="AL538" s="46"/>
      <c r="AM538" s="46"/>
      <c r="AN538" s="46"/>
      <c r="AO538" s="46"/>
      <c r="AP538" s="46"/>
      <c r="AQ538" s="46"/>
      <c r="AR538" s="34"/>
      <c r="AS538" s="34"/>
      <c r="AT538" s="34"/>
      <c r="AU538" s="47"/>
      <c r="AV538" s="48"/>
    </row>
    <row r="539" spans="20:48" x14ac:dyDescent="0.3">
      <c r="T539" s="33"/>
      <c r="U539" s="33"/>
      <c r="V539" s="33"/>
      <c r="W539" s="33"/>
      <c r="X539" s="33"/>
      <c r="Y539" s="33"/>
      <c r="Z539" s="33"/>
      <c r="AA539" s="33"/>
      <c r="AB539" s="33"/>
      <c r="AC539" s="33"/>
      <c r="AD539" s="33"/>
      <c r="AE539" s="33"/>
      <c r="AF539" s="33"/>
      <c r="AG539" s="46"/>
      <c r="AH539" s="46"/>
      <c r="AI539" s="46"/>
      <c r="AJ539" s="46"/>
      <c r="AK539" s="46"/>
      <c r="AL539" s="46"/>
      <c r="AM539" s="46"/>
      <c r="AN539" s="46"/>
      <c r="AO539" s="46"/>
      <c r="AP539" s="46"/>
      <c r="AQ539" s="46"/>
      <c r="AR539" s="34"/>
      <c r="AS539" s="34"/>
      <c r="AT539" s="34"/>
      <c r="AU539" s="47"/>
      <c r="AV539" s="48"/>
    </row>
    <row r="540" spans="20:48" x14ac:dyDescent="0.3">
      <c r="T540" s="33"/>
      <c r="U540" s="33"/>
      <c r="V540" s="33"/>
      <c r="W540" s="33"/>
      <c r="X540" s="33"/>
      <c r="Y540" s="33"/>
      <c r="Z540" s="33"/>
      <c r="AA540" s="33"/>
      <c r="AB540" s="33"/>
      <c r="AC540" s="33"/>
      <c r="AD540" s="33"/>
      <c r="AE540" s="33"/>
      <c r="AF540" s="33"/>
      <c r="AG540" s="46"/>
      <c r="AH540" s="46"/>
      <c r="AI540" s="46"/>
      <c r="AJ540" s="46"/>
      <c r="AK540" s="46"/>
      <c r="AL540" s="46"/>
      <c r="AM540" s="46"/>
      <c r="AN540" s="46"/>
      <c r="AO540" s="46"/>
      <c r="AP540" s="46"/>
      <c r="AQ540" s="46"/>
      <c r="AR540" s="34"/>
      <c r="AS540" s="34"/>
      <c r="AT540" s="34"/>
      <c r="AU540" s="47"/>
      <c r="AV540" s="48"/>
    </row>
    <row r="541" spans="20:48" x14ac:dyDescent="0.3">
      <c r="T541" s="33"/>
      <c r="U541" s="33"/>
      <c r="V541" s="33"/>
      <c r="W541" s="33"/>
      <c r="X541" s="33"/>
      <c r="Y541" s="33"/>
      <c r="Z541" s="33"/>
      <c r="AA541" s="33"/>
      <c r="AB541" s="33"/>
      <c r="AC541" s="33"/>
      <c r="AD541" s="33"/>
      <c r="AE541" s="33"/>
      <c r="AF541" s="33"/>
      <c r="AG541" s="46"/>
      <c r="AH541" s="46"/>
      <c r="AI541" s="46"/>
      <c r="AJ541" s="46"/>
      <c r="AK541" s="46"/>
      <c r="AL541" s="46"/>
      <c r="AM541" s="46"/>
      <c r="AN541" s="46"/>
      <c r="AO541" s="46"/>
      <c r="AP541" s="46"/>
      <c r="AQ541" s="46"/>
      <c r="AR541" s="34"/>
      <c r="AS541" s="34"/>
      <c r="AT541" s="34"/>
      <c r="AU541" s="47"/>
      <c r="AV541" s="48"/>
    </row>
    <row r="542" spans="20:48" x14ac:dyDescent="0.3">
      <c r="T542" s="33"/>
      <c r="U542" s="33"/>
      <c r="V542" s="33"/>
      <c r="W542" s="33"/>
      <c r="X542" s="33"/>
      <c r="Y542" s="33"/>
      <c r="Z542" s="33"/>
      <c r="AA542" s="33"/>
      <c r="AB542" s="33"/>
      <c r="AC542" s="33"/>
      <c r="AD542" s="33"/>
      <c r="AE542" s="33"/>
      <c r="AF542" s="33"/>
      <c r="AG542" s="46"/>
      <c r="AH542" s="46"/>
      <c r="AI542" s="46"/>
      <c r="AJ542" s="46"/>
      <c r="AK542" s="46"/>
      <c r="AL542" s="46"/>
      <c r="AM542" s="46"/>
      <c r="AN542" s="46"/>
      <c r="AO542" s="46"/>
      <c r="AP542" s="46"/>
      <c r="AQ542" s="46"/>
      <c r="AR542" s="34"/>
      <c r="AS542" s="34"/>
      <c r="AT542" s="34"/>
      <c r="AU542" s="47"/>
      <c r="AV542" s="48"/>
    </row>
    <row r="543" spans="20:48" x14ac:dyDescent="0.3">
      <c r="T543" s="33"/>
      <c r="U543" s="33"/>
      <c r="V543" s="33"/>
      <c r="W543" s="33"/>
      <c r="X543" s="33"/>
      <c r="Y543" s="33"/>
      <c r="Z543" s="33"/>
      <c r="AA543" s="33"/>
      <c r="AB543" s="33"/>
      <c r="AC543" s="33"/>
      <c r="AD543" s="33"/>
      <c r="AE543" s="33"/>
      <c r="AF543" s="33"/>
      <c r="AG543" s="46"/>
      <c r="AH543" s="46"/>
      <c r="AI543" s="46"/>
      <c r="AJ543" s="46"/>
      <c r="AK543" s="46"/>
      <c r="AL543" s="46"/>
      <c r="AM543" s="46"/>
      <c r="AN543" s="46"/>
      <c r="AO543" s="46"/>
      <c r="AP543" s="46"/>
      <c r="AQ543" s="46"/>
      <c r="AR543" s="34"/>
      <c r="AS543" s="34"/>
      <c r="AT543" s="34"/>
      <c r="AU543" s="47"/>
      <c r="AV543" s="48"/>
    </row>
    <row r="544" spans="20:48" x14ac:dyDescent="0.3">
      <c r="T544" s="33"/>
      <c r="U544" s="33"/>
      <c r="V544" s="33"/>
      <c r="W544" s="33"/>
      <c r="X544" s="33"/>
      <c r="Y544" s="33"/>
      <c r="Z544" s="33"/>
      <c r="AA544" s="33"/>
      <c r="AB544" s="33"/>
      <c r="AC544" s="33"/>
      <c r="AD544" s="33"/>
      <c r="AE544" s="33"/>
      <c r="AF544" s="33"/>
      <c r="AG544" s="46"/>
      <c r="AH544" s="46"/>
      <c r="AI544" s="46"/>
      <c r="AJ544" s="46"/>
      <c r="AK544" s="46"/>
      <c r="AL544" s="46"/>
      <c r="AM544" s="46"/>
      <c r="AN544" s="46"/>
      <c r="AO544" s="46"/>
      <c r="AP544" s="46"/>
      <c r="AQ544" s="46"/>
      <c r="AR544" s="34"/>
      <c r="AS544" s="34"/>
      <c r="AT544" s="34"/>
      <c r="AU544" s="47"/>
      <c r="AV544" s="48"/>
    </row>
    <row r="545" spans="20:48" x14ac:dyDescent="0.3">
      <c r="T545" s="33"/>
      <c r="U545" s="33"/>
      <c r="V545" s="33"/>
      <c r="W545" s="33"/>
      <c r="X545" s="33"/>
      <c r="Y545" s="33"/>
      <c r="Z545" s="33"/>
      <c r="AA545" s="33"/>
      <c r="AB545" s="33"/>
      <c r="AC545" s="33"/>
      <c r="AD545" s="33"/>
      <c r="AE545" s="33"/>
      <c r="AF545" s="33"/>
      <c r="AG545" s="46"/>
      <c r="AH545" s="46"/>
      <c r="AI545" s="46"/>
      <c r="AJ545" s="46"/>
      <c r="AK545" s="46"/>
      <c r="AL545" s="46"/>
      <c r="AM545" s="46"/>
      <c r="AN545" s="46"/>
      <c r="AO545" s="46"/>
      <c r="AP545" s="46"/>
      <c r="AQ545" s="46"/>
      <c r="AR545" s="34"/>
      <c r="AS545" s="34"/>
      <c r="AT545" s="34"/>
      <c r="AU545" s="47"/>
      <c r="AV545" s="48"/>
    </row>
    <row r="546" spans="20:48" x14ac:dyDescent="0.3">
      <c r="T546" s="33"/>
      <c r="U546" s="33"/>
      <c r="V546" s="33"/>
      <c r="W546" s="33"/>
      <c r="X546" s="33"/>
      <c r="Y546" s="33"/>
      <c r="Z546" s="33"/>
      <c r="AA546" s="33"/>
      <c r="AB546" s="33"/>
      <c r="AC546" s="33"/>
      <c r="AD546" s="33"/>
      <c r="AE546" s="33"/>
      <c r="AF546" s="33"/>
      <c r="AG546" s="46"/>
      <c r="AH546" s="46"/>
      <c r="AI546" s="46"/>
      <c r="AJ546" s="46"/>
      <c r="AK546" s="46"/>
      <c r="AL546" s="46"/>
      <c r="AM546" s="46"/>
      <c r="AN546" s="46"/>
      <c r="AO546" s="46"/>
      <c r="AP546" s="46"/>
      <c r="AQ546" s="46"/>
      <c r="AR546" s="34"/>
      <c r="AS546" s="34"/>
      <c r="AT546" s="34"/>
      <c r="AU546" s="47"/>
      <c r="AV546" s="48"/>
    </row>
    <row r="547" spans="20:48" x14ac:dyDescent="0.3">
      <c r="T547" s="33"/>
      <c r="U547" s="33"/>
      <c r="V547" s="33"/>
      <c r="W547" s="33"/>
      <c r="X547" s="33"/>
      <c r="Y547" s="33"/>
      <c r="Z547" s="33"/>
      <c r="AA547" s="33"/>
      <c r="AB547" s="33"/>
      <c r="AC547" s="33"/>
      <c r="AD547" s="33"/>
      <c r="AE547" s="33"/>
      <c r="AF547" s="33"/>
      <c r="AG547" s="46"/>
      <c r="AH547" s="46"/>
      <c r="AI547" s="46"/>
      <c r="AJ547" s="46"/>
      <c r="AK547" s="46"/>
      <c r="AL547" s="46"/>
      <c r="AM547" s="46"/>
      <c r="AN547" s="46"/>
      <c r="AO547" s="46"/>
      <c r="AP547" s="46"/>
      <c r="AQ547" s="46"/>
      <c r="AR547" s="34"/>
      <c r="AS547" s="34"/>
      <c r="AT547" s="34"/>
      <c r="AU547" s="47"/>
      <c r="AV547" s="48"/>
    </row>
    <row r="548" spans="20:48" x14ac:dyDescent="0.3">
      <c r="T548" s="33"/>
      <c r="U548" s="33"/>
      <c r="V548" s="33"/>
      <c r="W548" s="33"/>
      <c r="X548" s="33"/>
      <c r="Y548" s="33"/>
      <c r="Z548" s="33"/>
      <c r="AA548" s="33"/>
      <c r="AB548" s="33"/>
      <c r="AC548" s="33"/>
      <c r="AD548" s="33"/>
      <c r="AE548" s="33"/>
      <c r="AF548" s="33"/>
      <c r="AG548" s="46"/>
      <c r="AH548" s="46"/>
      <c r="AI548" s="46"/>
      <c r="AJ548" s="46"/>
      <c r="AK548" s="46"/>
      <c r="AL548" s="46"/>
      <c r="AM548" s="46"/>
      <c r="AN548" s="46"/>
      <c r="AO548" s="46"/>
      <c r="AP548" s="46"/>
      <c r="AQ548" s="46"/>
      <c r="AR548" s="34"/>
      <c r="AS548" s="34"/>
      <c r="AT548" s="34"/>
      <c r="AU548" s="47"/>
      <c r="AV548" s="48"/>
    </row>
    <row r="549" spans="20:48" x14ac:dyDescent="0.3">
      <c r="T549" s="33"/>
      <c r="U549" s="33"/>
      <c r="V549" s="33"/>
      <c r="W549" s="33"/>
      <c r="X549" s="33"/>
      <c r="Y549" s="33"/>
      <c r="Z549" s="33"/>
      <c r="AA549" s="33"/>
      <c r="AB549" s="33"/>
      <c r="AC549" s="33"/>
      <c r="AD549" s="33"/>
      <c r="AE549" s="33"/>
      <c r="AF549" s="33"/>
      <c r="AG549" s="46"/>
      <c r="AH549" s="46"/>
      <c r="AI549" s="46"/>
      <c r="AJ549" s="46"/>
      <c r="AK549" s="46"/>
      <c r="AL549" s="46"/>
      <c r="AM549" s="46"/>
      <c r="AN549" s="46"/>
      <c r="AO549" s="46"/>
      <c r="AP549" s="46"/>
      <c r="AQ549" s="46"/>
      <c r="AR549" s="34"/>
      <c r="AS549" s="34"/>
      <c r="AT549" s="34"/>
      <c r="AU549" s="47"/>
      <c r="AV549" s="48"/>
    </row>
    <row r="550" spans="20:48" x14ac:dyDescent="0.3">
      <c r="T550" s="33"/>
      <c r="U550" s="33"/>
      <c r="V550" s="33"/>
      <c r="W550" s="33"/>
      <c r="X550" s="33"/>
      <c r="Y550" s="33"/>
      <c r="Z550" s="33"/>
      <c r="AA550" s="33"/>
      <c r="AB550" s="33"/>
      <c r="AC550" s="33"/>
      <c r="AD550" s="33"/>
      <c r="AE550" s="33"/>
      <c r="AF550" s="33"/>
      <c r="AG550" s="46"/>
      <c r="AH550" s="46"/>
      <c r="AI550" s="46"/>
      <c r="AJ550" s="46"/>
      <c r="AK550" s="46"/>
      <c r="AL550" s="46"/>
      <c r="AM550" s="46"/>
      <c r="AN550" s="46"/>
      <c r="AO550" s="46"/>
      <c r="AP550" s="46"/>
      <c r="AQ550" s="46"/>
      <c r="AR550" s="34"/>
      <c r="AS550" s="34"/>
      <c r="AT550" s="34"/>
      <c r="AU550" s="47"/>
      <c r="AV550" s="48"/>
    </row>
    <row r="551" spans="20:48" x14ac:dyDescent="0.3">
      <c r="T551" s="33"/>
      <c r="U551" s="33"/>
      <c r="V551" s="33"/>
      <c r="W551" s="33"/>
      <c r="X551" s="33"/>
      <c r="Y551" s="33"/>
      <c r="Z551" s="33"/>
      <c r="AA551" s="33"/>
      <c r="AB551" s="33"/>
      <c r="AC551" s="33"/>
      <c r="AD551" s="33"/>
      <c r="AE551" s="33"/>
      <c r="AF551" s="33"/>
      <c r="AG551" s="46"/>
      <c r="AH551" s="46"/>
      <c r="AI551" s="46"/>
      <c r="AJ551" s="46"/>
      <c r="AK551" s="46"/>
      <c r="AL551" s="46"/>
      <c r="AM551" s="46"/>
      <c r="AN551" s="46"/>
      <c r="AO551" s="46"/>
      <c r="AP551" s="46"/>
      <c r="AQ551" s="46"/>
      <c r="AR551" s="34"/>
      <c r="AS551" s="34"/>
      <c r="AT551" s="34"/>
      <c r="AU551" s="47"/>
      <c r="AV551" s="48"/>
    </row>
    <row r="552" spans="20:48" x14ac:dyDescent="0.3">
      <c r="T552" s="33"/>
      <c r="U552" s="33"/>
      <c r="V552" s="33"/>
      <c r="W552" s="33"/>
      <c r="X552" s="33"/>
      <c r="Y552" s="33"/>
      <c r="Z552" s="33"/>
      <c r="AA552" s="33"/>
      <c r="AB552" s="33"/>
      <c r="AC552" s="33"/>
      <c r="AD552" s="33"/>
      <c r="AE552" s="33"/>
      <c r="AF552" s="33"/>
      <c r="AG552" s="46"/>
      <c r="AH552" s="46"/>
      <c r="AI552" s="46"/>
      <c r="AJ552" s="46"/>
      <c r="AK552" s="46"/>
      <c r="AL552" s="46"/>
      <c r="AM552" s="46"/>
      <c r="AN552" s="46"/>
      <c r="AO552" s="46"/>
      <c r="AP552" s="46"/>
      <c r="AQ552" s="46"/>
      <c r="AR552" s="34"/>
      <c r="AS552" s="34"/>
      <c r="AT552" s="34"/>
      <c r="AU552" s="47"/>
      <c r="AV552" s="48"/>
    </row>
    <row r="553" spans="20:48" x14ac:dyDescent="0.3">
      <c r="T553" s="33"/>
      <c r="U553" s="33"/>
      <c r="V553" s="33"/>
      <c r="W553" s="33"/>
      <c r="X553" s="33"/>
      <c r="Y553" s="33"/>
      <c r="Z553" s="33"/>
      <c r="AA553" s="33"/>
      <c r="AB553" s="33"/>
      <c r="AC553" s="33"/>
      <c r="AD553" s="33"/>
      <c r="AE553" s="33"/>
      <c r="AF553" s="33"/>
      <c r="AG553" s="46"/>
      <c r="AH553" s="46"/>
      <c r="AI553" s="46"/>
      <c r="AJ553" s="46"/>
      <c r="AK553" s="46"/>
      <c r="AL553" s="46"/>
      <c r="AM553" s="46"/>
      <c r="AN553" s="46"/>
      <c r="AO553" s="46"/>
      <c r="AP553" s="46"/>
      <c r="AQ553" s="46"/>
      <c r="AR553" s="34"/>
      <c r="AS553" s="34"/>
      <c r="AT553" s="34"/>
      <c r="AU553" s="47"/>
      <c r="AV553" s="48"/>
    </row>
    <row r="554" spans="20:48" x14ac:dyDescent="0.3">
      <c r="T554" s="33"/>
      <c r="U554" s="33"/>
      <c r="V554" s="33"/>
      <c r="W554" s="33"/>
      <c r="X554" s="33"/>
      <c r="Y554" s="33"/>
      <c r="Z554" s="33"/>
      <c r="AA554" s="33"/>
      <c r="AB554" s="33"/>
      <c r="AC554" s="33"/>
      <c r="AD554" s="33"/>
      <c r="AE554" s="33"/>
      <c r="AF554" s="33"/>
      <c r="AG554" s="46"/>
      <c r="AH554" s="46"/>
      <c r="AI554" s="46"/>
      <c r="AJ554" s="46"/>
      <c r="AK554" s="46"/>
      <c r="AL554" s="46"/>
      <c r="AM554" s="46"/>
      <c r="AN554" s="46"/>
      <c r="AO554" s="46"/>
      <c r="AP554" s="46"/>
      <c r="AQ554" s="46"/>
      <c r="AR554" s="34"/>
      <c r="AS554" s="34"/>
      <c r="AT554" s="34"/>
      <c r="AU554" s="47"/>
      <c r="AV554" s="48"/>
    </row>
    <row r="555" spans="20:48" x14ac:dyDescent="0.3">
      <c r="T555" s="33"/>
      <c r="U555" s="33"/>
      <c r="V555" s="33"/>
      <c r="W555" s="33"/>
      <c r="X555" s="33"/>
      <c r="Y555" s="33"/>
      <c r="Z555" s="33"/>
      <c r="AA555" s="33"/>
      <c r="AB555" s="33"/>
      <c r="AC555" s="33"/>
      <c r="AD555" s="33"/>
      <c r="AE555" s="33"/>
      <c r="AF555" s="33"/>
      <c r="AG555" s="46"/>
      <c r="AH555" s="46"/>
      <c r="AI555" s="46"/>
      <c r="AJ555" s="46"/>
      <c r="AK555" s="46"/>
      <c r="AL555" s="46"/>
      <c r="AM555" s="46"/>
      <c r="AN555" s="46"/>
      <c r="AO555" s="46"/>
      <c r="AP555" s="46"/>
      <c r="AQ555" s="46"/>
      <c r="AR555" s="34"/>
      <c r="AS555" s="34"/>
      <c r="AT555" s="34"/>
      <c r="AU555" s="47"/>
      <c r="AV555" s="48"/>
    </row>
    <row r="556" spans="20:48" x14ac:dyDescent="0.3">
      <c r="T556" s="33"/>
      <c r="U556" s="33"/>
      <c r="V556" s="33"/>
      <c r="W556" s="33"/>
      <c r="X556" s="33"/>
      <c r="Y556" s="33"/>
      <c r="Z556" s="33"/>
      <c r="AA556" s="33"/>
      <c r="AB556" s="33"/>
      <c r="AC556" s="33"/>
      <c r="AD556" s="33"/>
      <c r="AE556" s="33"/>
      <c r="AF556" s="33"/>
      <c r="AG556" s="46"/>
      <c r="AH556" s="46"/>
      <c r="AI556" s="46"/>
      <c r="AJ556" s="46"/>
      <c r="AK556" s="46"/>
      <c r="AL556" s="46"/>
      <c r="AM556" s="46"/>
      <c r="AN556" s="46"/>
      <c r="AO556" s="46"/>
      <c r="AP556" s="46"/>
      <c r="AQ556" s="46"/>
      <c r="AR556" s="34"/>
      <c r="AS556" s="34"/>
      <c r="AT556" s="34"/>
      <c r="AU556" s="47"/>
      <c r="AV556" s="48"/>
    </row>
    <row r="557" spans="20:48" x14ac:dyDescent="0.3">
      <c r="T557" s="33"/>
      <c r="U557" s="33"/>
      <c r="V557" s="33"/>
      <c r="W557" s="33"/>
      <c r="X557" s="33"/>
      <c r="Y557" s="33"/>
      <c r="Z557" s="33"/>
      <c r="AA557" s="33"/>
      <c r="AB557" s="33"/>
      <c r="AC557" s="33"/>
      <c r="AD557" s="33"/>
      <c r="AE557" s="33"/>
      <c r="AF557" s="33"/>
      <c r="AG557" s="46"/>
      <c r="AH557" s="46"/>
      <c r="AI557" s="46"/>
      <c r="AJ557" s="46"/>
      <c r="AK557" s="46"/>
      <c r="AL557" s="46"/>
      <c r="AM557" s="46"/>
      <c r="AN557" s="46"/>
      <c r="AO557" s="46"/>
      <c r="AP557" s="46"/>
      <c r="AQ557" s="46"/>
      <c r="AR557" s="34"/>
      <c r="AS557" s="34"/>
      <c r="AT557" s="34"/>
      <c r="AU557" s="47"/>
      <c r="AV557" s="48"/>
    </row>
    <row r="558" spans="20:48" x14ac:dyDescent="0.3">
      <c r="T558" s="33"/>
      <c r="U558" s="33"/>
      <c r="V558" s="33"/>
      <c r="W558" s="33"/>
      <c r="X558" s="33"/>
      <c r="Y558" s="33"/>
      <c r="Z558" s="33"/>
      <c r="AA558" s="33"/>
      <c r="AB558" s="33"/>
      <c r="AC558" s="33"/>
      <c r="AD558" s="33"/>
      <c r="AE558" s="33"/>
      <c r="AF558" s="33"/>
      <c r="AG558" s="46"/>
      <c r="AH558" s="46"/>
      <c r="AI558" s="46"/>
      <c r="AJ558" s="46"/>
      <c r="AK558" s="46"/>
      <c r="AL558" s="46"/>
      <c r="AM558" s="46"/>
      <c r="AN558" s="46"/>
      <c r="AO558" s="46"/>
      <c r="AP558" s="46"/>
      <c r="AQ558" s="46"/>
      <c r="AR558" s="34"/>
      <c r="AS558" s="34"/>
      <c r="AT558" s="34"/>
      <c r="AU558" s="47"/>
      <c r="AV558" s="48"/>
    </row>
    <row r="559" spans="20:48" x14ac:dyDescent="0.3">
      <c r="T559" s="33"/>
      <c r="U559" s="33"/>
      <c r="V559" s="33"/>
      <c r="W559" s="33"/>
      <c r="X559" s="33"/>
      <c r="Y559" s="33"/>
      <c r="Z559" s="33"/>
      <c r="AA559" s="33"/>
      <c r="AB559" s="33"/>
      <c r="AC559" s="33"/>
      <c r="AD559" s="33"/>
      <c r="AE559" s="33"/>
      <c r="AF559" s="33"/>
      <c r="AG559" s="46"/>
      <c r="AH559" s="46"/>
      <c r="AI559" s="46"/>
      <c r="AJ559" s="46"/>
      <c r="AK559" s="46"/>
      <c r="AL559" s="46"/>
      <c r="AM559" s="46"/>
      <c r="AN559" s="46"/>
      <c r="AO559" s="46"/>
      <c r="AP559" s="46"/>
      <c r="AQ559" s="46"/>
      <c r="AR559" s="34"/>
      <c r="AS559" s="34"/>
      <c r="AT559" s="34"/>
      <c r="AU559" s="47"/>
      <c r="AV559" s="48"/>
    </row>
    <row r="560" spans="20:48" x14ac:dyDescent="0.3">
      <c r="T560" s="33"/>
      <c r="U560" s="33"/>
      <c r="V560" s="33"/>
      <c r="W560" s="33"/>
      <c r="X560" s="33"/>
      <c r="Y560" s="33"/>
      <c r="Z560" s="33"/>
      <c r="AA560" s="33"/>
      <c r="AB560" s="33"/>
      <c r="AC560" s="33"/>
      <c r="AD560" s="33"/>
      <c r="AE560" s="33"/>
      <c r="AF560" s="33"/>
      <c r="AG560" s="46"/>
      <c r="AH560" s="46"/>
      <c r="AI560" s="46"/>
      <c r="AJ560" s="46"/>
      <c r="AK560" s="46"/>
      <c r="AL560" s="46"/>
      <c r="AM560" s="46"/>
      <c r="AN560" s="46"/>
      <c r="AO560" s="46"/>
      <c r="AP560" s="46"/>
      <c r="AQ560" s="46"/>
      <c r="AR560" s="34"/>
      <c r="AS560" s="34"/>
      <c r="AT560" s="34"/>
      <c r="AU560" s="47"/>
      <c r="AV560" s="48"/>
    </row>
    <row r="561" spans="20:48" x14ac:dyDescent="0.3">
      <c r="T561" s="33"/>
      <c r="U561" s="33"/>
      <c r="V561" s="33"/>
      <c r="W561" s="33"/>
      <c r="X561" s="33"/>
      <c r="Y561" s="33"/>
      <c r="Z561" s="33"/>
      <c r="AA561" s="33"/>
      <c r="AB561" s="33"/>
      <c r="AC561" s="33"/>
      <c r="AD561" s="33"/>
      <c r="AE561" s="33"/>
      <c r="AF561" s="33"/>
      <c r="AG561" s="46"/>
      <c r="AH561" s="46"/>
      <c r="AI561" s="46"/>
      <c r="AJ561" s="46"/>
      <c r="AK561" s="46"/>
      <c r="AL561" s="46"/>
      <c r="AM561" s="46"/>
      <c r="AN561" s="46"/>
      <c r="AO561" s="46"/>
      <c r="AP561" s="46"/>
      <c r="AQ561" s="46"/>
      <c r="AR561" s="34"/>
      <c r="AS561" s="34"/>
      <c r="AT561" s="34"/>
      <c r="AU561" s="47"/>
      <c r="AV561" s="48"/>
    </row>
    <row r="562" spans="20:48" x14ac:dyDescent="0.3">
      <c r="T562" s="33"/>
      <c r="U562" s="33"/>
      <c r="V562" s="33"/>
      <c r="W562" s="33"/>
      <c r="X562" s="33"/>
      <c r="Y562" s="33"/>
      <c r="Z562" s="33"/>
      <c r="AA562" s="33"/>
      <c r="AB562" s="33"/>
      <c r="AC562" s="33"/>
      <c r="AD562" s="33"/>
      <c r="AE562" s="33"/>
      <c r="AF562" s="33"/>
      <c r="AG562" s="46"/>
      <c r="AH562" s="46"/>
      <c r="AI562" s="46"/>
      <c r="AJ562" s="46"/>
      <c r="AK562" s="46"/>
      <c r="AL562" s="46"/>
      <c r="AM562" s="46"/>
      <c r="AN562" s="46"/>
      <c r="AO562" s="46"/>
      <c r="AP562" s="46"/>
      <c r="AQ562" s="46"/>
      <c r="AR562" s="34"/>
      <c r="AS562" s="34"/>
      <c r="AT562" s="34"/>
      <c r="AU562" s="47"/>
      <c r="AV562" s="48"/>
    </row>
    <row r="563" spans="20:48" x14ac:dyDescent="0.3">
      <c r="T563" s="33"/>
      <c r="U563" s="33"/>
      <c r="V563" s="33"/>
      <c r="W563" s="33"/>
      <c r="X563" s="33"/>
      <c r="Y563" s="33"/>
      <c r="Z563" s="33"/>
      <c r="AA563" s="33"/>
      <c r="AB563" s="33"/>
      <c r="AC563" s="33"/>
      <c r="AD563" s="33"/>
      <c r="AE563" s="33"/>
      <c r="AF563" s="33"/>
      <c r="AG563" s="46"/>
      <c r="AH563" s="46"/>
      <c r="AI563" s="46"/>
      <c r="AJ563" s="46"/>
      <c r="AK563" s="46"/>
      <c r="AL563" s="46"/>
      <c r="AM563" s="46"/>
      <c r="AN563" s="46"/>
      <c r="AO563" s="46"/>
      <c r="AP563" s="46"/>
      <c r="AQ563" s="46"/>
      <c r="AR563" s="34"/>
      <c r="AS563" s="34"/>
      <c r="AT563" s="34"/>
      <c r="AU563" s="47"/>
      <c r="AV563" s="48"/>
    </row>
    <row r="564" spans="20:48" x14ac:dyDescent="0.3">
      <c r="T564" s="33"/>
      <c r="U564" s="33"/>
      <c r="V564" s="33"/>
      <c r="W564" s="33"/>
      <c r="X564" s="33"/>
      <c r="Y564" s="33"/>
      <c r="Z564" s="33"/>
      <c r="AA564" s="33"/>
      <c r="AB564" s="33"/>
      <c r="AC564" s="33"/>
      <c r="AD564" s="33"/>
      <c r="AE564" s="33"/>
      <c r="AF564" s="33"/>
      <c r="AG564" s="46"/>
      <c r="AH564" s="46"/>
      <c r="AI564" s="46"/>
      <c r="AJ564" s="46"/>
      <c r="AK564" s="46"/>
      <c r="AL564" s="46"/>
      <c r="AM564" s="46"/>
      <c r="AN564" s="46"/>
      <c r="AO564" s="46"/>
      <c r="AP564" s="46"/>
      <c r="AQ564" s="46"/>
      <c r="AR564" s="34"/>
      <c r="AS564" s="34"/>
      <c r="AT564" s="34"/>
      <c r="AU564" s="47"/>
      <c r="AV564" s="48"/>
    </row>
    <row r="565" spans="20:48" x14ac:dyDescent="0.3">
      <c r="T565" s="33"/>
      <c r="U565" s="33"/>
      <c r="V565" s="33"/>
      <c r="W565" s="33"/>
      <c r="X565" s="33"/>
      <c r="Y565" s="33"/>
      <c r="Z565" s="33"/>
      <c r="AA565" s="33"/>
      <c r="AB565" s="33"/>
      <c r="AC565" s="33"/>
      <c r="AD565" s="33"/>
      <c r="AE565" s="33"/>
      <c r="AF565" s="33"/>
      <c r="AG565" s="46"/>
      <c r="AH565" s="46"/>
      <c r="AI565" s="46"/>
      <c r="AJ565" s="46"/>
      <c r="AK565" s="46"/>
      <c r="AL565" s="46"/>
      <c r="AM565" s="46"/>
      <c r="AN565" s="46"/>
      <c r="AO565" s="46"/>
      <c r="AP565" s="46"/>
      <c r="AQ565" s="46"/>
      <c r="AR565" s="34"/>
      <c r="AS565" s="34"/>
      <c r="AT565" s="34"/>
      <c r="AU565" s="47"/>
      <c r="AV565" s="48"/>
    </row>
    <row r="566" spans="20:48" x14ac:dyDescent="0.3">
      <c r="T566" s="33"/>
      <c r="U566" s="33"/>
      <c r="V566" s="33"/>
      <c r="W566" s="33"/>
      <c r="X566" s="33"/>
      <c r="Y566" s="33"/>
      <c r="Z566" s="33"/>
      <c r="AA566" s="33"/>
      <c r="AB566" s="33"/>
      <c r="AC566" s="33"/>
      <c r="AD566" s="33"/>
      <c r="AE566" s="33"/>
      <c r="AF566" s="33"/>
      <c r="AG566" s="46"/>
      <c r="AH566" s="46"/>
      <c r="AI566" s="46"/>
      <c r="AJ566" s="46"/>
      <c r="AK566" s="46"/>
      <c r="AL566" s="46"/>
      <c r="AM566" s="46"/>
      <c r="AN566" s="46"/>
      <c r="AO566" s="46"/>
      <c r="AP566" s="46"/>
      <c r="AQ566" s="46"/>
      <c r="AR566" s="34"/>
      <c r="AS566" s="34"/>
      <c r="AT566" s="34"/>
      <c r="AU566" s="47"/>
      <c r="AV566" s="48"/>
    </row>
    <row r="567" spans="20:48" x14ac:dyDescent="0.3">
      <c r="T567" s="33"/>
      <c r="U567" s="33"/>
      <c r="V567" s="33"/>
      <c r="W567" s="33"/>
      <c r="X567" s="33"/>
      <c r="Y567" s="33"/>
      <c r="Z567" s="33"/>
      <c r="AA567" s="33"/>
      <c r="AB567" s="33"/>
      <c r="AC567" s="33"/>
      <c r="AD567" s="33"/>
      <c r="AE567" s="33"/>
      <c r="AF567" s="33"/>
      <c r="AG567" s="46"/>
      <c r="AH567" s="46"/>
      <c r="AI567" s="46"/>
      <c r="AJ567" s="46"/>
      <c r="AK567" s="46"/>
      <c r="AL567" s="46"/>
      <c r="AM567" s="46"/>
      <c r="AN567" s="46"/>
      <c r="AO567" s="46"/>
      <c r="AP567" s="46"/>
      <c r="AQ567" s="46"/>
      <c r="AR567" s="34"/>
      <c r="AS567" s="34"/>
      <c r="AT567" s="34"/>
      <c r="AU567" s="47"/>
      <c r="AV567" s="48"/>
    </row>
  </sheetData>
  <sheetProtection algorithmName="SHA-512" hashValue="5NMv3CtKBa2/xTVT+oTEDfZzbOv5nNZ56OyxZNpKhBmqJwQmfQ9cP60HmumotfdbCNoiTjqYweTE2EgMeOuzwA==" saltValue="NcWzhCwSvq6fYTT8b00Wdw==" spinCount="100000" sheet="1" objects="1" scenarios="1"/>
  <mergeCells count="25">
    <mergeCell ref="G14:I14"/>
    <mergeCell ref="B42:D42"/>
    <mergeCell ref="B16:E16"/>
    <mergeCell ref="C13:E13"/>
    <mergeCell ref="B8:E8"/>
    <mergeCell ref="C9:E9"/>
    <mergeCell ref="C10:E10"/>
    <mergeCell ref="C11:E11"/>
    <mergeCell ref="C12:E12"/>
    <mergeCell ref="AG28:AQ28"/>
    <mergeCell ref="G8:I8"/>
    <mergeCell ref="H12:I12"/>
    <mergeCell ref="AS28:AX28"/>
    <mergeCell ref="M28:X28"/>
    <mergeCell ref="H15:I15"/>
    <mergeCell ref="H16:I16"/>
    <mergeCell ref="H17:I17"/>
    <mergeCell ref="H18:I18"/>
    <mergeCell ref="H19:I19"/>
    <mergeCell ref="H20:I20"/>
    <mergeCell ref="H21:I21"/>
    <mergeCell ref="H24:I24"/>
    <mergeCell ref="H25:I25"/>
    <mergeCell ref="H26:I26"/>
    <mergeCell ref="G23:I23"/>
  </mergeCells>
  <dataValidations count="4">
    <dataValidation type="list" allowBlank="1" showInputMessage="1" showErrorMessage="1" sqref="H18 J13">
      <formula1>"AAA, AA, A, BBB, BB, B, CCC"</formula1>
    </dataValidation>
    <dataValidation type="list" allowBlank="1" showInputMessage="1" showErrorMessage="1" sqref="H15">
      <formula1>"CEM, SA-CCR, IMM"</formula1>
    </dataValidation>
    <dataValidation type="list" allowBlank="1" showInputMessage="1" showErrorMessage="1" sqref="H25">
      <formula1>"NONE, INDEX (DELTA), INDEX (CAPITAL), SINGLE-NAME (DELTA), SINGLE-NAME (CAPITAL)"</formula1>
    </dataValidation>
    <dataValidation type="list" allowBlank="1" showInputMessage="1" showErrorMessage="1" sqref="H24">
      <formula1>"SUM, WORSTOF"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XFD8143"/>
  <sheetViews>
    <sheetView showGridLines="0" workbookViewId="0">
      <selection activeCell="B10" sqref="B10"/>
    </sheetView>
  </sheetViews>
  <sheetFormatPr defaultRowHeight="14.4" x14ac:dyDescent="0.3"/>
  <cols>
    <col min="3" max="3" width="9.5546875" bestFit="1" customWidth="1"/>
    <col min="4" max="4" width="13.33203125" bestFit="1" customWidth="1"/>
    <col min="10" max="10" width="11.88671875" bestFit="1" customWidth="1"/>
    <col min="11" max="12" width="14.6640625" bestFit="1" customWidth="1"/>
  </cols>
  <sheetData>
    <row r="1" spans="2:12 16384:16384" x14ac:dyDescent="0.3">
      <c r="E1" s="5"/>
    </row>
    <row r="2" spans="2:12 16384:16384" ht="21" x14ac:dyDescent="0.4">
      <c r="B2" s="10" t="s">
        <v>99</v>
      </c>
      <c r="D2" s="5"/>
      <c r="E2" s="5"/>
      <c r="K2" s="5"/>
      <c r="L2" s="5"/>
    </row>
    <row r="3" spans="2:12 16384:16384" x14ac:dyDescent="0.3">
      <c r="D3" s="5"/>
      <c r="E3" s="5"/>
      <c r="G3" s="4"/>
      <c r="H3" s="4"/>
      <c r="K3" s="5"/>
      <c r="L3" s="5"/>
    </row>
    <row r="4" spans="2:12 16384:16384" x14ac:dyDescent="0.3">
      <c r="B4" t="s">
        <v>101</v>
      </c>
      <c r="D4" s="5"/>
      <c r="G4" s="4"/>
      <c r="H4" s="4"/>
      <c r="K4" s="5"/>
      <c r="L4" s="5"/>
    </row>
    <row r="5" spans="2:12 16384:16384" x14ac:dyDescent="0.3">
      <c r="B5" t="s">
        <v>102</v>
      </c>
      <c r="G5" s="4"/>
      <c r="H5" s="4"/>
    </row>
    <row r="6" spans="2:12 16384:16384" x14ac:dyDescent="0.3">
      <c r="B6" t="s">
        <v>100</v>
      </c>
      <c r="G6" s="4"/>
      <c r="H6" s="4"/>
      <c r="K6" s="5"/>
    </row>
    <row r="7" spans="2:12 16384:16384" x14ac:dyDescent="0.3">
      <c r="D7" s="2"/>
      <c r="G7" s="4"/>
      <c r="H7" s="4"/>
      <c r="K7" s="1"/>
      <c r="L7" s="1"/>
    </row>
    <row r="8" spans="2:12 16384:16384" x14ac:dyDescent="0.3">
      <c r="B8" t="s">
        <v>103</v>
      </c>
      <c r="G8" s="4"/>
      <c r="H8" s="4"/>
      <c r="K8" s="9"/>
    </row>
    <row r="9" spans="2:12 16384:16384" x14ac:dyDescent="0.3">
      <c r="G9" s="4"/>
      <c r="H9" s="4"/>
      <c r="K9" s="2"/>
      <c r="L9" s="2"/>
    </row>
    <row r="10" spans="2:12 16384:16384" x14ac:dyDescent="0.3">
      <c r="B10" t="s">
        <v>104</v>
      </c>
      <c r="G10" s="4"/>
      <c r="H10" s="4"/>
      <c r="K10" s="8"/>
      <c r="L10" s="1"/>
    </row>
    <row r="11" spans="2:12 16384:16384" x14ac:dyDescent="0.3">
      <c r="G11" s="4"/>
      <c r="H11" s="4"/>
      <c r="K11" s="8"/>
      <c r="L11" s="8"/>
    </row>
    <row r="12" spans="2:12 16384:16384" x14ac:dyDescent="0.3">
      <c r="C12" s="4"/>
      <c r="D12" s="5"/>
      <c r="G12" s="4"/>
      <c r="H12" s="4"/>
      <c r="K12" s="8"/>
      <c r="L12" s="8"/>
      <c r="XFD12" s="8">
        <f>XFD2-XFD11</f>
        <v>0</v>
      </c>
    </row>
    <row r="13" spans="2:12 16384:16384" x14ac:dyDescent="0.3">
      <c r="C13" s="4"/>
      <c r="D13" s="5"/>
      <c r="G13" s="4"/>
      <c r="H13" s="4"/>
    </row>
    <row r="14" spans="2:12 16384:16384" x14ac:dyDescent="0.3">
      <c r="G14" s="4"/>
      <c r="H14" s="4"/>
      <c r="K14" s="6"/>
    </row>
    <row r="15" spans="2:12 16384:16384" x14ac:dyDescent="0.3">
      <c r="D15" s="3"/>
      <c r="G15" s="4"/>
      <c r="H15" s="4"/>
    </row>
    <row r="16" spans="2:12 16384:16384" x14ac:dyDescent="0.3">
      <c r="G16" s="4"/>
      <c r="H16" s="4"/>
    </row>
    <row r="17" spans="3:8" x14ac:dyDescent="0.3">
      <c r="C17" s="4"/>
      <c r="D17" s="5"/>
      <c r="G17" s="4"/>
      <c r="H17" s="4"/>
    </row>
    <row r="18" spans="3:8" x14ac:dyDescent="0.3">
      <c r="C18" s="4"/>
      <c r="D18" s="5"/>
      <c r="G18" s="4"/>
      <c r="H18" s="4"/>
    </row>
    <row r="19" spans="3:8" x14ac:dyDescent="0.3">
      <c r="C19" s="4"/>
      <c r="D19" s="4"/>
      <c r="G19" s="4"/>
      <c r="H19" s="4"/>
    </row>
    <row r="20" spans="3:8" x14ac:dyDescent="0.3">
      <c r="C20" s="4"/>
      <c r="D20" s="7"/>
      <c r="G20" s="4"/>
      <c r="H20" s="4"/>
    </row>
    <row r="21" spans="3:8" x14ac:dyDescent="0.3">
      <c r="D21" s="7"/>
      <c r="G21" s="4"/>
      <c r="H21" s="4"/>
    </row>
    <row r="22" spans="3:8" x14ac:dyDescent="0.3">
      <c r="G22" s="4"/>
      <c r="H22" s="4"/>
    </row>
    <row r="23" spans="3:8" x14ac:dyDescent="0.3">
      <c r="G23" s="4"/>
      <c r="H23" s="4"/>
    </row>
    <row r="24" spans="3:8" x14ac:dyDescent="0.3">
      <c r="G24" s="4"/>
      <c r="H24" s="4"/>
    </row>
    <row r="25" spans="3:8" x14ac:dyDescent="0.3">
      <c r="G25" s="4"/>
      <c r="H25" s="4"/>
    </row>
    <row r="26" spans="3:8" x14ac:dyDescent="0.3">
      <c r="G26" s="4"/>
      <c r="H26" s="4"/>
    </row>
    <row r="27" spans="3:8" x14ac:dyDescent="0.3">
      <c r="G27" s="4"/>
      <c r="H27" s="4"/>
    </row>
    <row r="28" spans="3:8" x14ac:dyDescent="0.3">
      <c r="G28" s="4"/>
      <c r="H28" s="4"/>
    </row>
    <row r="29" spans="3:8" x14ac:dyDescent="0.3">
      <c r="G29" s="4"/>
      <c r="H29" s="4"/>
    </row>
    <row r="30" spans="3:8" x14ac:dyDescent="0.3">
      <c r="G30" s="4"/>
      <c r="H30" s="4"/>
    </row>
    <row r="31" spans="3:8" x14ac:dyDescent="0.3">
      <c r="G31" s="4"/>
      <c r="H31" s="4"/>
    </row>
    <row r="32" spans="3:8" x14ac:dyDescent="0.3">
      <c r="G32" s="4"/>
      <c r="H32" s="4"/>
    </row>
    <row r="33" spans="7:8" x14ac:dyDescent="0.3">
      <c r="G33" s="4"/>
      <c r="H33" s="4"/>
    </row>
    <row r="34" spans="7:8" x14ac:dyDescent="0.3">
      <c r="G34" s="4"/>
      <c r="H34" s="4"/>
    </row>
    <row r="35" spans="7:8" x14ac:dyDescent="0.3">
      <c r="G35" s="4"/>
      <c r="H35" s="4"/>
    </row>
    <row r="36" spans="7:8" x14ac:dyDescent="0.3">
      <c r="G36" s="4"/>
      <c r="H36" s="4"/>
    </row>
    <row r="37" spans="7:8" x14ac:dyDescent="0.3">
      <c r="G37" s="4"/>
      <c r="H37" s="4"/>
    </row>
    <row r="38" spans="7:8" x14ac:dyDescent="0.3">
      <c r="G38" s="4"/>
      <c r="H38" s="4"/>
    </row>
    <row r="39" spans="7:8" x14ac:dyDescent="0.3">
      <c r="G39" s="4"/>
      <c r="H39" s="4"/>
    </row>
    <row r="40" spans="7:8" x14ac:dyDescent="0.3">
      <c r="G40" s="4"/>
      <c r="H40" s="4"/>
    </row>
    <row r="41" spans="7:8" x14ac:dyDescent="0.3">
      <c r="G41" s="4"/>
      <c r="H41" s="4"/>
    </row>
    <row r="42" spans="7:8" x14ac:dyDescent="0.3">
      <c r="G42" s="4"/>
      <c r="H42" s="4"/>
    </row>
    <row r="43" spans="7:8" x14ac:dyDescent="0.3">
      <c r="G43" s="4"/>
      <c r="H43" s="4"/>
    </row>
    <row r="44" spans="7:8" x14ac:dyDescent="0.3">
      <c r="G44" s="4"/>
      <c r="H44" s="4"/>
    </row>
    <row r="45" spans="7:8" x14ac:dyDescent="0.3">
      <c r="G45" s="4"/>
      <c r="H45" s="4"/>
    </row>
    <row r="46" spans="7:8" x14ac:dyDescent="0.3">
      <c r="G46" s="4"/>
      <c r="H46" s="4"/>
    </row>
    <row r="47" spans="7:8" x14ac:dyDescent="0.3">
      <c r="G47" s="4"/>
      <c r="H47" s="4"/>
    </row>
    <row r="48" spans="7:8" x14ac:dyDescent="0.3">
      <c r="G48" s="4"/>
      <c r="H48" s="4"/>
    </row>
    <row r="49" spans="7:8" x14ac:dyDescent="0.3">
      <c r="G49" s="4"/>
      <c r="H49" s="4"/>
    </row>
    <row r="50" spans="7:8" x14ac:dyDescent="0.3">
      <c r="G50" s="4"/>
      <c r="H50" s="4"/>
    </row>
    <row r="51" spans="7:8" x14ac:dyDescent="0.3">
      <c r="G51" s="4"/>
      <c r="H51" s="4"/>
    </row>
    <row r="52" spans="7:8" x14ac:dyDescent="0.3">
      <c r="G52" s="4"/>
      <c r="H52" s="4"/>
    </row>
    <row r="53" spans="7:8" x14ac:dyDescent="0.3">
      <c r="G53" s="4"/>
      <c r="H53" s="4"/>
    </row>
    <row r="54" spans="7:8" x14ac:dyDescent="0.3">
      <c r="G54" s="4"/>
      <c r="H54" s="4"/>
    </row>
    <row r="55" spans="7:8" x14ac:dyDescent="0.3">
      <c r="G55" s="4"/>
      <c r="H55" s="4"/>
    </row>
    <row r="56" spans="7:8" x14ac:dyDescent="0.3">
      <c r="G56" s="4"/>
      <c r="H56" s="4"/>
    </row>
    <row r="57" spans="7:8" x14ac:dyDescent="0.3">
      <c r="G57" s="4"/>
      <c r="H57" s="4"/>
    </row>
    <row r="58" spans="7:8" x14ac:dyDescent="0.3">
      <c r="G58" s="4"/>
      <c r="H58" s="4"/>
    </row>
    <row r="59" spans="7:8" x14ac:dyDescent="0.3">
      <c r="G59" s="4"/>
      <c r="H59" s="4"/>
    </row>
    <row r="60" spans="7:8" x14ac:dyDescent="0.3">
      <c r="G60" s="4"/>
      <c r="H60" s="4"/>
    </row>
    <row r="61" spans="7:8" x14ac:dyDescent="0.3">
      <c r="G61" s="4"/>
      <c r="H61" s="4"/>
    </row>
    <row r="62" spans="7:8" x14ac:dyDescent="0.3">
      <c r="G62" s="4"/>
      <c r="H62" s="4"/>
    </row>
    <row r="63" spans="7:8" x14ac:dyDescent="0.3">
      <c r="G63" s="4"/>
      <c r="H63" s="4"/>
    </row>
    <row r="64" spans="7:8" x14ac:dyDescent="0.3">
      <c r="G64" s="4"/>
      <c r="H64" s="4"/>
    </row>
    <row r="65" spans="7:8" x14ac:dyDescent="0.3">
      <c r="G65" s="4"/>
      <c r="H65" s="4"/>
    </row>
    <row r="66" spans="7:8" x14ac:dyDescent="0.3">
      <c r="G66" s="4"/>
      <c r="H66" s="4"/>
    </row>
    <row r="67" spans="7:8" x14ac:dyDescent="0.3">
      <c r="G67" s="4"/>
      <c r="H67" s="4"/>
    </row>
    <row r="68" spans="7:8" x14ac:dyDescent="0.3">
      <c r="G68" s="4"/>
      <c r="H68" s="4"/>
    </row>
    <row r="69" spans="7:8" x14ac:dyDescent="0.3">
      <c r="G69" s="4"/>
      <c r="H69" s="4"/>
    </row>
    <row r="70" spans="7:8" x14ac:dyDescent="0.3">
      <c r="G70" s="4"/>
      <c r="H70" s="4"/>
    </row>
    <row r="71" spans="7:8" x14ac:dyDescent="0.3">
      <c r="G71" s="4"/>
      <c r="H71" s="4"/>
    </row>
    <row r="72" spans="7:8" x14ac:dyDescent="0.3">
      <c r="G72" s="4"/>
      <c r="H72" s="4"/>
    </row>
    <row r="73" spans="7:8" x14ac:dyDescent="0.3">
      <c r="G73" s="4"/>
      <c r="H73" s="4"/>
    </row>
    <row r="74" spans="7:8" x14ac:dyDescent="0.3">
      <c r="G74" s="4"/>
      <c r="H74" s="4"/>
    </row>
    <row r="75" spans="7:8" x14ac:dyDescent="0.3">
      <c r="G75" s="4"/>
      <c r="H75" s="4"/>
    </row>
    <row r="76" spans="7:8" x14ac:dyDescent="0.3">
      <c r="G76" s="4"/>
      <c r="H76" s="4"/>
    </row>
    <row r="77" spans="7:8" x14ac:dyDescent="0.3">
      <c r="G77" s="4"/>
      <c r="H77" s="4"/>
    </row>
    <row r="78" spans="7:8" x14ac:dyDescent="0.3">
      <c r="G78" s="4"/>
      <c r="H78" s="4"/>
    </row>
    <row r="79" spans="7:8" x14ac:dyDescent="0.3">
      <c r="G79" s="4"/>
      <c r="H79" s="4"/>
    </row>
    <row r="80" spans="7:8" x14ac:dyDescent="0.3">
      <c r="G80" s="4"/>
      <c r="H80" s="4"/>
    </row>
    <row r="81" spans="7:8" x14ac:dyDescent="0.3">
      <c r="G81" s="4"/>
      <c r="H81" s="4"/>
    </row>
    <row r="82" spans="7:8" x14ac:dyDescent="0.3">
      <c r="G82" s="4"/>
      <c r="H82" s="4"/>
    </row>
    <row r="83" spans="7:8" x14ac:dyDescent="0.3">
      <c r="G83" s="4"/>
      <c r="H83" s="4"/>
    </row>
    <row r="84" spans="7:8" x14ac:dyDescent="0.3">
      <c r="G84" s="4"/>
      <c r="H84" s="4"/>
    </row>
    <row r="85" spans="7:8" x14ac:dyDescent="0.3">
      <c r="G85" s="4"/>
      <c r="H85" s="4"/>
    </row>
    <row r="86" spans="7:8" x14ac:dyDescent="0.3">
      <c r="G86" s="4"/>
      <c r="H86" s="4"/>
    </row>
    <row r="87" spans="7:8" x14ac:dyDescent="0.3">
      <c r="G87" s="4"/>
      <c r="H87" s="4"/>
    </row>
    <row r="88" spans="7:8" x14ac:dyDescent="0.3">
      <c r="G88" s="4"/>
      <c r="H88" s="4"/>
    </row>
    <row r="89" spans="7:8" x14ac:dyDescent="0.3">
      <c r="G89" s="4"/>
      <c r="H89" s="4"/>
    </row>
    <row r="90" spans="7:8" x14ac:dyDescent="0.3">
      <c r="G90" s="4"/>
      <c r="H90" s="4"/>
    </row>
    <row r="91" spans="7:8" x14ac:dyDescent="0.3">
      <c r="G91" s="4"/>
      <c r="H91" s="4"/>
    </row>
    <row r="92" spans="7:8" x14ac:dyDescent="0.3">
      <c r="G92" s="4"/>
      <c r="H92" s="4"/>
    </row>
    <row r="93" spans="7:8" x14ac:dyDescent="0.3">
      <c r="G93" s="4"/>
      <c r="H93" s="4"/>
    </row>
    <row r="94" spans="7:8" x14ac:dyDescent="0.3">
      <c r="G94" s="4"/>
      <c r="H94" s="4"/>
    </row>
    <row r="95" spans="7:8" x14ac:dyDescent="0.3">
      <c r="G95" s="4"/>
      <c r="H95" s="4"/>
    </row>
    <row r="96" spans="7:8" x14ac:dyDescent="0.3">
      <c r="G96" s="4"/>
      <c r="H96" s="4"/>
    </row>
    <row r="97" spans="7:8" x14ac:dyDescent="0.3">
      <c r="G97" s="4"/>
      <c r="H97" s="4"/>
    </row>
    <row r="98" spans="7:8" x14ac:dyDescent="0.3">
      <c r="G98" s="4"/>
      <c r="H98" s="4"/>
    </row>
    <row r="99" spans="7:8" x14ac:dyDescent="0.3">
      <c r="G99" s="4"/>
      <c r="H99" s="4"/>
    </row>
    <row r="100" spans="7:8" x14ac:dyDescent="0.3">
      <c r="G100" s="4"/>
      <c r="H100" s="4"/>
    </row>
    <row r="101" spans="7:8" x14ac:dyDescent="0.3">
      <c r="G101" s="4"/>
      <c r="H101" s="4"/>
    </row>
    <row r="102" spans="7:8" x14ac:dyDescent="0.3">
      <c r="G102" s="4"/>
      <c r="H102" s="4"/>
    </row>
    <row r="103" spans="7:8" x14ac:dyDescent="0.3">
      <c r="G103" s="4"/>
      <c r="H103" s="4"/>
    </row>
    <row r="104" spans="7:8" x14ac:dyDescent="0.3">
      <c r="G104" s="4"/>
      <c r="H104" s="4"/>
    </row>
    <row r="105" spans="7:8" x14ac:dyDescent="0.3">
      <c r="G105" s="4"/>
      <c r="H105" s="4"/>
    </row>
    <row r="106" spans="7:8" x14ac:dyDescent="0.3">
      <c r="G106" s="4"/>
      <c r="H106" s="4"/>
    </row>
    <row r="107" spans="7:8" x14ac:dyDescent="0.3">
      <c r="G107" s="4"/>
      <c r="H107" s="4"/>
    </row>
    <row r="108" spans="7:8" x14ac:dyDescent="0.3">
      <c r="G108" s="4"/>
      <c r="H108" s="4"/>
    </row>
    <row r="109" spans="7:8" x14ac:dyDescent="0.3">
      <c r="G109" s="4"/>
      <c r="H109" s="4"/>
    </row>
    <row r="110" spans="7:8" x14ac:dyDescent="0.3">
      <c r="G110" s="4"/>
      <c r="H110" s="4"/>
    </row>
    <row r="111" spans="7:8" x14ac:dyDescent="0.3">
      <c r="G111" s="4"/>
      <c r="H111" s="4"/>
    </row>
    <row r="112" spans="7:8" x14ac:dyDescent="0.3">
      <c r="G112" s="4"/>
      <c r="H112" s="4"/>
    </row>
    <row r="113" spans="7:8" x14ac:dyDescent="0.3">
      <c r="G113" s="4"/>
      <c r="H113" s="4"/>
    </row>
    <row r="114" spans="7:8" x14ac:dyDescent="0.3">
      <c r="G114" s="4"/>
      <c r="H114" s="4"/>
    </row>
    <row r="115" spans="7:8" x14ac:dyDescent="0.3">
      <c r="G115" s="4"/>
      <c r="H115" s="4"/>
    </row>
    <row r="116" spans="7:8" x14ac:dyDescent="0.3">
      <c r="G116" s="4"/>
      <c r="H116" s="4"/>
    </row>
    <row r="117" spans="7:8" x14ac:dyDescent="0.3">
      <c r="G117" s="4"/>
      <c r="H117" s="4"/>
    </row>
    <row r="118" spans="7:8" x14ac:dyDescent="0.3">
      <c r="G118" s="4"/>
      <c r="H118" s="4"/>
    </row>
    <row r="119" spans="7:8" x14ac:dyDescent="0.3">
      <c r="G119" s="4"/>
      <c r="H119" s="4"/>
    </row>
    <row r="120" spans="7:8" x14ac:dyDescent="0.3">
      <c r="G120" s="4"/>
      <c r="H120" s="4"/>
    </row>
    <row r="121" spans="7:8" x14ac:dyDescent="0.3">
      <c r="G121" s="4"/>
      <c r="H121" s="4"/>
    </row>
    <row r="122" spans="7:8" x14ac:dyDescent="0.3">
      <c r="G122" s="4"/>
      <c r="H122" s="4"/>
    </row>
    <row r="123" spans="7:8" x14ac:dyDescent="0.3">
      <c r="G123" s="4"/>
      <c r="H123" s="4"/>
    </row>
    <row r="124" spans="7:8" x14ac:dyDescent="0.3">
      <c r="G124" s="4"/>
      <c r="H124" s="4"/>
    </row>
    <row r="125" spans="7:8" x14ac:dyDescent="0.3">
      <c r="G125" s="4"/>
      <c r="H125" s="4"/>
    </row>
    <row r="126" spans="7:8" x14ac:dyDescent="0.3">
      <c r="G126" s="4"/>
      <c r="H126" s="4"/>
    </row>
    <row r="127" spans="7:8" x14ac:dyDescent="0.3">
      <c r="G127" s="4"/>
      <c r="H127" s="4"/>
    </row>
    <row r="128" spans="7:8" x14ac:dyDescent="0.3">
      <c r="G128" s="4"/>
      <c r="H128" s="4"/>
    </row>
    <row r="129" spans="7:8" x14ac:dyDescent="0.3">
      <c r="G129" s="4"/>
      <c r="H129" s="4"/>
    </row>
    <row r="130" spans="7:8" x14ac:dyDescent="0.3">
      <c r="G130" s="4"/>
      <c r="H130" s="4"/>
    </row>
    <row r="131" spans="7:8" x14ac:dyDescent="0.3">
      <c r="G131" s="4"/>
      <c r="H131" s="4"/>
    </row>
    <row r="132" spans="7:8" x14ac:dyDescent="0.3">
      <c r="G132" s="4"/>
      <c r="H132" s="4"/>
    </row>
    <row r="133" spans="7:8" x14ac:dyDescent="0.3">
      <c r="G133" s="4"/>
      <c r="H133" s="4"/>
    </row>
    <row r="134" spans="7:8" x14ac:dyDescent="0.3">
      <c r="G134" s="4"/>
      <c r="H134" s="4"/>
    </row>
    <row r="135" spans="7:8" x14ac:dyDescent="0.3">
      <c r="G135" s="4"/>
      <c r="H135" s="4"/>
    </row>
    <row r="136" spans="7:8" x14ac:dyDescent="0.3">
      <c r="G136" s="4"/>
      <c r="H136" s="4"/>
    </row>
    <row r="137" spans="7:8" x14ac:dyDescent="0.3">
      <c r="G137" s="4"/>
      <c r="H137" s="4"/>
    </row>
    <row r="138" spans="7:8" x14ac:dyDescent="0.3">
      <c r="G138" s="4"/>
      <c r="H138" s="4"/>
    </row>
    <row r="139" spans="7:8" x14ac:dyDescent="0.3">
      <c r="G139" s="4"/>
      <c r="H139" s="4"/>
    </row>
    <row r="140" spans="7:8" x14ac:dyDescent="0.3">
      <c r="G140" s="4"/>
      <c r="H140" s="4"/>
    </row>
    <row r="141" spans="7:8" x14ac:dyDescent="0.3">
      <c r="G141" s="4"/>
      <c r="H141" s="4"/>
    </row>
    <row r="142" spans="7:8" x14ac:dyDescent="0.3">
      <c r="G142" s="4"/>
      <c r="H142" s="4"/>
    </row>
    <row r="143" spans="7:8" x14ac:dyDescent="0.3">
      <c r="G143" s="4"/>
      <c r="H143" s="4"/>
    </row>
    <row r="144" spans="7:8" x14ac:dyDescent="0.3">
      <c r="G144" s="4"/>
      <c r="H144" s="4"/>
    </row>
    <row r="145" spans="7:8" x14ac:dyDescent="0.3">
      <c r="G145" s="4"/>
      <c r="H145" s="4"/>
    </row>
    <row r="146" spans="7:8" x14ac:dyDescent="0.3">
      <c r="G146" s="4"/>
      <c r="H146" s="4"/>
    </row>
    <row r="147" spans="7:8" x14ac:dyDescent="0.3">
      <c r="G147" s="4"/>
      <c r="H147" s="4"/>
    </row>
    <row r="148" spans="7:8" x14ac:dyDescent="0.3">
      <c r="G148" s="4"/>
      <c r="H148" s="4"/>
    </row>
    <row r="149" spans="7:8" x14ac:dyDescent="0.3">
      <c r="G149" s="4"/>
      <c r="H149" s="4"/>
    </row>
    <row r="150" spans="7:8" x14ac:dyDescent="0.3">
      <c r="G150" s="4"/>
      <c r="H150" s="4"/>
    </row>
    <row r="151" spans="7:8" x14ac:dyDescent="0.3">
      <c r="G151" s="4"/>
      <c r="H151" s="4"/>
    </row>
    <row r="152" spans="7:8" x14ac:dyDescent="0.3">
      <c r="G152" s="4"/>
      <c r="H152" s="4"/>
    </row>
    <row r="153" spans="7:8" x14ac:dyDescent="0.3">
      <c r="G153" s="4"/>
      <c r="H153" s="4"/>
    </row>
    <row r="154" spans="7:8" x14ac:dyDescent="0.3">
      <c r="G154" s="4"/>
      <c r="H154" s="4"/>
    </row>
    <row r="155" spans="7:8" x14ac:dyDescent="0.3">
      <c r="G155" s="4"/>
      <c r="H155" s="4"/>
    </row>
    <row r="156" spans="7:8" x14ac:dyDescent="0.3">
      <c r="G156" s="4"/>
      <c r="H156" s="4"/>
    </row>
    <row r="157" spans="7:8" x14ac:dyDescent="0.3">
      <c r="G157" s="4"/>
      <c r="H157" s="4"/>
    </row>
    <row r="158" spans="7:8" x14ac:dyDescent="0.3">
      <c r="G158" s="4"/>
      <c r="H158" s="4"/>
    </row>
    <row r="159" spans="7:8" x14ac:dyDescent="0.3">
      <c r="G159" s="4"/>
      <c r="H159" s="4"/>
    </row>
    <row r="160" spans="7:8" x14ac:dyDescent="0.3">
      <c r="G160" s="4"/>
      <c r="H160" s="4"/>
    </row>
    <row r="161" spans="7:8" x14ac:dyDescent="0.3">
      <c r="G161" s="4"/>
      <c r="H161" s="4"/>
    </row>
    <row r="162" spans="7:8" x14ac:dyDescent="0.3">
      <c r="G162" s="4"/>
      <c r="H162" s="4"/>
    </row>
    <row r="163" spans="7:8" x14ac:dyDescent="0.3">
      <c r="G163" s="4"/>
      <c r="H163" s="4"/>
    </row>
    <row r="164" spans="7:8" x14ac:dyDescent="0.3">
      <c r="G164" s="4"/>
      <c r="H164" s="4"/>
    </row>
    <row r="165" spans="7:8" x14ac:dyDescent="0.3">
      <c r="G165" s="4"/>
      <c r="H165" s="4"/>
    </row>
    <row r="166" spans="7:8" x14ac:dyDescent="0.3">
      <c r="G166" s="4"/>
      <c r="H166" s="4"/>
    </row>
    <row r="167" spans="7:8" x14ac:dyDescent="0.3">
      <c r="G167" s="4"/>
      <c r="H167" s="4"/>
    </row>
    <row r="168" spans="7:8" x14ac:dyDescent="0.3">
      <c r="G168" s="4"/>
      <c r="H168" s="4"/>
    </row>
    <row r="169" spans="7:8" x14ac:dyDescent="0.3">
      <c r="G169" s="4"/>
      <c r="H169" s="4"/>
    </row>
    <row r="170" spans="7:8" x14ac:dyDescent="0.3">
      <c r="G170" s="4"/>
      <c r="H170" s="4"/>
    </row>
    <row r="171" spans="7:8" x14ac:dyDescent="0.3">
      <c r="G171" s="4"/>
      <c r="H171" s="4"/>
    </row>
    <row r="172" spans="7:8" x14ac:dyDescent="0.3">
      <c r="G172" s="4"/>
      <c r="H172" s="4"/>
    </row>
    <row r="173" spans="7:8" x14ac:dyDescent="0.3">
      <c r="G173" s="4"/>
      <c r="H173" s="4"/>
    </row>
    <row r="174" spans="7:8" x14ac:dyDescent="0.3">
      <c r="G174" s="4"/>
      <c r="H174" s="4"/>
    </row>
    <row r="175" spans="7:8" x14ac:dyDescent="0.3">
      <c r="G175" s="4"/>
      <c r="H175" s="4"/>
    </row>
    <row r="176" spans="7:8" x14ac:dyDescent="0.3">
      <c r="G176" s="4"/>
      <c r="H176" s="4"/>
    </row>
    <row r="177" spans="7:8" x14ac:dyDescent="0.3">
      <c r="G177" s="4"/>
      <c r="H177" s="4"/>
    </row>
    <row r="178" spans="7:8" x14ac:dyDescent="0.3">
      <c r="G178" s="4"/>
      <c r="H178" s="4"/>
    </row>
    <row r="179" spans="7:8" x14ac:dyDescent="0.3">
      <c r="G179" s="4"/>
      <c r="H179" s="4"/>
    </row>
    <row r="180" spans="7:8" x14ac:dyDescent="0.3">
      <c r="G180" s="4"/>
      <c r="H180" s="4"/>
    </row>
    <row r="181" spans="7:8" x14ac:dyDescent="0.3">
      <c r="G181" s="4"/>
      <c r="H181" s="4"/>
    </row>
    <row r="182" spans="7:8" x14ac:dyDescent="0.3">
      <c r="G182" s="4"/>
      <c r="H182" s="4"/>
    </row>
    <row r="183" spans="7:8" x14ac:dyDescent="0.3">
      <c r="G183" s="4"/>
      <c r="H183" s="4"/>
    </row>
    <row r="184" spans="7:8" x14ac:dyDescent="0.3">
      <c r="G184" s="4"/>
      <c r="H184" s="4"/>
    </row>
    <row r="185" spans="7:8" x14ac:dyDescent="0.3">
      <c r="G185" s="4"/>
      <c r="H185" s="4"/>
    </row>
    <row r="186" spans="7:8" x14ac:dyDescent="0.3">
      <c r="G186" s="4"/>
      <c r="H186" s="4"/>
    </row>
    <row r="187" spans="7:8" x14ac:dyDescent="0.3">
      <c r="G187" s="4"/>
      <c r="H187" s="4"/>
    </row>
    <row r="188" spans="7:8" x14ac:dyDescent="0.3">
      <c r="G188" s="4"/>
      <c r="H188" s="4"/>
    </row>
    <row r="189" spans="7:8" x14ac:dyDescent="0.3">
      <c r="G189" s="4"/>
      <c r="H189" s="4"/>
    </row>
    <row r="190" spans="7:8" x14ac:dyDescent="0.3">
      <c r="G190" s="4"/>
      <c r="H190" s="4"/>
    </row>
    <row r="191" spans="7:8" x14ac:dyDescent="0.3">
      <c r="G191" s="4"/>
      <c r="H191" s="4"/>
    </row>
    <row r="192" spans="7:8" x14ac:dyDescent="0.3">
      <c r="G192" s="4"/>
      <c r="H192" s="4"/>
    </row>
    <row r="193" spans="7:8" x14ac:dyDescent="0.3">
      <c r="G193" s="4"/>
      <c r="H193" s="4"/>
    </row>
    <row r="194" spans="7:8" x14ac:dyDescent="0.3">
      <c r="G194" s="4"/>
      <c r="H194" s="4"/>
    </row>
    <row r="195" spans="7:8" x14ac:dyDescent="0.3">
      <c r="G195" s="4"/>
      <c r="H195" s="4"/>
    </row>
    <row r="196" spans="7:8" x14ac:dyDescent="0.3">
      <c r="G196" s="4"/>
      <c r="H196" s="4"/>
    </row>
    <row r="197" spans="7:8" x14ac:dyDescent="0.3">
      <c r="G197" s="4"/>
      <c r="H197" s="4"/>
    </row>
    <row r="198" spans="7:8" x14ac:dyDescent="0.3">
      <c r="G198" s="4"/>
      <c r="H198" s="4"/>
    </row>
    <row r="199" spans="7:8" x14ac:dyDescent="0.3">
      <c r="G199" s="4"/>
      <c r="H199" s="4"/>
    </row>
    <row r="200" spans="7:8" x14ac:dyDescent="0.3">
      <c r="G200" s="4"/>
      <c r="H200" s="4"/>
    </row>
    <row r="201" spans="7:8" x14ac:dyDescent="0.3">
      <c r="G201" s="4"/>
      <c r="H201" s="4"/>
    </row>
    <row r="202" spans="7:8" x14ac:dyDescent="0.3">
      <c r="G202" s="4"/>
      <c r="H202" s="4"/>
    </row>
    <row r="203" spans="7:8" x14ac:dyDescent="0.3">
      <c r="G203" s="4"/>
      <c r="H203" s="4"/>
    </row>
    <row r="204" spans="7:8" x14ac:dyDescent="0.3">
      <c r="G204" s="4"/>
      <c r="H204" s="4"/>
    </row>
    <row r="205" spans="7:8" x14ac:dyDescent="0.3">
      <c r="G205" s="4"/>
      <c r="H205" s="4"/>
    </row>
    <row r="206" spans="7:8" x14ac:dyDescent="0.3">
      <c r="G206" s="4"/>
      <c r="H206" s="4"/>
    </row>
    <row r="207" spans="7:8" x14ac:dyDescent="0.3">
      <c r="G207" s="4"/>
      <c r="H207" s="4"/>
    </row>
    <row r="208" spans="7:8" x14ac:dyDescent="0.3">
      <c r="G208" s="4"/>
      <c r="H208" s="4"/>
    </row>
    <row r="209" spans="7:8" x14ac:dyDescent="0.3">
      <c r="G209" s="4"/>
      <c r="H209" s="4"/>
    </row>
    <row r="210" spans="7:8" x14ac:dyDescent="0.3">
      <c r="G210" s="4"/>
      <c r="H210" s="4"/>
    </row>
    <row r="211" spans="7:8" x14ac:dyDescent="0.3">
      <c r="G211" s="4"/>
      <c r="H211" s="4"/>
    </row>
    <row r="212" spans="7:8" x14ac:dyDescent="0.3">
      <c r="G212" s="4"/>
      <c r="H212" s="4"/>
    </row>
    <row r="213" spans="7:8" x14ac:dyDescent="0.3">
      <c r="G213" s="4"/>
      <c r="H213" s="4"/>
    </row>
    <row r="214" spans="7:8" x14ac:dyDescent="0.3">
      <c r="G214" s="4"/>
      <c r="H214" s="4"/>
    </row>
    <row r="215" spans="7:8" x14ac:dyDescent="0.3">
      <c r="G215" s="4"/>
      <c r="H215" s="4"/>
    </row>
    <row r="216" spans="7:8" x14ac:dyDescent="0.3">
      <c r="G216" s="4"/>
      <c r="H216" s="4"/>
    </row>
    <row r="217" spans="7:8" x14ac:dyDescent="0.3">
      <c r="G217" s="4"/>
      <c r="H217" s="4"/>
    </row>
    <row r="218" spans="7:8" x14ac:dyDescent="0.3">
      <c r="G218" s="4"/>
      <c r="H218" s="4"/>
    </row>
    <row r="219" spans="7:8" x14ac:dyDescent="0.3">
      <c r="G219" s="4"/>
      <c r="H219" s="4"/>
    </row>
    <row r="220" spans="7:8" x14ac:dyDescent="0.3">
      <c r="G220" s="4"/>
      <c r="H220" s="4"/>
    </row>
    <row r="221" spans="7:8" x14ac:dyDescent="0.3">
      <c r="G221" s="4"/>
      <c r="H221" s="4"/>
    </row>
    <row r="222" spans="7:8" x14ac:dyDescent="0.3">
      <c r="G222" s="4"/>
      <c r="H222" s="4"/>
    </row>
    <row r="223" spans="7:8" x14ac:dyDescent="0.3">
      <c r="G223" s="4"/>
      <c r="H223" s="4"/>
    </row>
    <row r="224" spans="7:8" x14ac:dyDescent="0.3">
      <c r="G224" s="4"/>
      <c r="H224" s="4"/>
    </row>
    <row r="225" spans="7:8" x14ac:dyDescent="0.3">
      <c r="G225" s="4"/>
      <c r="H225" s="4"/>
    </row>
    <row r="226" spans="7:8" x14ac:dyDescent="0.3">
      <c r="G226" s="4"/>
      <c r="H226" s="4"/>
    </row>
    <row r="227" spans="7:8" x14ac:dyDescent="0.3">
      <c r="G227" s="4"/>
      <c r="H227" s="4"/>
    </row>
    <row r="228" spans="7:8" x14ac:dyDescent="0.3">
      <c r="G228" s="4"/>
      <c r="H228" s="4"/>
    </row>
    <row r="229" spans="7:8" x14ac:dyDescent="0.3">
      <c r="G229" s="4"/>
      <c r="H229" s="4"/>
    </row>
    <row r="230" spans="7:8" x14ac:dyDescent="0.3">
      <c r="G230" s="4"/>
      <c r="H230" s="4"/>
    </row>
    <row r="231" spans="7:8" x14ac:dyDescent="0.3">
      <c r="G231" s="4"/>
      <c r="H231" s="4"/>
    </row>
    <row r="232" spans="7:8" x14ac:dyDescent="0.3">
      <c r="G232" s="4"/>
      <c r="H232" s="4"/>
    </row>
    <row r="233" spans="7:8" x14ac:dyDescent="0.3">
      <c r="G233" s="4"/>
      <c r="H233" s="4"/>
    </row>
    <row r="234" spans="7:8" x14ac:dyDescent="0.3">
      <c r="G234" s="4"/>
      <c r="H234" s="4"/>
    </row>
    <row r="235" spans="7:8" x14ac:dyDescent="0.3">
      <c r="G235" s="4"/>
      <c r="H235" s="4"/>
    </row>
    <row r="236" spans="7:8" x14ac:dyDescent="0.3">
      <c r="G236" s="4"/>
      <c r="H236" s="4"/>
    </row>
    <row r="237" spans="7:8" x14ac:dyDescent="0.3">
      <c r="G237" s="4"/>
      <c r="H237" s="4"/>
    </row>
    <row r="238" spans="7:8" x14ac:dyDescent="0.3">
      <c r="G238" s="4"/>
      <c r="H238" s="4"/>
    </row>
    <row r="239" spans="7:8" x14ac:dyDescent="0.3">
      <c r="G239" s="4"/>
      <c r="H239" s="4"/>
    </row>
    <row r="240" spans="7:8" x14ac:dyDescent="0.3">
      <c r="G240" s="4"/>
      <c r="H240" s="4"/>
    </row>
    <row r="241" spans="7:8" x14ac:dyDescent="0.3">
      <c r="G241" s="4"/>
      <c r="H241" s="4"/>
    </row>
    <row r="242" spans="7:8" x14ac:dyDescent="0.3">
      <c r="G242" s="4"/>
      <c r="H242" s="4"/>
    </row>
    <row r="243" spans="7:8" x14ac:dyDescent="0.3">
      <c r="G243" s="4"/>
      <c r="H243" s="4"/>
    </row>
    <row r="244" spans="7:8" x14ac:dyDescent="0.3">
      <c r="G244" s="4"/>
      <c r="H244" s="4"/>
    </row>
    <row r="245" spans="7:8" x14ac:dyDescent="0.3">
      <c r="G245" s="4"/>
      <c r="H245" s="4"/>
    </row>
    <row r="246" spans="7:8" x14ac:dyDescent="0.3">
      <c r="G246" s="4"/>
      <c r="H246" s="4"/>
    </row>
    <row r="247" spans="7:8" x14ac:dyDescent="0.3">
      <c r="G247" s="4"/>
      <c r="H247" s="4"/>
    </row>
    <row r="248" spans="7:8" x14ac:dyDescent="0.3">
      <c r="G248" s="4"/>
      <c r="H248" s="4"/>
    </row>
    <row r="249" spans="7:8" x14ac:dyDescent="0.3">
      <c r="G249" s="4"/>
      <c r="H249" s="4"/>
    </row>
    <row r="250" spans="7:8" x14ac:dyDescent="0.3">
      <c r="G250" s="4"/>
      <c r="H250" s="4"/>
    </row>
    <row r="251" spans="7:8" x14ac:dyDescent="0.3">
      <c r="G251" s="4"/>
      <c r="H251" s="4"/>
    </row>
    <row r="252" spans="7:8" x14ac:dyDescent="0.3">
      <c r="G252" s="4"/>
      <c r="H252" s="4"/>
    </row>
    <row r="253" spans="7:8" x14ac:dyDescent="0.3">
      <c r="G253" s="4"/>
      <c r="H253" s="4"/>
    </row>
    <row r="254" spans="7:8" x14ac:dyDescent="0.3">
      <c r="G254" s="4"/>
      <c r="H254" s="4"/>
    </row>
    <row r="255" spans="7:8" x14ac:dyDescent="0.3">
      <c r="G255" s="4"/>
      <c r="H255" s="4"/>
    </row>
    <row r="256" spans="7:8" x14ac:dyDescent="0.3">
      <c r="G256" s="4"/>
      <c r="H256" s="4"/>
    </row>
    <row r="257" spans="7:8" x14ac:dyDescent="0.3">
      <c r="G257" s="4"/>
      <c r="H257" s="4"/>
    </row>
    <row r="258" spans="7:8" x14ac:dyDescent="0.3">
      <c r="G258" s="4"/>
      <c r="H258" s="4"/>
    </row>
    <row r="259" spans="7:8" x14ac:dyDescent="0.3">
      <c r="G259" s="4"/>
      <c r="H259" s="4"/>
    </row>
    <row r="260" spans="7:8" x14ac:dyDescent="0.3">
      <c r="G260" s="4"/>
      <c r="H260" s="4"/>
    </row>
    <row r="261" spans="7:8" x14ac:dyDescent="0.3">
      <c r="G261" s="4"/>
      <c r="H261" s="4"/>
    </row>
    <row r="262" spans="7:8" x14ac:dyDescent="0.3">
      <c r="G262" s="4"/>
      <c r="H262" s="4"/>
    </row>
    <row r="263" spans="7:8" x14ac:dyDescent="0.3">
      <c r="G263" s="4"/>
      <c r="H263" s="4"/>
    </row>
    <row r="264" spans="7:8" x14ac:dyDescent="0.3">
      <c r="G264" s="4"/>
      <c r="H264" s="4"/>
    </row>
    <row r="265" spans="7:8" x14ac:dyDescent="0.3">
      <c r="G265" s="4"/>
      <c r="H265" s="4"/>
    </row>
    <row r="266" spans="7:8" x14ac:dyDescent="0.3">
      <c r="G266" s="4"/>
      <c r="H266" s="4"/>
    </row>
    <row r="267" spans="7:8" x14ac:dyDescent="0.3">
      <c r="G267" s="4"/>
      <c r="H267" s="4"/>
    </row>
    <row r="268" spans="7:8" x14ac:dyDescent="0.3">
      <c r="G268" s="4"/>
      <c r="H268" s="4"/>
    </row>
    <row r="269" spans="7:8" x14ac:dyDescent="0.3">
      <c r="G269" s="4"/>
      <c r="H269" s="4"/>
    </row>
    <row r="270" spans="7:8" x14ac:dyDescent="0.3">
      <c r="G270" s="4"/>
      <c r="H270" s="4"/>
    </row>
    <row r="271" spans="7:8" x14ac:dyDescent="0.3">
      <c r="G271" s="4"/>
      <c r="H271" s="4"/>
    </row>
    <row r="272" spans="7:8" x14ac:dyDescent="0.3">
      <c r="G272" s="4"/>
      <c r="H272" s="4"/>
    </row>
    <row r="273" spans="7:8" x14ac:dyDescent="0.3">
      <c r="G273" s="4"/>
      <c r="H273" s="4"/>
    </row>
    <row r="274" spans="7:8" x14ac:dyDescent="0.3">
      <c r="G274" s="4"/>
      <c r="H274" s="4"/>
    </row>
    <row r="275" spans="7:8" x14ac:dyDescent="0.3">
      <c r="G275" s="4"/>
      <c r="H275" s="4"/>
    </row>
    <row r="276" spans="7:8" x14ac:dyDescent="0.3">
      <c r="G276" s="4"/>
      <c r="H276" s="4"/>
    </row>
    <row r="277" spans="7:8" x14ac:dyDescent="0.3">
      <c r="G277" s="4"/>
      <c r="H277" s="4"/>
    </row>
    <row r="278" spans="7:8" x14ac:dyDescent="0.3">
      <c r="G278" s="4"/>
      <c r="H278" s="4"/>
    </row>
    <row r="279" spans="7:8" x14ac:dyDescent="0.3">
      <c r="G279" s="4"/>
      <c r="H279" s="4"/>
    </row>
    <row r="280" spans="7:8" x14ac:dyDescent="0.3">
      <c r="G280" s="4"/>
      <c r="H280" s="4"/>
    </row>
    <row r="281" spans="7:8" x14ac:dyDescent="0.3">
      <c r="G281" s="4"/>
      <c r="H281" s="4"/>
    </row>
    <row r="282" spans="7:8" x14ac:dyDescent="0.3">
      <c r="G282" s="4"/>
      <c r="H282" s="4"/>
    </row>
    <row r="283" spans="7:8" x14ac:dyDescent="0.3">
      <c r="G283" s="4"/>
      <c r="H283" s="4"/>
    </row>
    <row r="284" spans="7:8" x14ac:dyDescent="0.3">
      <c r="G284" s="4"/>
      <c r="H284" s="4"/>
    </row>
    <row r="285" spans="7:8" x14ac:dyDescent="0.3">
      <c r="G285" s="4"/>
      <c r="H285" s="4"/>
    </row>
    <row r="286" spans="7:8" x14ac:dyDescent="0.3">
      <c r="G286" s="4"/>
      <c r="H286" s="4"/>
    </row>
    <row r="287" spans="7:8" x14ac:dyDescent="0.3">
      <c r="G287" s="4"/>
      <c r="H287" s="4"/>
    </row>
    <row r="288" spans="7:8" x14ac:dyDescent="0.3">
      <c r="G288" s="4"/>
      <c r="H288" s="4"/>
    </row>
    <row r="289" spans="7:8" x14ac:dyDescent="0.3">
      <c r="G289" s="4"/>
      <c r="H289" s="4"/>
    </row>
    <row r="290" spans="7:8" x14ac:dyDescent="0.3">
      <c r="G290" s="4"/>
      <c r="H290" s="4"/>
    </row>
    <row r="291" spans="7:8" x14ac:dyDescent="0.3">
      <c r="G291" s="4"/>
      <c r="H291" s="4"/>
    </row>
    <row r="292" spans="7:8" x14ac:dyDescent="0.3">
      <c r="G292" s="4"/>
      <c r="H292" s="4"/>
    </row>
    <row r="293" spans="7:8" x14ac:dyDescent="0.3">
      <c r="G293" s="4"/>
      <c r="H293" s="4"/>
    </row>
    <row r="294" spans="7:8" x14ac:dyDescent="0.3">
      <c r="G294" s="4"/>
      <c r="H294" s="4"/>
    </row>
    <row r="295" spans="7:8" x14ac:dyDescent="0.3">
      <c r="G295" s="4"/>
      <c r="H295" s="4"/>
    </row>
    <row r="296" spans="7:8" x14ac:dyDescent="0.3">
      <c r="G296" s="4"/>
      <c r="H296" s="4"/>
    </row>
    <row r="297" spans="7:8" x14ac:dyDescent="0.3">
      <c r="G297" s="4"/>
      <c r="H297" s="4"/>
    </row>
    <row r="298" spans="7:8" x14ac:dyDescent="0.3">
      <c r="G298" s="4"/>
      <c r="H298" s="4"/>
    </row>
    <row r="299" spans="7:8" x14ac:dyDescent="0.3">
      <c r="G299" s="4"/>
      <c r="H299" s="4"/>
    </row>
    <row r="300" spans="7:8" x14ac:dyDescent="0.3">
      <c r="G300" s="4"/>
      <c r="H300" s="4"/>
    </row>
    <row r="301" spans="7:8" x14ac:dyDescent="0.3">
      <c r="G301" s="4"/>
      <c r="H301" s="4"/>
    </row>
    <row r="302" spans="7:8" x14ac:dyDescent="0.3">
      <c r="G302" s="4"/>
      <c r="H302" s="4"/>
    </row>
    <row r="303" spans="7:8" x14ac:dyDescent="0.3">
      <c r="G303" s="4"/>
      <c r="H303" s="4"/>
    </row>
    <row r="304" spans="7:8" x14ac:dyDescent="0.3">
      <c r="G304" s="4"/>
      <c r="H304" s="4"/>
    </row>
    <row r="305" spans="7:8" x14ac:dyDescent="0.3">
      <c r="G305" s="4"/>
      <c r="H305" s="4"/>
    </row>
    <row r="306" spans="7:8" x14ac:dyDescent="0.3">
      <c r="G306" s="4"/>
      <c r="H306" s="4"/>
    </row>
    <row r="307" spans="7:8" x14ac:dyDescent="0.3">
      <c r="G307" s="4"/>
      <c r="H307" s="4"/>
    </row>
    <row r="308" spans="7:8" x14ac:dyDescent="0.3">
      <c r="G308" s="4"/>
      <c r="H308" s="4"/>
    </row>
    <row r="309" spans="7:8" x14ac:dyDescent="0.3">
      <c r="G309" s="4"/>
      <c r="H309" s="4"/>
    </row>
    <row r="310" spans="7:8" x14ac:dyDescent="0.3">
      <c r="G310" s="4"/>
      <c r="H310" s="4"/>
    </row>
    <row r="311" spans="7:8" x14ac:dyDescent="0.3">
      <c r="G311" s="4"/>
      <c r="H311" s="4"/>
    </row>
    <row r="312" spans="7:8" x14ac:dyDescent="0.3">
      <c r="G312" s="4"/>
      <c r="H312" s="4"/>
    </row>
    <row r="313" spans="7:8" x14ac:dyDescent="0.3">
      <c r="G313" s="4"/>
      <c r="H313" s="4"/>
    </row>
    <row r="314" spans="7:8" x14ac:dyDescent="0.3">
      <c r="G314" s="4"/>
      <c r="H314" s="4"/>
    </row>
    <row r="315" spans="7:8" x14ac:dyDescent="0.3">
      <c r="G315" s="4"/>
      <c r="H315" s="4"/>
    </row>
    <row r="316" spans="7:8" x14ac:dyDescent="0.3">
      <c r="G316" s="4"/>
      <c r="H316" s="4"/>
    </row>
    <row r="317" spans="7:8" x14ac:dyDescent="0.3">
      <c r="G317" s="4"/>
      <c r="H317" s="4"/>
    </row>
    <row r="318" spans="7:8" x14ac:dyDescent="0.3">
      <c r="G318" s="4"/>
      <c r="H318" s="4"/>
    </row>
    <row r="319" spans="7:8" x14ac:dyDescent="0.3">
      <c r="G319" s="4"/>
      <c r="H319" s="4"/>
    </row>
    <row r="320" spans="7:8" x14ac:dyDescent="0.3">
      <c r="G320" s="4"/>
      <c r="H320" s="4"/>
    </row>
    <row r="321" spans="7:8" x14ac:dyDescent="0.3">
      <c r="G321" s="4"/>
      <c r="H321" s="4"/>
    </row>
    <row r="322" spans="7:8" x14ac:dyDescent="0.3">
      <c r="G322" s="4"/>
      <c r="H322" s="4"/>
    </row>
    <row r="323" spans="7:8" x14ac:dyDescent="0.3">
      <c r="G323" s="4"/>
      <c r="H323" s="4"/>
    </row>
    <row r="324" spans="7:8" x14ac:dyDescent="0.3">
      <c r="G324" s="4"/>
      <c r="H324" s="4"/>
    </row>
    <row r="325" spans="7:8" x14ac:dyDescent="0.3">
      <c r="G325" s="4"/>
      <c r="H325" s="4"/>
    </row>
    <row r="326" spans="7:8" x14ac:dyDescent="0.3">
      <c r="G326" s="4"/>
      <c r="H326" s="4"/>
    </row>
    <row r="327" spans="7:8" x14ac:dyDescent="0.3">
      <c r="G327" s="4"/>
      <c r="H327" s="4"/>
    </row>
    <row r="328" spans="7:8" x14ac:dyDescent="0.3">
      <c r="G328" s="4"/>
      <c r="H328" s="4"/>
    </row>
    <row r="329" spans="7:8" x14ac:dyDescent="0.3">
      <c r="G329" s="4"/>
      <c r="H329" s="4"/>
    </row>
    <row r="330" spans="7:8" x14ac:dyDescent="0.3">
      <c r="G330" s="4"/>
      <c r="H330" s="4"/>
    </row>
    <row r="331" spans="7:8" x14ac:dyDescent="0.3">
      <c r="G331" s="4"/>
      <c r="H331" s="4"/>
    </row>
    <row r="332" spans="7:8" x14ac:dyDescent="0.3">
      <c r="G332" s="4"/>
      <c r="H332" s="4"/>
    </row>
    <row r="333" spans="7:8" x14ac:dyDescent="0.3">
      <c r="G333" s="4"/>
      <c r="H333" s="4"/>
    </row>
    <row r="334" spans="7:8" x14ac:dyDescent="0.3">
      <c r="G334" s="4"/>
      <c r="H334" s="4"/>
    </row>
    <row r="335" spans="7:8" x14ac:dyDescent="0.3">
      <c r="G335" s="4"/>
      <c r="H335" s="4"/>
    </row>
    <row r="336" spans="7:8" x14ac:dyDescent="0.3">
      <c r="G336" s="4"/>
      <c r="H336" s="4"/>
    </row>
    <row r="337" spans="7:8" x14ac:dyDescent="0.3">
      <c r="G337" s="4"/>
      <c r="H337" s="4"/>
    </row>
    <row r="338" spans="7:8" x14ac:dyDescent="0.3">
      <c r="G338" s="4"/>
      <c r="H338" s="4"/>
    </row>
    <row r="339" spans="7:8" x14ac:dyDescent="0.3">
      <c r="G339" s="4"/>
      <c r="H339" s="4"/>
    </row>
    <row r="340" spans="7:8" x14ac:dyDescent="0.3">
      <c r="G340" s="4"/>
      <c r="H340" s="4"/>
    </row>
    <row r="341" spans="7:8" x14ac:dyDescent="0.3">
      <c r="G341" s="4"/>
      <c r="H341" s="4"/>
    </row>
    <row r="342" spans="7:8" x14ac:dyDescent="0.3">
      <c r="G342" s="4"/>
      <c r="H342" s="4"/>
    </row>
    <row r="343" spans="7:8" x14ac:dyDescent="0.3">
      <c r="G343" s="4"/>
      <c r="H343" s="4"/>
    </row>
    <row r="344" spans="7:8" x14ac:dyDescent="0.3">
      <c r="G344" s="4"/>
      <c r="H344" s="4"/>
    </row>
    <row r="345" spans="7:8" x14ac:dyDescent="0.3">
      <c r="G345" s="4"/>
      <c r="H345" s="4"/>
    </row>
    <row r="346" spans="7:8" x14ac:dyDescent="0.3">
      <c r="G346" s="4"/>
      <c r="H346" s="4"/>
    </row>
    <row r="347" spans="7:8" x14ac:dyDescent="0.3">
      <c r="G347" s="4"/>
      <c r="H347" s="4"/>
    </row>
    <row r="348" spans="7:8" x14ac:dyDescent="0.3">
      <c r="G348" s="4"/>
      <c r="H348" s="4"/>
    </row>
    <row r="349" spans="7:8" x14ac:dyDescent="0.3">
      <c r="G349" s="4"/>
      <c r="H349" s="4"/>
    </row>
    <row r="350" spans="7:8" x14ac:dyDescent="0.3">
      <c r="G350" s="4"/>
      <c r="H350" s="4"/>
    </row>
    <row r="351" spans="7:8" x14ac:dyDescent="0.3">
      <c r="G351" s="4"/>
      <c r="H351" s="4"/>
    </row>
    <row r="352" spans="7:8" x14ac:dyDescent="0.3">
      <c r="G352" s="4"/>
      <c r="H352" s="4"/>
    </row>
    <row r="353" spans="7:8" x14ac:dyDescent="0.3">
      <c r="G353" s="4"/>
      <c r="H353" s="4"/>
    </row>
    <row r="354" spans="7:8" x14ac:dyDescent="0.3">
      <c r="G354" s="4"/>
      <c r="H354" s="4"/>
    </row>
    <row r="355" spans="7:8" x14ac:dyDescent="0.3">
      <c r="G355" s="4"/>
      <c r="H355" s="4"/>
    </row>
    <row r="356" spans="7:8" x14ac:dyDescent="0.3">
      <c r="G356" s="4"/>
      <c r="H356" s="4"/>
    </row>
    <row r="357" spans="7:8" x14ac:dyDescent="0.3">
      <c r="G357" s="4"/>
      <c r="H357" s="4"/>
    </row>
    <row r="358" spans="7:8" x14ac:dyDescent="0.3">
      <c r="G358" s="4"/>
      <c r="H358" s="4"/>
    </row>
    <row r="359" spans="7:8" x14ac:dyDescent="0.3">
      <c r="G359" s="4"/>
      <c r="H359" s="4"/>
    </row>
    <row r="360" spans="7:8" x14ac:dyDescent="0.3">
      <c r="G360" s="4"/>
      <c r="H360" s="4"/>
    </row>
    <row r="361" spans="7:8" x14ac:dyDescent="0.3">
      <c r="G361" s="4"/>
      <c r="H361" s="4"/>
    </row>
    <row r="362" spans="7:8" x14ac:dyDescent="0.3">
      <c r="G362" s="4"/>
      <c r="H362" s="4"/>
    </row>
    <row r="363" spans="7:8" x14ac:dyDescent="0.3">
      <c r="G363" s="4"/>
      <c r="H363" s="4"/>
    </row>
    <row r="364" spans="7:8" x14ac:dyDescent="0.3">
      <c r="G364" s="4"/>
      <c r="H364" s="4"/>
    </row>
    <row r="365" spans="7:8" x14ac:dyDescent="0.3">
      <c r="G365" s="4"/>
      <c r="H365" s="4"/>
    </row>
    <row r="366" spans="7:8" x14ac:dyDescent="0.3">
      <c r="G366" s="4"/>
      <c r="H366" s="4"/>
    </row>
    <row r="367" spans="7:8" x14ac:dyDescent="0.3">
      <c r="G367" s="4"/>
      <c r="H367" s="4"/>
    </row>
    <row r="368" spans="7:8" x14ac:dyDescent="0.3">
      <c r="G368" s="4"/>
      <c r="H368" s="4"/>
    </row>
    <row r="369" spans="7:8" x14ac:dyDescent="0.3">
      <c r="G369" s="4"/>
      <c r="H369" s="4"/>
    </row>
    <row r="370" spans="7:8" x14ac:dyDescent="0.3">
      <c r="G370" s="4"/>
      <c r="H370" s="4"/>
    </row>
    <row r="371" spans="7:8" x14ac:dyDescent="0.3">
      <c r="G371" s="4"/>
      <c r="H371" s="4"/>
    </row>
    <row r="372" spans="7:8" x14ac:dyDescent="0.3">
      <c r="G372" s="4"/>
      <c r="H372" s="4"/>
    </row>
    <row r="373" spans="7:8" x14ac:dyDescent="0.3">
      <c r="G373" s="4"/>
      <c r="H373" s="4"/>
    </row>
    <row r="374" spans="7:8" x14ac:dyDescent="0.3">
      <c r="G374" s="4"/>
      <c r="H374" s="4"/>
    </row>
    <row r="375" spans="7:8" x14ac:dyDescent="0.3">
      <c r="G375" s="4"/>
      <c r="H375" s="4"/>
    </row>
    <row r="376" spans="7:8" x14ac:dyDescent="0.3">
      <c r="G376" s="4"/>
      <c r="H376" s="4"/>
    </row>
    <row r="377" spans="7:8" x14ac:dyDescent="0.3">
      <c r="G377" s="4"/>
      <c r="H377" s="4"/>
    </row>
    <row r="378" spans="7:8" x14ac:dyDescent="0.3">
      <c r="G378" s="4"/>
      <c r="H378" s="4"/>
    </row>
    <row r="379" spans="7:8" x14ac:dyDescent="0.3">
      <c r="G379" s="4"/>
      <c r="H379" s="4"/>
    </row>
    <row r="380" spans="7:8" x14ac:dyDescent="0.3">
      <c r="G380" s="4"/>
      <c r="H380" s="4"/>
    </row>
    <row r="381" spans="7:8" x14ac:dyDescent="0.3">
      <c r="G381" s="4"/>
      <c r="H381" s="4"/>
    </row>
    <row r="382" spans="7:8" x14ac:dyDescent="0.3">
      <c r="G382" s="4"/>
      <c r="H382" s="4"/>
    </row>
    <row r="383" spans="7:8" x14ac:dyDescent="0.3">
      <c r="G383" s="4"/>
      <c r="H383" s="4"/>
    </row>
    <row r="384" spans="7:8" x14ac:dyDescent="0.3">
      <c r="G384" s="4"/>
      <c r="H384" s="4"/>
    </row>
    <row r="385" spans="7:8" x14ac:dyDescent="0.3">
      <c r="G385" s="4"/>
      <c r="H385" s="4"/>
    </row>
    <row r="386" spans="7:8" x14ac:dyDescent="0.3">
      <c r="G386" s="4"/>
      <c r="H386" s="4"/>
    </row>
    <row r="387" spans="7:8" x14ac:dyDescent="0.3">
      <c r="G387" s="4"/>
      <c r="H387" s="4"/>
    </row>
    <row r="388" spans="7:8" x14ac:dyDescent="0.3">
      <c r="G388" s="4"/>
      <c r="H388" s="4"/>
    </row>
    <row r="389" spans="7:8" x14ac:dyDescent="0.3">
      <c r="G389" s="4"/>
      <c r="H389" s="4"/>
    </row>
    <row r="390" spans="7:8" x14ac:dyDescent="0.3">
      <c r="G390" s="4"/>
      <c r="H390" s="4"/>
    </row>
    <row r="391" spans="7:8" x14ac:dyDescent="0.3">
      <c r="G391" s="4"/>
      <c r="H391" s="4"/>
    </row>
    <row r="392" spans="7:8" x14ac:dyDescent="0.3">
      <c r="G392" s="4"/>
      <c r="H392" s="4"/>
    </row>
    <row r="393" spans="7:8" x14ac:dyDescent="0.3">
      <c r="G393" s="4"/>
      <c r="H393" s="4"/>
    </row>
    <row r="394" spans="7:8" x14ac:dyDescent="0.3">
      <c r="G394" s="4"/>
      <c r="H394" s="4"/>
    </row>
    <row r="395" spans="7:8" x14ac:dyDescent="0.3">
      <c r="G395" s="4"/>
      <c r="H395" s="4"/>
    </row>
    <row r="396" spans="7:8" x14ac:dyDescent="0.3">
      <c r="G396" s="4"/>
      <c r="H396" s="4"/>
    </row>
    <row r="397" spans="7:8" x14ac:dyDescent="0.3">
      <c r="G397" s="4"/>
      <c r="H397" s="4"/>
    </row>
    <row r="398" spans="7:8" x14ac:dyDescent="0.3">
      <c r="G398" s="4"/>
      <c r="H398" s="4"/>
    </row>
    <row r="399" spans="7:8" x14ac:dyDescent="0.3">
      <c r="G399" s="4"/>
      <c r="H399" s="4"/>
    </row>
    <row r="400" spans="7:8" x14ac:dyDescent="0.3">
      <c r="G400" s="4"/>
      <c r="H400" s="4"/>
    </row>
    <row r="401" spans="7:8" x14ac:dyDescent="0.3">
      <c r="G401" s="4"/>
      <c r="H401" s="4"/>
    </row>
    <row r="402" spans="7:8" x14ac:dyDescent="0.3">
      <c r="G402" s="4"/>
      <c r="H402" s="4"/>
    </row>
    <row r="403" spans="7:8" x14ac:dyDescent="0.3">
      <c r="G403" s="4"/>
      <c r="H403" s="4"/>
    </row>
    <row r="404" spans="7:8" x14ac:dyDescent="0.3">
      <c r="G404" s="4"/>
      <c r="H404" s="4"/>
    </row>
    <row r="405" spans="7:8" x14ac:dyDescent="0.3">
      <c r="G405" s="4"/>
      <c r="H405" s="4"/>
    </row>
    <row r="406" spans="7:8" x14ac:dyDescent="0.3">
      <c r="G406" s="4"/>
      <c r="H406" s="4"/>
    </row>
    <row r="407" spans="7:8" x14ac:dyDescent="0.3">
      <c r="G407" s="4"/>
      <c r="H407" s="4"/>
    </row>
    <row r="408" spans="7:8" x14ac:dyDescent="0.3">
      <c r="G408" s="4"/>
      <c r="H408" s="4"/>
    </row>
    <row r="409" spans="7:8" x14ac:dyDescent="0.3">
      <c r="G409" s="4"/>
      <c r="H409" s="4"/>
    </row>
    <row r="410" spans="7:8" x14ac:dyDescent="0.3">
      <c r="G410" s="4"/>
      <c r="H410" s="4"/>
    </row>
    <row r="411" spans="7:8" x14ac:dyDescent="0.3">
      <c r="G411" s="4"/>
      <c r="H411" s="4"/>
    </row>
    <row r="412" spans="7:8" x14ac:dyDescent="0.3">
      <c r="G412" s="4"/>
      <c r="H412" s="4"/>
    </row>
    <row r="413" spans="7:8" x14ac:dyDescent="0.3">
      <c r="G413" s="4"/>
      <c r="H413" s="4"/>
    </row>
    <row r="414" spans="7:8" x14ac:dyDescent="0.3">
      <c r="G414" s="4"/>
      <c r="H414" s="4"/>
    </row>
    <row r="415" spans="7:8" x14ac:dyDescent="0.3">
      <c r="G415" s="4"/>
      <c r="H415" s="4"/>
    </row>
    <row r="416" spans="7:8" x14ac:dyDescent="0.3">
      <c r="G416" s="4"/>
      <c r="H416" s="4"/>
    </row>
    <row r="417" spans="7:8" x14ac:dyDescent="0.3">
      <c r="G417" s="4"/>
      <c r="H417" s="4"/>
    </row>
    <row r="418" spans="7:8" x14ac:dyDescent="0.3">
      <c r="G418" s="4"/>
      <c r="H418" s="4"/>
    </row>
    <row r="419" spans="7:8" x14ac:dyDescent="0.3">
      <c r="G419" s="4"/>
      <c r="H419" s="4"/>
    </row>
    <row r="420" spans="7:8" x14ac:dyDescent="0.3">
      <c r="G420" s="4"/>
      <c r="H420" s="4"/>
    </row>
    <row r="421" spans="7:8" x14ac:dyDescent="0.3">
      <c r="G421" s="4"/>
      <c r="H421" s="4"/>
    </row>
    <row r="422" spans="7:8" x14ac:dyDescent="0.3">
      <c r="G422" s="4"/>
      <c r="H422" s="4"/>
    </row>
    <row r="423" spans="7:8" x14ac:dyDescent="0.3">
      <c r="G423" s="4"/>
      <c r="H423" s="4"/>
    </row>
    <row r="424" spans="7:8" x14ac:dyDescent="0.3">
      <c r="G424" s="4"/>
      <c r="H424" s="4"/>
    </row>
    <row r="425" spans="7:8" x14ac:dyDescent="0.3">
      <c r="G425" s="4"/>
      <c r="H425" s="4"/>
    </row>
    <row r="426" spans="7:8" x14ac:dyDescent="0.3">
      <c r="G426" s="4"/>
      <c r="H426" s="4"/>
    </row>
    <row r="427" spans="7:8" x14ac:dyDescent="0.3">
      <c r="G427" s="4"/>
      <c r="H427" s="4"/>
    </row>
    <row r="428" spans="7:8" x14ac:dyDescent="0.3">
      <c r="G428" s="4"/>
      <c r="H428" s="4"/>
    </row>
    <row r="429" spans="7:8" x14ac:dyDescent="0.3">
      <c r="G429" s="4"/>
      <c r="H429" s="4"/>
    </row>
    <row r="430" spans="7:8" x14ac:dyDescent="0.3">
      <c r="G430" s="4"/>
      <c r="H430" s="4"/>
    </row>
    <row r="431" spans="7:8" x14ac:dyDescent="0.3">
      <c r="G431" s="4"/>
      <c r="H431" s="4"/>
    </row>
    <row r="432" spans="7:8" x14ac:dyDescent="0.3">
      <c r="G432" s="4"/>
      <c r="H432" s="4"/>
    </row>
    <row r="433" spans="7:8" x14ac:dyDescent="0.3">
      <c r="G433" s="4"/>
      <c r="H433" s="4"/>
    </row>
    <row r="434" spans="7:8" x14ac:dyDescent="0.3">
      <c r="G434" s="4"/>
      <c r="H434" s="4"/>
    </row>
    <row r="435" spans="7:8" x14ac:dyDescent="0.3">
      <c r="G435" s="4"/>
      <c r="H435" s="4"/>
    </row>
    <row r="436" spans="7:8" x14ac:dyDescent="0.3">
      <c r="G436" s="4"/>
      <c r="H436" s="4"/>
    </row>
    <row r="437" spans="7:8" x14ac:dyDescent="0.3">
      <c r="G437" s="4"/>
      <c r="H437" s="4"/>
    </row>
    <row r="438" spans="7:8" x14ac:dyDescent="0.3">
      <c r="G438" s="4"/>
      <c r="H438" s="4"/>
    </row>
    <row r="439" spans="7:8" x14ac:dyDescent="0.3">
      <c r="G439" s="4"/>
      <c r="H439" s="4"/>
    </row>
    <row r="440" spans="7:8" x14ac:dyDescent="0.3">
      <c r="G440" s="4"/>
      <c r="H440" s="4"/>
    </row>
    <row r="441" spans="7:8" x14ac:dyDescent="0.3">
      <c r="G441" s="4"/>
      <c r="H441" s="4"/>
    </row>
    <row r="442" spans="7:8" x14ac:dyDescent="0.3">
      <c r="G442" s="4"/>
      <c r="H442" s="4"/>
    </row>
    <row r="443" spans="7:8" x14ac:dyDescent="0.3">
      <c r="G443" s="4"/>
      <c r="H443" s="4"/>
    </row>
    <row r="444" spans="7:8" x14ac:dyDescent="0.3">
      <c r="G444" s="4"/>
      <c r="H444" s="4"/>
    </row>
    <row r="445" spans="7:8" x14ac:dyDescent="0.3">
      <c r="G445" s="4"/>
      <c r="H445" s="4"/>
    </row>
    <row r="446" spans="7:8" x14ac:dyDescent="0.3">
      <c r="G446" s="4"/>
      <c r="H446" s="4"/>
    </row>
    <row r="447" spans="7:8" x14ac:dyDescent="0.3">
      <c r="G447" s="4"/>
      <c r="H447" s="4"/>
    </row>
    <row r="448" spans="7:8" x14ac:dyDescent="0.3">
      <c r="G448" s="4"/>
      <c r="H448" s="4"/>
    </row>
    <row r="449" spans="7:8" x14ac:dyDescent="0.3">
      <c r="G449" s="4"/>
      <c r="H449" s="4"/>
    </row>
    <row r="450" spans="7:8" x14ac:dyDescent="0.3">
      <c r="G450" s="4"/>
      <c r="H450" s="4"/>
    </row>
    <row r="451" spans="7:8" x14ac:dyDescent="0.3">
      <c r="G451" s="4"/>
      <c r="H451" s="4"/>
    </row>
    <row r="452" spans="7:8" x14ac:dyDescent="0.3">
      <c r="G452" s="4"/>
      <c r="H452" s="4"/>
    </row>
    <row r="453" spans="7:8" x14ac:dyDescent="0.3">
      <c r="G453" s="4"/>
      <c r="H453" s="4"/>
    </row>
    <row r="454" spans="7:8" x14ac:dyDescent="0.3">
      <c r="G454" s="4"/>
      <c r="H454" s="4"/>
    </row>
    <row r="455" spans="7:8" x14ac:dyDescent="0.3">
      <c r="G455" s="4"/>
      <c r="H455" s="4"/>
    </row>
    <row r="456" spans="7:8" x14ac:dyDescent="0.3">
      <c r="G456" s="4"/>
      <c r="H456" s="4"/>
    </row>
    <row r="457" spans="7:8" x14ac:dyDescent="0.3">
      <c r="G457" s="4"/>
      <c r="H457" s="4"/>
    </row>
    <row r="458" spans="7:8" x14ac:dyDescent="0.3">
      <c r="G458" s="4"/>
      <c r="H458" s="4"/>
    </row>
    <row r="459" spans="7:8" x14ac:dyDescent="0.3">
      <c r="G459" s="4"/>
      <c r="H459" s="4"/>
    </row>
    <row r="460" spans="7:8" x14ac:dyDescent="0.3">
      <c r="G460" s="4"/>
      <c r="H460" s="4"/>
    </row>
    <row r="461" spans="7:8" x14ac:dyDescent="0.3">
      <c r="G461" s="4"/>
      <c r="H461" s="4"/>
    </row>
    <row r="462" spans="7:8" x14ac:dyDescent="0.3">
      <c r="G462" s="4"/>
      <c r="H462" s="4"/>
    </row>
    <row r="463" spans="7:8" x14ac:dyDescent="0.3">
      <c r="G463" s="4"/>
      <c r="H463" s="4"/>
    </row>
    <row r="464" spans="7:8" x14ac:dyDescent="0.3">
      <c r="G464" s="4"/>
      <c r="H464" s="4"/>
    </row>
    <row r="465" spans="7:8" x14ac:dyDescent="0.3">
      <c r="G465" s="4"/>
      <c r="H465" s="4"/>
    </row>
    <row r="466" spans="7:8" x14ac:dyDescent="0.3">
      <c r="G466" s="4"/>
      <c r="H466" s="4"/>
    </row>
    <row r="467" spans="7:8" x14ac:dyDescent="0.3">
      <c r="G467" s="4"/>
      <c r="H467" s="4"/>
    </row>
    <row r="468" spans="7:8" x14ac:dyDescent="0.3">
      <c r="G468" s="4"/>
      <c r="H468" s="4"/>
    </row>
    <row r="469" spans="7:8" x14ac:dyDescent="0.3">
      <c r="G469" s="4"/>
      <c r="H469" s="4"/>
    </row>
    <row r="470" spans="7:8" x14ac:dyDescent="0.3">
      <c r="G470" s="4"/>
      <c r="H470" s="4"/>
    </row>
    <row r="471" spans="7:8" x14ac:dyDescent="0.3">
      <c r="G471" s="4"/>
      <c r="H471" s="4"/>
    </row>
    <row r="472" spans="7:8" x14ac:dyDescent="0.3">
      <c r="G472" s="4"/>
      <c r="H472" s="4"/>
    </row>
    <row r="473" spans="7:8" x14ac:dyDescent="0.3">
      <c r="G473" s="4"/>
      <c r="H473" s="4"/>
    </row>
    <row r="474" spans="7:8" x14ac:dyDescent="0.3">
      <c r="G474" s="4"/>
      <c r="H474" s="4"/>
    </row>
    <row r="475" spans="7:8" x14ac:dyDescent="0.3">
      <c r="G475" s="4"/>
      <c r="H475" s="4"/>
    </row>
    <row r="476" spans="7:8" x14ac:dyDescent="0.3">
      <c r="G476" s="4"/>
      <c r="H476" s="4"/>
    </row>
    <row r="477" spans="7:8" x14ac:dyDescent="0.3">
      <c r="G477" s="4"/>
      <c r="H477" s="4"/>
    </row>
    <row r="478" spans="7:8" x14ac:dyDescent="0.3">
      <c r="G478" s="4"/>
      <c r="H478" s="4"/>
    </row>
    <row r="479" spans="7:8" x14ac:dyDescent="0.3">
      <c r="G479" s="4"/>
      <c r="H479" s="4"/>
    </row>
    <row r="480" spans="7:8" x14ac:dyDescent="0.3">
      <c r="G480" s="4"/>
      <c r="H480" s="4"/>
    </row>
    <row r="481" spans="7:8" x14ac:dyDescent="0.3">
      <c r="G481" s="4"/>
      <c r="H481" s="4"/>
    </row>
    <row r="482" spans="7:8" x14ac:dyDescent="0.3">
      <c r="G482" s="4"/>
      <c r="H482" s="4"/>
    </row>
    <row r="483" spans="7:8" x14ac:dyDescent="0.3">
      <c r="G483" s="4"/>
      <c r="H483" s="4"/>
    </row>
    <row r="484" spans="7:8" x14ac:dyDescent="0.3">
      <c r="G484" s="4"/>
      <c r="H484" s="4"/>
    </row>
    <row r="485" spans="7:8" x14ac:dyDescent="0.3">
      <c r="G485" s="4"/>
      <c r="H485" s="4"/>
    </row>
    <row r="486" spans="7:8" x14ac:dyDescent="0.3">
      <c r="G486" s="4"/>
      <c r="H486" s="4"/>
    </row>
    <row r="487" spans="7:8" x14ac:dyDescent="0.3">
      <c r="G487" s="4"/>
      <c r="H487" s="4"/>
    </row>
    <row r="488" spans="7:8" x14ac:dyDescent="0.3">
      <c r="G488" s="4"/>
      <c r="H488" s="4"/>
    </row>
    <row r="489" spans="7:8" x14ac:dyDescent="0.3">
      <c r="G489" s="4"/>
      <c r="H489" s="4"/>
    </row>
    <row r="490" spans="7:8" x14ac:dyDescent="0.3">
      <c r="G490" s="4"/>
      <c r="H490" s="4"/>
    </row>
    <row r="491" spans="7:8" x14ac:dyDescent="0.3">
      <c r="G491" s="4"/>
      <c r="H491" s="4"/>
    </row>
    <row r="492" spans="7:8" x14ac:dyDescent="0.3">
      <c r="G492" s="4"/>
      <c r="H492" s="4"/>
    </row>
    <row r="493" spans="7:8" x14ac:dyDescent="0.3">
      <c r="G493" s="4"/>
      <c r="H493" s="4"/>
    </row>
    <row r="494" spans="7:8" x14ac:dyDescent="0.3">
      <c r="G494" s="4"/>
      <c r="H494" s="4"/>
    </row>
    <row r="495" spans="7:8" x14ac:dyDescent="0.3">
      <c r="G495" s="4"/>
      <c r="H495" s="4"/>
    </row>
    <row r="496" spans="7:8" x14ac:dyDescent="0.3">
      <c r="G496" s="4"/>
      <c r="H496" s="4"/>
    </row>
    <row r="497" spans="7:8" x14ac:dyDescent="0.3">
      <c r="G497" s="4"/>
      <c r="H497" s="4"/>
    </row>
    <row r="498" spans="7:8" x14ac:dyDescent="0.3">
      <c r="G498" s="4"/>
      <c r="H498" s="4"/>
    </row>
    <row r="499" spans="7:8" x14ac:dyDescent="0.3">
      <c r="G499" s="4"/>
      <c r="H499" s="4"/>
    </row>
    <row r="500" spans="7:8" x14ac:dyDescent="0.3">
      <c r="G500" s="4"/>
      <c r="H500" s="4"/>
    </row>
    <row r="501" spans="7:8" x14ac:dyDescent="0.3">
      <c r="G501" s="4"/>
      <c r="H501" s="4"/>
    </row>
    <row r="502" spans="7:8" x14ac:dyDescent="0.3">
      <c r="G502" s="4"/>
      <c r="H502" s="4"/>
    </row>
    <row r="503" spans="7:8" x14ac:dyDescent="0.3">
      <c r="G503" s="4"/>
      <c r="H503" s="4"/>
    </row>
    <row r="504" spans="7:8" x14ac:dyDescent="0.3">
      <c r="G504" s="4"/>
      <c r="H504" s="4"/>
    </row>
    <row r="505" spans="7:8" x14ac:dyDescent="0.3">
      <c r="G505" s="4"/>
      <c r="H505" s="4"/>
    </row>
    <row r="506" spans="7:8" x14ac:dyDescent="0.3">
      <c r="G506" s="4"/>
      <c r="H506" s="4"/>
    </row>
    <row r="507" spans="7:8" x14ac:dyDescent="0.3">
      <c r="G507" s="4"/>
      <c r="H507" s="4"/>
    </row>
    <row r="508" spans="7:8" x14ac:dyDescent="0.3">
      <c r="G508" s="4"/>
      <c r="H508" s="4"/>
    </row>
    <row r="509" spans="7:8" x14ac:dyDescent="0.3">
      <c r="G509" s="4"/>
      <c r="H509" s="4"/>
    </row>
    <row r="510" spans="7:8" x14ac:dyDescent="0.3">
      <c r="G510" s="4"/>
      <c r="H510" s="4"/>
    </row>
    <row r="511" spans="7:8" x14ac:dyDescent="0.3">
      <c r="G511" s="4"/>
      <c r="H511" s="4"/>
    </row>
    <row r="512" spans="7:8" x14ac:dyDescent="0.3">
      <c r="G512" s="4"/>
      <c r="H512" s="4"/>
    </row>
    <row r="513" spans="7:8" x14ac:dyDescent="0.3">
      <c r="G513" s="4"/>
      <c r="H513" s="4"/>
    </row>
    <row r="514" spans="7:8" x14ac:dyDescent="0.3">
      <c r="G514" s="4"/>
      <c r="H514" s="4"/>
    </row>
    <row r="515" spans="7:8" x14ac:dyDescent="0.3">
      <c r="G515" s="4"/>
      <c r="H515" s="4"/>
    </row>
    <row r="516" spans="7:8" x14ac:dyDescent="0.3">
      <c r="G516" s="4"/>
      <c r="H516" s="4"/>
    </row>
    <row r="517" spans="7:8" x14ac:dyDescent="0.3">
      <c r="G517" s="4"/>
      <c r="H517" s="4"/>
    </row>
    <row r="518" spans="7:8" x14ac:dyDescent="0.3">
      <c r="G518" s="4"/>
      <c r="H518" s="4"/>
    </row>
    <row r="519" spans="7:8" x14ac:dyDescent="0.3">
      <c r="G519" s="4"/>
      <c r="H519" s="4"/>
    </row>
    <row r="520" spans="7:8" x14ac:dyDescent="0.3">
      <c r="G520" s="4"/>
      <c r="H520" s="4"/>
    </row>
    <row r="521" spans="7:8" x14ac:dyDescent="0.3">
      <c r="G521" s="4"/>
      <c r="H521" s="4"/>
    </row>
    <row r="522" spans="7:8" x14ac:dyDescent="0.3">
      <c r="G522" s="4"/>
      <c r="H522" s="4"/>
    </row>
    <row r="523" spans="7:8" x14ac:dyDescent="0.3">
      <c r="G523" s="4"/>
      <c r="H523" s="4"/>
    </row>
    <row r="524" spans="7:8" x14ac:dyDescent="0.3">
      <c r="G524" s="4"/>
      <c r="H524" s="4"/>
    </row>
    <row r="525" spans="7:8" x14ac:dyDescent="0.3">
      <c r="G525" s="4"/>
      <c r="H525" s="4"/>
    </row>
    <row r="526" spans="7:8" x14ac:dyDescent="0.3">
      <c r="G526" s="4"/>
      <c r="H526" s="4"/>
    </row>
    <row r="527" spans="7:8" x14ac:dyDescent="0.3">
      <c r="G527" s="4"/>
      <c r="H527" s="4"/>
    </row>
    <row r="528" spans="7:8" x14ac:dyDescent="0.3">
      <c r="G528" s="4"/>
      <c r="H528" s="4"/>
    </row>
    <row r="529" spans="7:8" x14ac:dyDescent="0.3">
      <c r="G529" s="4"/>
      <c r="H529" s="4"/>
    </row>
    <row r="530" spans="7:8" x14ac:dyDescent="0.3">
      <c r="G530" s="4"/>
      <c r="H530" s="4"/>
    </row>
    <row r="531" spans="7:8" x14ac:dyDescent="0.3">
      <c r="G531" s="4"/>
      <c r="H531" s="4"/>
    </row>
    <row r="532" spans="7:8" x14ac:dyDescent="0.3">
      <c r="G532" s="4"/>
      <c r="H532" s="4"/>
    </row>
    <row r="533" spans="7:8" x14ac:dyDescent="0.3">
      <c r="G533" s="4"/>
      <c r="H533" s="4"/>
    </row>
    <row r="534" spans="7:8" x14ac:dyDescent="0.3">
      <c r="G534" s="4"/>
      <c r="H534" s="4"/>
    </row>
    <row r="535" spans="7:8" x14ac:dyDescent="0.3">
      <c r="G535" s="4"/>
      <c r="H535" s="4"/>
    </row>
    <row r="536" spans="7:8" x14ac:dyDescent="0.3">
      <c r="G536" s="4"/>
      <c r="H536" s="4"/>
    </row>
    <row r="537" spans="7:8" x14ac:dyDescent="0.3">
      <c r="G537" s="4"/>
      <c r="H537" s="4"/>
    </row>
    <row r="538" spans="7:8" x14ac:dyDescent="0.3">
      <c r="G538" s="4"/>
      <c r="H538" s="4"/>
    </row>
    <row r="539" spans="7:8" x14ac:dyDescent="0.3">
      <c r="G539" s="4"/>
      <c r="H539" s="4"/>
    </row>
    <row r="540" spans="7:8" x14ac:dyDescent="0.3">
      <c r="G540" s="4"/>
      <c r="H540" s="4"/>
    </row>
    <row r="541" spans="7:8" x14ac:dyDescent="0.3">
      <c r="G541" s="4"/>
      <c r="H541" s="4"/>
    </row>
    <row r="542" spans="7:8" x14ac:dyDescent="0.3">
      <c r="G542" s="4"/>
      <c r="H542" s="4"/>
    </row>
    <row r="543" spans="7:8" x14ac:dyDescent="0.3">
      <c r="G543" s="4"/>
      <c r="H543" s="4"/>
    </row>
    <row r="544" spans="7:8" x14ac:dyDescent="0.3">
      <c r="G544" s="4"/>
      <c r="H544" s="4"/>
    </row>
    <row r="545" spans="7:8" x14ac:dyDescent="0.3">
      <c r="G545" s="4"/>
      <c r="H545" s="4"/>
    </row>
    <row r="546" spans="7:8" x14ac:dyDescent="0.3">
      <c r="G546" s="4"/>
      <c r="H546" s="4"/>
    </row>
    <row r="547" spans="7:8" x14ac:dyDescent="0.3">
      <c r="G547" s="4"/>
      <c r="H547" s="4"/>
    </row>
    <row r="548" spans="7:8" x14ac:dyDescent="0.3">
      <c r="G548" s="4"/>
      <c r="H548" s="4"/>
    </row>
    <row r="549" spans="7:8" x14ac:dyDescent="0.3">
      <c r="G549" s="4"/>
      <c r="H549" s="4"/>
    </row>
    <row r="550" spans="7:8" x14ac:dyDescent="0.3">
      <c r="G550" s="4"/>
      <c r="H550" s="4"/>
    </row>
    <row r="551" spans="7:8" x14ac:dyDescent="0.3">
      <c r="G551" s="4"/>
      <c r="H551" s="4"/>
    </row>
    <row r="552" spans="7:8" x14ac:dyDescent="0.3">
      <c r="G552" s="4"/>
      <c r="H552" s="4"/>
    </row>
    <row r="553" spans="7:8" x14ac:dyDescent="0.3">
      <c r="G553" s="4"/>
      <c r="H553" s="4"/>
    </row>
    <row r="554" spans="7:8" x14ac:dyDescent="0.3">
      <c r="G554" s="4"/>
      <c r="H554" s="4"/>
    </row>
    <row r="555" spans="7:8" x14ac:dyDescent="0.3">
      <c r="G555" s="4"/>
      <c r="H555" s="4"/>
    </row>
    <row r="556" spans="7:8" x14ac:dyDescent="0.3">
      <c r="G556" s="4"/>
      <c r="H556" s="4"/>
    </row>
    <row r="557" spans="7:8" x14ac:dyDescent="0.3">
      <c r="G557" s="4"/>
      <c r="H557" s="4"/>
    </row>
    <row r="558" spans="7:8" x14ac:dyDescent="0.3">
      <c r="G558" s="4"/>
      <c r="H558" s="4"/>
    </row>
    <row r="559" spans="7:8" x14ac:dyDescent="0.3">
      <c r="G559" s="4"/>
      <c r="H559" s="4"/>
    </row>
    <row r="560" spans="7:8" x14ac:dyDescent="0.3">
      <c r="G560" s="4"/>
      <c r="H560" s="4"/>
    </row>
    <row r="561" spans="7:8" x14ac:dyDescent="0.3">
      <c r="G561" s="4"/>
      <c r="H561" s="4"/>
    </row>
    <row r="562" spans="7:8" x14ac:dyDescent="0.3">
      <c r="G562" s="4"/>
      <c r="H562" s="4"/>
    </row>
    <row r="563" spans="7:8" x14ac:dyDescent="0.3">
      <c r="G563" s="4"/>
      <c r="H563" s="4"/>
    </row>
    <row r="564" spans="7:8" x14ac:dyDescent="0.3">
      <c r="G564" s="4"/>
      <c r="H564" s="4"/>
    </row>
    <row r="565" spans="7:8" x14ac:dyDescent="0.3">
      <c r="G565" s="4"/>
      <c r="H565" s="4"/>
    </row>
    <row r="566" spans="7:8" x14ac:dyDescent="0.3">
      <c r="G566" s="4"/>
      <c r="H566" s="4"/>
    </row>
    <row r="567" spans="7:8" x14ac:dyDescent="0.3">
      <c r="G567" s="4"/>
      <c r="H567" s="4"/>
    </row>
    <row r="568" spans="7:8" x14ac:dyDescent="0.3">
      <c r="G568" s="4"/>
      <c r="H568" s="4"/>
    </row>
    <row r="569" spans="7:8" x14ac:dyDescent="0.3">
      <c r="G569" s="4"/>
      <c r="H569" s="4"/>
    </row>
    <row r="570" spans="7:8" x14ac:dyDescent="0.3">
      <c r="G570" s="4"/>
      <c r="H570" s="4"/>
    </row>
    <row r="571" spans="7:8" x14ac:dyDescent="0.3">
      <c r="G571" s="4"/>
      <c r="H571" s="4"/>
    </row>
    <row r="572" spans="7:8" x14ac:dyDescent="0.3">
      <c r="G572" s="4"/>
      <c r="H572" s="4"/>
    </row>
    <row r="573" spans="7:8" x14ac:dyDescent="0.3">
      <c r="G573" s="4"/>
      <c r="H573" s="4"/>
    </row>
    <row r="574" spans="7:8" x14ac:dyDescent="0.3">
      <c r="G574" s="4"/>
      <c r="H574" s="4"/>
    </row>
    <row r="575" spans="7:8" x14ac:dyDescent="0.3">
      <c r="G575" s="4"/>
      <c r="H575" s="4"/>
    </row>
    <row r="576" spans="7:8" x14ac:dyDescent="0.3">
      <c r="G576" s="4"/>
      <c r="H576" s="4"/>
    </row>
    <row r="577" spans="7:8" x14ac:dyDescent="0.3">
      <c r="G577" s="4"/>
      <c r="H577" s="4"/>
    </row>
    <row r="578" spans="7:8" x14ac:dyDescent="0.3">
      <c r="G578" s="4"/>
      <c r="H578" s="4"/>
    </row>
    <row r="579" spans="7:8" x14ac:dyDescent="0.3">
      <c r="G579" s="4"/>
      <c r="H579" s="4"/>
    </row>
    <row r="580" spans="7:8" x14ac:dyDescent="0.3">
      <c r="G580" s="4"/>
      <c r="H580" s="4"/>
    </row>
    <row r="581" spans="7:8" x14ac:dyDescent="0.3">
      <c r="G581" s="4"/>
      <c r="H581" s="4"/>
    </row>
    <row r="582" spans="7:8" x14ac:dyDescent="0.3">
      <c r="G582" s="4"/>
      <c r="H582" s="4"/>
    </row>
    <row r="583" spans="7:8" x14ac:dyDescent="0.3">
      <c r="G583" s="4"/>
      <c r="H583" s="4"/>
    </row>
    <row r="584" spans="7:8" x14ac:dyDescent="0.3">
      <c r="G584" s="4"/>
      <c r="H584" s="4"/>
    </row>
    <row r="585" spans="7:8" x14ac:dyDescent="0.3">
      <c r="G585" s="4"/>
      <c r="H585" s="4"/>
    </row>
    <row r="586" spans="7:8" x14ac:dyDescent="0.3">
      <c r="G586" s="4"/>
      <c r="H586" s="4"/>
    </row>
    <row r="587" spans="7:8" x14ac:dyDescent="0.3">
      <c r="G587" s="4"/>
      <c r="H587" s="4"/>
    </row>
    <row r="588" spans="7:8" x14ac:dyDescent="0.3">
      <c r="G588" s="4"/>
      <c r="H588" s="4"/>
    </row>
    <row r="589" spans="7:8" x14ac:dyDescent="0.3">
      <c r="G589" s="4"/>
      <c r="H589" s="4"/>
    </row>
    <row r="590" spans="7:8" x14ac:dyDescent="0.3">
      <c r="G590" s="4"/>
      <c r="H590" s="4"/>
    </row>
    <row r="591" spans="7:8" x14ac:dyDescent="0.3">
      <c r="G591" s="4"/>
      <c r="H591" s="4"/>
    </row>
    <row r="592" spans="7:8" x14ac:dyDescent="0.3">
      <c r="G592" s="4"/>
      <c r="H592" s="4"/>
    </row>
    <row r="593" spans="7:8" x14ac:dyDescent="0.3">
      <c r="G593" s="4"/>
      <c r="H593" s="4"/>
    </row>
    <row r="594" spans="7:8" x14ac:dyDescent="0.3">
      <c r="G594" s="4"/>
      <c r="H594" s="4"/>
    </row>
    <row r="595" spans="7:8" x14ac:dyDescent="0.3">
      <c r="G595" s="4"/>
      <c r="H595" s="4"/>
    </row>
    <row r="596" spans="7:8" x14ac:dyDescent="0.3">
      <c r="G596" s="4"/>
      <c r="H596" s="4"/>
    </row>
    <row r="597" spans="7:8" x14ac:dyDescent="0.3">
      <c r="G597" s="4"/>
      <c r="H597" s="4"/>
    </row>
    <row r="598" spans="7:8" x14ac:dyDescent="0.3">
      <c r="G598" s="4"/>
      <c r="H598" s="4"/>
    </row>
    <row r="599" spans="7:8" x14ac:dyDescent="0.3">
      <c r="G599" s="4"/>
      <c r="H599" s="4"/>
    </row>
    <row r="600" spans="7:8" x14ac:dyDescent="0.3">
      <c r="G600" s="4"/>
      <c r="H600" s="4"/>
    </row>
    <row r="601" spans="7:8" x14ac:dyDescent="0.3">
      <c r="G601" s="4"/>
      <c r="H601" s="4"/>
    </row>
    <row r="602" spans="7:8" x14ac:dyDescent="0.3">
      <c r="G602" s="4"/>
      <c r="H602" s="4"/>
    </row>
    <row r="603" spans="7:8" x14ac:dyDescent="0.3">
      <c r="G603" s="4"/>
      <c r="H603" s="4"/>
    </row>
    <row r="604" spans="7:8" x14ac:dyDescent="0.3">
      <c r="G604" s="4"/>
      <c r="H604" s="4"/>
    </row>
    <row r="605" spans="7:8" x14ac:dyDescent="0.3">
      <c r="G605" s="4"/>
      <c r="H605" s="4"/>
    </row>
    <row r="606" spans="7:8" x14ac:dyDescent="0.3">
      <c r="G606" s="4"/>
      <c r="H606" s="4"/>
    </row>
    <row r="607" spans="7:8" x14ac:dyDescent="0.3">
      <c r="G607" s="4"/>
      <c r="H607" s="4"/>
    </row>
    <row r="608" spans="7:8" x14ac:dyDescent="0.3">
      <c r="G608" s="4"/>
      <c r="H608" s="4"/>
    </row>
    <row r="609" spans="7:8" x14ac:dyDescent="0.3">
      <c r="G609" s="4"/>
      <c r="H609" s="4"/>
    </row>
    <row r="610" spans="7:8" x14ac:dyDescent="0.3">
      <c r="G610" s="4"/>
      <c r="H610" s="4"/>
    </row>
    <row r="611" spans="7:8" x14ac:dyDescent="0.3">
      <c r="G611" s="4"/>
      <c r="H611" s="4"/>
    </row>
    <row r="612" spans="7:8" x14ac:dyDescent="0.3">
      <c r="G612" s="4"/>
      <c r="H612" s="4"/>
    </row>
    <row r="613" spans="7:8" x14ac:dyDescent="0.3">
      <c r="G613" s="4"/>
      <c r="H613" s="4"/>
    </row>
    <row r="614" spans="7:8" x14ac:dyDescent="0.3">
      <c r="G614" s="4"/>
      <c r="H614" s="4"/>
    </row>
    <row r="615" spans="7:8" x14ac:dyDescent="0.3">
      <c r="G615" s="4"/>
      <c r="H615" s="4"/>
    </row>
    <row r="616" spans="7:8" x14ac:dyDescent="0.3">
      <c r="G616" s="4"/>
      <c r="H616" s="4"/>
    </row>
    <row r="617" spans="7:8" x14ac:dyDescent="0.3">
      <c r="G617" s="4"/>
      <c r="H617" s="4"/>
    </row>
    <row r="618" spans="7:8" x14ac:dyDescent="0.3">
      <c r="G618" s="4"/>
      <c r="H618" s="4"/>
    </row>
    <row r="619" spans="7:8" x14ac:dyDescent="0.3">
      <c r="G619" s="4"/>
      <c r="H619" s="4"/>
    </row>
    <row r="620" spans="7:8" x14ac:dyDescent="0.3">
      <c r="G620" s="4"/>
      <c r="H620" s="4"/>
    </row>
    <row r="621" spans="7:8" x14ac:dyDescent="0.3">
      <c r="G621" s="4"/>
      <c r="H621" s="4"/>
    </row>
    <row r="622" spans="7:8" x14ac:dyDescent="0.3">
      <c r="G622" s="4"/>
      <c r="H622" s="4"/>
    </row>
    <row r="623" spans="7:8" x14ac:dyDescent="0.3">
      <c r="G623" s="4"/>
      <c r="H623" s="4"/>
    </row>
    <row r="624" spans="7:8" x14ac:dyDescent="0.3">
      <c r="G624" s="4"/>
      <c r="H624" s="4"/>
    </row>
    <row r="625" spans="7:8" x14ac:dyDescent="0.3">
      <c r="G625" s="4"/>
      <c r="H625" s="4"/>
    </row>
    <row r="626" spans="7:8" x14ac:dyDescent="0.3">
      <c r="G626" s="4"/>
      <c r="H626" s="4"/>
    </row>
    <row r="627" spans="7:8" x14ac:dyDescent="0.3">
      <c r="G627" s="4"/>
      <c r="H627" s="4"/>
    </row>
    <row r="628" spans="7:8" x14ac:dyDescent="0.3">
      <c r="G628" s="4"/>
      <c r="H628" s="4"/>
    </row>
    <row r="629" spans="7:8" x14ac:dyDescent="0.3">
      <c r="G629" s="4"/>
      <c r="H629" s="4"/>
    </row>
    <row r="630" spans="7:8" x14ac:dyDescent="0.3">
      <c r="G630" s="4"/>
      <c r="H630" s="4"/>
    </row>
    <row r="631" spans="7:8" x14ac:dyDescent="0.3">
      <c r="G631" s="4"/>
      <c r="H631" s="4"/>
    </row>
    <row r="632" spans="7:8" x14ac:dyDescent="0.3">
      <c r="G632" s="4"/>
      <c r="H632" s="4"/>
    </row>
    <row r="633" spans="7:8" x14ac:dyDescent="0.3">
      <c r="G633" s="4"/>
      <c r="H633" s="4"/>
    </row>
    <row r="634" spans="7:8" x14ac:dyDescent="0.3">
      <c r="G634" s="4"/>
      <c r="H634" s="4"/>
    </row>
    <row r="635" spans="7:8" x14ac:dyDescent="0.3">
      <c r="G635" s="4"/>
      <c r="H635" s="4"/>
    </row>
    <row r="636" spans="7:8" x14ac:dyDescent="0.3">
      <c r="G636" s="4"/>
      <c r="H636" s="4"/>
    </row>
    <row r="637" spans="7:8" x14ac:dyDescent="0.3">
      <c r="G637" s="4"/>
      <c r="H637" s="4"/>
    </row>
    <row r="638" spans="7:8" x14ac:dyDescent="0.3">
      <c r="G638" s="4"/>
      <c r="H638" s="4"/>
    </row>
    <row r="639" spans="7:8" x14ac:dyDescent="0.3">
      <c r="G639" s="4"/>
      <c r="H639" s="4"/>
    </row>
    <row r="640" spans="7:8" x14ac:dyDescent="0.3">
      <c r="G640" s="4"/>
      <c r="H640" s="4"/>
    </row>
    <row r="641" spans="7:8" x14ac:dyDescent="0.3">
      <c r="G641" s="4"/>
      <c r="H641" s="4"/>
    </row>
    <row r="642" spans="7:8" x14ac:dyDescent="0.3">
      <c r="G642" s="4"/>
      <c r="H642" s="4"/>
    </row>
    <row r="643" spans="7:8" x14ac:dyDescent="0.3">
      <c r="G643" s="4"/>
      <c r="H643" s="4"/>
    </row>
    <row r="644" spans="7:8" x14ac:dyDescent="0.3">
      <c r="G644" s="4"/>
      <c r="H644" s="4"/>
    </row>
    <row r="645" spans="7:8" x14ac:dyDescent="0.3">
      <c r="G645" s="4"/>
      <c r="H645" s="4"/>
    </row>
    <row r="646" spans="7:8" x14ac:dyDescent="0.3">
      <c r="G646" s="4"/>
      <c r="H646" s="4"/>
    </row>
    <row r="647" spans="7:8" x14ac:dyDescent="0.3">
      <c r="G647" s="4"/>
      <c r="H647" s="4"/>
    </row>
    <row r="648" spans="7:8" x14ac:dyDescent="0.3">
      <c r="G648" s="4"/>
      <c r="H648" s="4"/>
    </row>
    <row r="649" spans="7:8" x14ac:dyDescent="0.3">
      <c r="G649" s="4"/>
      <c r="H649" s="4"/>
    </row>
    <row r="650" spans="7:8" x14ac:dyDescent="0.3">
      <c r="G650" s="4"/>
      <c r="H650" s="4"/>
    </row>
    <row r="651" spans="7:8" x14ac:dyDescent="0.3">
      <c r="G651" s="4"/>
      <c r="H651" s="4"/>
    </row>
    <row r="652" spans="7:8" x14ac:dyDescent="0.3">
      <c r="G652" s="4"/>
      <c r="H652" s="4"/>
    </row>
    <row r="653" spans="7:8" x14ac:dyDescent="0.3">
      <c r="G653" s="4"/>
      <c r="H653" s="4"/>
    </row>
    <row r="654" spans="7:8" x14ac:dyDescent="0.3">
      <c r="G654" s="4"/>
      <c r="H654" s="4"/>
    </row>
    <row r="655" spans="7:8" x14ac:dyDescent="0.3">
      <c r="G655" s="4"/>
      <c r="H655" s="4"/>
    </row>
    <row r="656" spans="7:8" x14ac:dyDescent="0.3">
      <c r="G656" s="4"/>
      <c r="H656" s="4"/>
    </row>
    <row r="657" spans="7:8" x14ac:dyDescent="0.3">
      <c r="G657" s="4"/>
      <c r="H657" s="4"/>
    </row>
    <row r="658" spans="7:8" x14ac:dyDescent="0.3">
      <c r="G658" s="4"/>
      <c r="H658" s="4"/>
    </row>
    <row r="659" spans="7:8" x14ac:dyDescent="0.3">
      <c r="G659" s="4"/>
      <c r="H659" s="4"/>
    </row>
    <row r="660" spans="7:8" x14ac:dyDescent="0.3">
      <c r="G660" s="4"/>
      <c r="H660" s="4"/>
    </row>
    <row r="661" spans="7:8" x14ac:dyDescent="0.3">
      <c r="G661" s="4"/>
      <c r="H661" s="4"/>
    </row>
    <row r="662" spans="7:8" x14ac:dyDescent="0.3">
      <c r="G662" s="4"/>
      <c r="H662" s="4"/>
    </row>
    <row r="663" spans="7:8" x14ac:dyDescent="0.3">
      <c r="G663" s="4"/>
      <c r="H663" s="4"/>
    </row>
    <row r="664" spans="7:8" x14ac:dyDescent="0.3">
      <c r="G664" s="4"/>
      <c r="H664" s="4"/>
    </row>
    <row r="665" spans="7:8" x14ac:dyDescent="0.3">
      <c r="G665" s="4"/>
      <c r="H665" s="4"/>
    </row>
    <row r="666" spans="7:8" x14ac:dyDescent="0.3">
      <c r="G666" s="4"/>
      <c r="H666" s="4"/>
    </row>
    <row r="667" spans="7:8" x14ac:dyDescent="0.3">
      <c r="G667" s="4"/>
      <c r="H667" s="4"/>
    </row>
    <row r="668" spans="7:8" x14ac:dyDescent="0.3">
      <c r="G668" s="4"/>
      <c r="H668" s="4"/>
    </row>
    <row r="669" spans="7:8" x14ac:dyDescent="0.3">
      <c r="G669" s="4"/>
      <c r="H669" s="4"/>
    </row>
    <row r="670" spans="7:8" x14ac:dyDescent="0.3">
      <c r="G670" s="4"/>
      <c r="H670" s="4"/>
    </row>
    <row r="671" spans="7:8" x14ac:dyDescent="0.3">
      <c r="G671" s="4"/>
      <c r="H671" s="4"/>
    </row>
    <row r="672" spans="7:8" x14ac:dyDescent="0.3">
      <c r="G672" s="4"/>
      <c r="H672" s="4"/>
    </row>
    <row r="673" spans="7:8" x14ac:dyDescent="0.3">
      <c r="G673" s="4"/>
      <c r="H673" s="4"/>
    </row>
    <row r="674" spans="7:8" x14ac:dyDescent="0.3">
      <c r="G674" s="4"/>
      <c r="H674" s="4"/>
    </row>
    <row r="675" spans="7:8" x14ac:dyDescent="0.3">
      <c r="G675" s="4"/>
      <c r="H675" s="4"/>
    </row>
    <row r="676" spans="7:8" x14ac:dyDescent="0.3">
      <c r="G676" s="4"/>
      <c r="H676" s="4"/>
    </row>
    <row r="677" spans="7:8" x14ac:dyDescent="0.3">
      <c r="G677" s="4"/>
      <c r="H677" s="4"/>
    </row>
    <row r="678" spans="7:8" x14ac:dyDescent="0.3">
      <c r="G678" s="4"/>
      <c r="H678" s="4"/>
    </row>
    <row r="679" spans="7:8" x14ac:dyDescent="0.3">
      <c r="G679" s="4"/>
      <c r="H679" s="4"/>
    </row>
    <row r="680" spans="7:8" x14ac:dyDescent="0.3">
      <c r="G680" s="4"/>
      <c r="H680" s="4"/>
    </row>
    <row r="681" spans="7:8" x14ac:dyDescent="0.3">
      <c r="G681" s="4"/>
      <c r="H681" s="4"/>
    </row>
    <row r="682" spans="7:8" x14ac:dyDescent="0.3">
      <c r="G682" s="4"/>
      <c r="H682" s="4"/>
    </row>
    <row r="683" spans="7:8" x14ac:dyDescent="0.3">
      <c r="G683" s="4"/>
      <c r="H683" s="4"/>
    </row>
    <row r="684" spans="7:8" x14ac:dyDescent="0.3">
      <c r="G684" s="4"/>
      <c r="H684" s="4"/>
    </row>
    <row r="685" spans="7:8" x14ac:dyDescent="0.3">
      <c r="G685" s="4"/>
      <c r="H685" s="4"/>
    </row>
    <row r="686" spans="7:8" x14ac:dyDescent="0.3">
      <c r="G686" s="4"/>
      <c r="H686" s="4"/>
    </row>
    <row r="687" spans="7:8" x14ac:dyDescent="0.3">
      <c r="G687" s="4"/>
      <c r="H687" s="4"/>
    </row>
    <row r="688" spans="7:8" x14ac:dyDescent="0.3">
      <c r="G688" s="4"/>
      <c r="H688" s="4"/>
    </row>
    <row r="689" spans="7:8" x14ac:dyDescent="0.3">
      <c r="G689" s="4"/>
      <c r="H689" s="4"/>
    </row>
    <row r="690" spans="7:8" x14ac:dyDescent="0.3">
      <c r="G690" s="4"/>
      <c r="H690" s="4"/>
    </row>
    <row r="691" spans="7:8" x14ac:dyDescent="0.3">
      <c r="G691" s="4"/>
      <c r="H691" s="4"/>
    </row>
    <row r="692" spans="7:8" x14ac:dyDescent="0.3">
      <c r="G692" s="4"/>
      <c r="H692" s="4"/>
    </row>
    <row r="693" spans="7:8" x14ac:dyDescent="0.3">
      <c r="G693" s="4"/>
      <c r="H693" s="4"/>
    </row>
    <row r="694" spans="7:8" x14ac:dyDescent="0.3">
      <c r="G694" s="4"/>
      <c r="H694" s="4"/>
    </row>
    <row r="695" spans="7:8" x14ac:dyDescent="0.3">
      <c r="G695" s="4"/>
      <c r="H695" s="4"/>
    </row>
    <row r="696" spans="7:8" x14ac:dyDescent="0.3">
      <c r="G696" s="4"/>
      <c r="H696" s="4"/>
    </row>
    <row r="697" spans="7:8" x14ac:dyDescent="0.3">
      <c r="G697" s="4"/>
      <c r="H697" s="4"/>
    </row>
    <row r="698" spans="7:8" x14ac:dyDescent="0.3">
      <c r="G698" s="4"/>
      <c r="H698" s="4"/>
    </row>
    <row r="699" spans="7:8" x14ac:dyDescent="0.3">
      <c r="G699" s="4"/>
      <c r="H699" s="4"/>
    </row>
    <row r="700" spans="7:8" x14ac:dyDescent="0.3">
      <c r="G700" s="4"/>
      <c r="H700" s="4"/>
    </row>
    <row r="701" spans="7:8" x14ac:dyDescent="0.3">
      <c r="G701" s="4"/>
      <c r="H701" s="4"/>
    </row>
    <row r="702" spans="7:8" x14ac:dyDescent="0.3">
      <c r="G702" s="4"/>
      <c r="H702" s="4"/>
    </row>
    <row r="703" spans="7:8" x14ac:dyDescent="0.3">
      <c r="G703" s="4"/>
      <c r="H703" s="4"/>
    </row>
    <row r="704" spans="7:8" x14ac:dyDescent="0.3">
      <c r="G704" s="4"/>
      <c r="H704" s="4"/>
    </row>
    <row r="705" spans="7:8" x14ac:dyDescent="0.3">
      <c r="G705" s="4"/>
      <c r="H705" s="4"/>
    </row>
    <row r="706" spans="7:8" x14ac:dyDescent="0.3">
      <c r="G706" s="4"/>
      <c r="H706" s="4"/>
    </row>
    <row r="707" spans="7:8" x14ac:dyDescent="0.3">
      <c r="G707" s="4"/>
      <c r="H707" s="4"/>
    </row>
    <row r="708" spans="7:8" x14ac:dyDescent="0.3">
      <c r="G708" s="4"/>
      <c r="H708" s="4"/>
    </row>
    <row r="709" spans="7:8" x14ac:dyDescent="0.3">
      <c r="G709" s="4"/>
      <c r="H709" s="4"/>
    </row>
    <row r="710" spans="7:8" x14ac:dyDescent="0.3">
      <c r="G710" s="4"/>
      <c r="H710" s="4"/>
    </row>
    <row r="711" spans="7:8" x14ac:dyDescent="0.3">
      <c r="G711" s="4"/>
      <c r="H711" s="4"/>
    </row>
    <row r="712" spans="7:8" x14ac:dyDescent="0.3">
      <c r="G712" s="4"/>
      <c r="H712" s="4"/>
    </row>
    <row r="713" spans="7:8" x14ac:dyDescent="0.3">
      <c r="G713" s="4"/>
      <c r="H713" s="4"/>
    </row>
    <row r="714" spans="7:8" x14ac:dyDescent="0.3">
      <c r="G714" s="4"/>
      <c r="H714" s="4"/>
    </row>
    <row r="715" spans="7:8" x14ac:dyDescent="0.3">
      <c r="G715" s="4"/>
      <c r="H715" s="4"/>
    </row>
    <row r="716" spans="7:8" x14ac:dyDescent="0.3">
      <c r="G716" s="4"/>
      <c r="H716" s="4"/>
    </row>
    <row r="717" spans="7:8" x14ac:dyDescent="0.3">
      <c r="G717" s="4"/>
      <c r="H717" s="4"/>
    </row>
    <row r="718" spans="7:8" x14ac:dyDescent="0.3">
      <c r="G718" s="4"/>
      <c r="H718" s="4"/>
    </row>
    <row r="719" spans="7:8" x14ac:dyDescent="0.3">
      <c r="G719" s="4"/>
      <c r="H719" s="4"/>
    </row>
    <row r="720" spans="7:8" x14ac:dyDescent="0.3">
      <c r="G720" s="4"/>
      <c r="H720" s="4"/>
    </row>
    <row r="721" spans="7:8" x14ac:dyDescent="0.3">
      <c r="G721" s="4"/>
      <c r="H721" s="4"/>
    </row>
    <row r="722" spans="7:8" x14ac:dyDescent="0.3">
      <c r="G722" s="4"/>
      <c r="H722" s="4"/>
    </row>
    <row r="723" spans="7:8" x14ac:dyDescent="0.3">
      <c r="G723" s="4"/>
      <c r="H723" s="4"/>
    </row>
    <row r="724" spans="7:8" x14ac:dyDescent="0.3">
      <c r="G724" s="4"/>
      <c r="H724" s="4"/>
    </row>
    <row r="725" spans="7:8" x14ac:dyDescent="0.3">
      <c r="G725" s="4"/>
      <c r="H725" s="4"/>
    </row>
    <row r="726" spans="7:8" x14ac:dyDescent="0.3">
      <c r="G726" s="4"/>
      <c r="H726" s="4"/>
    </row>
    <row r="727" spans="7:8" x14ac:dyDescent="0.3">
      <c r="G727" s="4"/>
      <c r="H727" s="4"/>
    </row>
    <row r="728" spans="7:8" x14ac:dyDescent="0.3">
      <c r="G728" s="4"/>
      <c r="H728" s="4"/>
    </row>
    <row r="729" spans="7:8" x14ac:dyDescent="0.3">
      <c r="G729" s="4"/>
      <c r="H729" s="4"/>
    </row>
    <row r="730" spans="7:8" x14ac:dyDescent="0.3">
      <c r="G730" s="4"/>
      <c r="H730" s="4"/>
    </row>
    <row r="731" spans="7:8" x14ac:dyDescent="0.3">
      <c r="G731" s="4"/>
      <c r="H731" s="4"/>
    </row>
    <row r="732" spans="7:8" x14ac:dyDescent="0.3">
      <c r="G732" s="4"/>
      <c r="H732" s="4"/>
    </row>
    <row r="733" spans="7:8" x14ac:dyDescent="0.3">
      <c r="G733" s="4"/>
      <c r="H733" s="4"/>
    </row>
    <row r="734" spans="7:8" x14ac:dyDescent="0.3">
      <c r="G734" s="4"/>
      <c r="H734" s="4"/>
    </row>
    <row r="735" spans="7:8" x14ac:dyDescent="0.3">
      <c r="G735" s="4"/>
      <c r="H735" s="4"/>
    </row>
    <row r="736" spans="7:8" x14ac:dyDescent="0.3">
      <c r="G736" s="4"/>
      <c r="H736" s="4"/>
    </row>
    <row r="737" spans="7:8" x14ac:dyDescent="0.3">
      <c r="G737" s="4"/>
      <c r="H737" s="4"/>
    </row>
    <row r="738" spans="7:8" x14ac:dyDescent="0.3">
      <c r="G738" s="4"/>
      <c r="H738" s="4"/>
    </row>
    <row r="739" spans="7:8" x14ac:dyDescent="0.3">
      <c r="G739" s="4"/>
      <c r="H739" s="4"/>
    </row>
    <row r="740" spans="7:8" x14ac:dyDescent="0.3">
      <c r="G740" s="4"/>
      <c r="H740" s="4"/>
    </row>
    <row r="741" spans="7:8" x14ac:dyDescent="0.3">
      <c r="G741" s="4"/>
      <c r="H741" s="4"/>
    </row>
    <row r="742" spans="7:8" x14ac:dyDescent="0.3">
      <c r="G742" s="4"/>
      <c r="H742" s="4"/>
    </row>
    <row r="743" spans="7:8" x14ac:dyDescent="0.3">
      <c r="G743" s="4"/>
      <c r="H743" s="4"/>
    </row>
    <row r="744" spans="7:8" x14ac:dyDescent="0.3">
      <c r="G744" s="4"/>
      <c r="H744" s="4"/>
    </row>
    <row r="745" spans="7:8" x14ac:dyDescent="0.3">
      <c r="G745" s="4"/>
      <c r="H745" s="4"/>
    </row>
    <row r="746" spans="7:8" x14ac:dyDescent="0.3">
      <c r="G746" s="4"/>
      <c r="H746" s="4"/>
    </row>
    <row r="747" spans="7:8" x14ac:dyDescent="0.3">
      <c r="G747" s="4"/>
      <c r="H747" s="4"/>
    </row>
    <row r="748" spans="7:8" x14ac:dyDescent="0.3">
      <c r="G748" s="4"/>
      <c r="H748" s="4"/>
    </row>
    <row r="749" spans="7:8" x14ac:dyDescent="0.3">
      <c r="G749" s="4"/>
      <c r="H749" s="4"/>
    </row>
    <row r="750" spans="7:8" x14ac:dyDescent="0.3">
      <c r="G750" s="4"/>
      <c r="H750" s="4"/>
    </row>
    <row r="751" spans="7:8" x14ac:dyDescent="0.3">
      <c r="G751" s="4"/>
      <c r="H751" s="4"/>
    </row>
    <row r="752" spans="7:8" x14ac:dyDescent="0.3">
      <c r="G752" s="4"/>
      <c r="H752" s="4"/>
    </row>
    <row r="753" spans="7:8" x14ac:dyDescent="0.3">
      <c r="G753" s="4"/>
      <c r="H753" s="4"/>
    </row>
    <row r="754" spans="7:8" x14ac:dyDescent="0.3">
      <c r="G754" s="4"/>
      <c r="H754" s="4"/>
    </row>
    <row r="755" spans="7:8" x14ac:dyDescent="0.3">
      <c r="G755" s="4"/>
      <c r="H755" s="4"/>
    </row>
    <row r="756" spans="7:8" x14ac:dyDescent="0.3">
      <c r="G756" s="4"/>
      <c r="H756" s="4"/>
    </row>
    <row r="757" spans="7:8" x14ac:dyDescent="0.3">
      <c r="G757" s="4"/>
      <c r="H757" s="4"/>
    </row>
    <row r="758" spans="7:8" x14ac:dyDescent="0.3">
      <c r="G758" s="4"/>
      <c r="H758" s="4"/>
    </row>
    <row r="759" spans="7:8" x14ac:dyDescent="0.3">
      <c r="G759" s="4"/>
      <c r="H759" s="4"/>
    </row>
    <row r="760" spans="7:8" x14ac:dyDescent="0.3">
      <c r="G760" s="4"/>
      <c r="H760" s="4"/>
    </row>
    <row r="761" spans="7:8" x14ac:dyDescent="0.3">
      <c r="G761" s="4"/>
      <c r="H761" s="4"/>
    </row>
    <row r="762" spans="7:8" x14ac:dyDescent="0.3">
      <c r="G762" s="4"/>
      <c r="H762" s="4"/>
    </row>
    <row r="763" spans="7:8" x14ac:dyDescent="0.3">
      <c r="G763" s="4"/>
      <c r="H763" s="4"/>
    </row>
    <row r="764" spans="7:8" x14ac:dyDescent="0.3">
      <c r="G764" s="4"/>
      <c r="H764" s="4"/>
    </row>
    <row r="765" spans="7:8" x14ac:dyDescent="0.3">
      <c r="G765" s="4"/>
      <c r="H765" s="4"/>
    </row>
    <row r="766" spans="7:8" x14ac:dyDescent="0.3">
      <c r="G766" s="4"/>
      <c r="H766" s="4"/>
    </row>
    <row r="767" spans="7:8" x14ac:dyDescent="0.3">
      <c r="G767" s="4"/>
      <c r="H767" s="4"/>
    </row>
    <row r="768" spans="7:8" x14ac:dyDescent="0.3">
      <c r="G768" s="4"/>
      <c r="H768" s="4"/>
    </row>
    <row r="769" spans="7:8" x14ac:dyDescent="0.3">
      <c r="G769" s="4"/>
      <c r="H769" s="4"/>
    </row>
    <row r="770" spans="7:8" x14ac:dyDescent="0.3">
      <c r="G770" s="4"/>
      <c r="H770" s="4"/>
    </row>
    <row r="771" spans="7:8" x14ac:dyDescent="0.3">
      <c r="G771" s="4"/>
      <c r="H771" s="4"/>
    </row>
    <row r="772" spans="7:8" x14ac:dyDescent="0.3">
      <c r="G772" s="4"/>
      <c r="H772" s="4"/>
    </row>
    <row r="773" spans="7:8" x14ac:dyDescent="0.3">
      <c r="G773" s="4"/>
      <c r="H773" s="4"/>
    </row>
    <row r="774" spans="7:8" x14ac:dyDescent="0.3">
      <c r="G774" s="4"/>
      <c r="H774" s="4"/>
    </row>
    <row r="775" spans="7:8" x14ac:dyDescent="0.3">
      <c r="G775" s="4"/>
      <c r="H775" s="4"/>
    </row>
    <row r="776" spans="7:8" x14ac:dyDescent="0.3">
      <c r="G776" s="4"/>
      <c r="H776" s="4"/>
    </row>
    <row r="777" spans="7:8" x14ac:dyDescent="0.3">
      <c r="G777" s="4"/>
      <c r="H777" s="4"/>
    </row>
    <row r="778" spans="7:8" x14ac:dyDescent="0.3">
      <c r="G778" s="4"/>
      <c r="H778" s="4"/>
    </row>
    <row r="779" spans="7:8" x14ac:dyDescent="0.3">
      <c r="G779" s="4"/>
      <c r="H779" s="4"/>
    </row>
    <row r="780" spans="7:8" x14ac:dyDescent="0.3">
      <c r="G780" s="4"/>
      <c r="H780" s="4"/>
    </row>
    <row r="781" spans="7:8" x14ac:dyDescent="0.3">
      <c r="G781" s="4"/>
      <c r="H781" s="4"/>
    </row>
    <row r="782" spans="7:8" x14ac:dyDescent="0.3">
      <c r="G782" s="4"/>
      <c r="H782" s="4"/>
    </row>
    <row r="783" spans="7:8" x14ac:dyDescent="0.3">
      <c r="G783" s="4"/>
      <c r="H783" s="4"/>
    </row>
    <row r="784" spans="7:8" x14ac:dyDescent="0.3">
      <c r="G784" s="4"/>
      <c r="H784" s="4"/>
    </row>
    <row r="785" spans="7:8" x14ac:dyDescent="0.3">
      <c r="G785" s="4"/>
      <c r="H785" s="4"/>
    </row>
    <row r="786" spans="7:8" x14ac:dyDescent="0.3">
      <c r="G786" s="4"/>
      <c r="H786" s="4"/>
    </row>
    <row r="787" spans="7:8" x14ac:dyDescent="0.3">
      <c r="G787" s="4"/>
      <c r="H787" s="4"/>
    </row>
    <row r="788" spans="7:8" x14ac:dyDescent="0.3">
      <c r="G788" s="4"/>
      <c r="H788" s="4"/>
    </row>
    <row r="789" spans="7:8" x14ac:dyDescent="0.3">
      <c r="G789" s="4"/>
      <c r="H789" s="4"/>
    </row>
    <row r="790" spans="7:8" x14ac:dyDescent="0.3">
      <c r="G790" s="4"/>
      <c r="H790" s="4"/>
    </row>
    <row r="791" spans="7:8" x14ac:dyDescent="0.3">
      <c r="G791" s="4"/>
      <c r="H791" s="4"/>
    </row>
    <row r="792" spans="7:8" x14ac:dyDescent="0.3">
      <c r="G792" s="4"/>
      <c r="H792" s="4"/>
    </row>
    <row r="793" spans="7:8" x14ac:dyDescent="0.3">
      <c r="G793" s="4"/>
      <c r="H793" s="4"/>
    </row>
    <row r="794" spans="7:8" x14ac:dyDescent="0.3">
      <c r="G794" s="4"/>
      <c r="H794" s="4"/>
    </row>
    <row r="795" spans="7:8" x14ac:dyDescent="0.3">
      <c r="G795" s="4"/>
      <c r="H795" s="4"/>
    </row>
    <row r="796" spans="7:8" x14ac:dyDescent="0.3">
      <c r="G796" s="4"/>
      <c r="H796" s="4"/>
    </row>
    <row r="797" spans="7:8" x14ac:dyDescent="0.3">
      <c r="G797" s="4"/>
      <c r="H797" s="4"/>
    </row>
    <row r="798" spans="7:8" x14ac:dyDescent="0.3">
      <c r="G798" s="4"/>
      <c r="H798" s="4"/>
    </row>
    <row r="799" spans="7:8" x14ac:dyDescent="0.3">
      <c r="G799" s="4"/>
      <c r="H799" s="4"/>
    </row>
    <row r="800" spans="7:8" x14ac:dyDescent="0.3">
      <c r="G800" s="4"/>
      <c r="H800" s="4"/>
    </row>
    <row r="801" spans="7:8" x14ac:dyDescent="0.3">
      <c r="G801" s="4"/>
      <c r="H801" s="4"/>
    </row>
    <row r="802" spans="7:8" x14ac:dyDescent="0.3">
      <c r="G802" s="4"/>
      <c r="H802" s="4"/>
    </row>
    <row r="803" spans="7:8" x14ac:dyDescent="0.3">
      <c r="G803" s="4"/>
      <c r="H803" s="4"/>
    </row>
    <row r="804" spans="7:8" x14ac:dyDescent="0.3">
      <c r="G804" s="4"/>
      <c r="H804" s="4"/>
    </row>
    <row r="805" spans="7:8" x14ac:dyDescent="0.3">
      <c r="G805" s="4"/>
      <c r="H805" s="4"/>
    </row>
    <row r="806" spans="7:8" x14ac:dyDescent="0.3">
      <c r="G806" s="4"/>
      <c r="H806" s="4"/>
    </row>
    <row r="807" spans="7:8" x14ac:dyDescent="0.3">
      <c r="G807" s="4"/>
      <c r="H807" s="4"/>
    </row>
    <row r="808" spans="7:8" x14ac:dyDescent="0.3">
      <c r="G808" s="4"/>
      <c r="H808" s="4"/>
    </row>
    <row r="809" spans="7:8" x14ac:dyDescent="0.3">
      <c r="G809" s="4"/>
      <c r="H809" s="4"/>
    </row>
    <row r="810" spans="7:8" x14ac:dyDescent="0.3">
      <c r="G810" s="4"/>
      <c r="H810" s="4"/>
    </row>
    <row r="811" spans="7:8" x14ac:dyDescent="0.3">
      <c r="G811" s="4"/>
      <c r="H811" s="4"/>
    </row>
    <row r="812" spans="7:8" x14ac:dyDescent="0.3">
      <c r="G812" s="4"/>
      <c r="H812" s="4"/>
    </row>
    <row r="813" spans="7:8" x14ac:dyDescent="0.3">
      <c r="G813" s="4"/>
      <c r="H813" s="4"/>
    </row>
    <row r="814" spans="7:8" x14ac:dyDescent="0.3">
      <c r="G814" s="4"/>
      <c r="H814" s="4"/>
    </row>
    <row r="815" spans="7:8" x14ac:dyDescent="0.3">
      <c r="G815" s="4"/>
      <c r="H815" s="4"/>
    </row>
    <row r="816" spans="7:8" x14ac:dyDescent="0.3">
      <c r="G816" s="4"/>
      <c r="H816" s="4"/>
    </row>
    <row r="817" spans="7:8" x14ac:dyDescent="0.3">
      <c r="G817" s="4"/>
      <c r="H817" s="4"/>
    </row>
    <row r="818" spans="7:8" x14ac:dyDescent="0.3">
      <c r="G818" s="4"/>
      <c r="H818" s="4"/>
    </row>
    <row r="819" spans="7:8" x14ac:dyDescent="0.3">
      <c r="G819" s="4"/>
      <c r="H819" s="4"/>
    </row>
    <row r="820" spans="7:8" x14ac:dyDescent="0.3">
      <c r="G820" s="4"/>
      <c r="H820" s="4"/>
    </row>
    <row r="821" spans="7:8" x14ac:dyDescent="0.3">
      <c r="G821" s="4"/>
      <c r="H821" s="4"/>
    </row>
    <row r="822" spans="7:8" x14ac:dyDescent="0.3">
      <c r="G822" s="4"/>
      <c r="H822" s="4"/>
    </row>
    <row r="823" spans="7:8" x14ac:dyDescent="0.3">
      <c r="G823" s="4"/>
      <c r="H823" s="4"/>
    </row>
    <row r="824" spans="7:8" x14ac:dyDescent="0.3">
      <c r="G824" s="4"/>
      <c r="H824" s="4"/>
    </row>
    <row r="825" spans="7:8" x14ac:dyDescent="0.3">
      <c r="G825" s="4"/>
      <c r="H825" s="4"/>
    </row>
    <row r="826" spans="7:8" x14ac:dyDescent="0.3">
      <c r="G826" s="4"/>
      <c r="H826" s="4"/>
    </row>
    <row r="827" spans="7:8" x14ac:dyDescent="0.3">
      <c r="G827" s="4"/>
      <c r="H827" s="4"/>
    </row>
    <row r="828" spans="7:8" x14ac:dyDescent="0.3">
      <c r="G828" s="4"/>
      <c r="H828" s="4"/>
    </row>
    <row r="829" spans="7:8" x14ac:dyDescent="0.3">
      <c r="G829" s="4"/>
      <c r="H829" s="4"/>
    </row>
    <row r="830" spans="7:8" x14ac:dyDescent="0.3">
      <c r="G830" s="4"/>
      <c r="H830" s="4"/>
    </row>
    <row r="831" spans="7:8" x14ac:dyDescent="0.3">
      <c r="G831" s="4"/>
      <c r="H831" s="4"/>
    </row>
    <row r="832" spans="7:8" x14ac:dyDescent="0.3">
      <c r="G832" s="4"/>
      <c r="H832" s="4"/>
    </row>
    <row r="833" spans="7:8" x14ac:dyDescent="0.3">
      <c r="G833" s="4"/>
      <c r="H833" s="4"/>
    </row>
    <row r="834" spans="7:8" x14ac:dyDescent="0.3">
      <c r="G834" s="4"/>
      <c r="H834" s="4"/>
    </row>
    <row r="835" spans="7:8" x14ac:dyDescent="0.3">
      <c r="G835" s="4"/>
      <c r="H835" s="4"/>
    </row>
    <row r="836" spans="7:8" x14ac:dyDescent="0.3">
      <c r="G836" s="4"/>
      <c r="H836" s="4"/>
    </row>
    <row r="837" spans="7:8" x14ac:dyDescent="0.3">
      <c r="G837" s="4"/>
      <c r="H837" s="4"/>
    </row>
    <row r="838" spans="7:8" x14ac:dyDescent="0.3">
      <c r="G838" s="4"/>
      <c r="H838" s="4"/>
    </row>
    <row r="839" spans="7:8" x14ac:dyDescent="0.3">
      <c r="G839" s="4"/>
      <c r="H839" s="4"/>
    </row>
    <row r="840" spans="7:8" x14ac:dyDescent="0.3">
      <c r="G840" s="4"/>
      <c r="H840" s="4"/>
    </row>
    <row r="841" spans="7:8" x14ac:dyDescent="0.3">
      <c r="G841" s="4"/>
      <c r="H841" s="4"/>
    </row>
    <row r="842" spans="7:8" x14ac:dyDescent="0.3">
      <c r="G842" s="4"/>
      <c r="H842" s="4"/>
    </row>
    <row r="843" spans="7:8" x14ac:dyDescent="0.3">
      <c r="G843" s="4"/>
      <c r="H843" s="4"/>
    </row>
    <row r="844" spans="7:8" x14ac:dyDescent="0.3">
      <c r="G844" s="4"/>
      <c r="H844" s="4"/>
    </row>
    <row r="845" spans="7:8" x14ac:dyDescent="0.3">
      <c r="G845" s="4"/>
      <c r="H845" s="4"/>
    </row>
    <row r="846" spans="7:8" x14ac:dyDescent="0.3">
      <c r="G846" s="4"/>
      <c r="H846" s="4"/>
    </row>
    <row r="847" spans="7:8" x14ac:dyDescent="0.3">
      <c r="G847" s="4"/>
      <c r="H847" s="4"/>
    </row>
    <row r="848" spans="7:8" x14ac:dyDescent="0.3">
      <c r="G848" s="4"/>
      <c r="H848" s="4"/>
    </row>
    <row r="849" spans="7:8" x14ac:dyDescent="0.3">
      <c r="G849" s="4"/>
      <c r="H849" s="4"/>
    </row>
    <row r="850" spans="7:8" x14ac:dyDescent="0.3">
      <c r="G850" s="4"/>
      <c r="H850" s="4"/>
    </row>
    <row r="851" spans="7:8" x14ac:dyDescent="0.3">
      <c r="G851" s="4"/>
      <c r="H851" s="4"/>
    </row>
    <row r="852" spans="7:8" x14ac:dyDescent="0.3">
      <c r="G852" s="4"/>
      <c r="H852" s="4"/>
    </row>
    <row r="853" spans="7:8" x14ac:dyDescent="0.3">
      <c r="G853" s="4"/>
      <c r="H853" s="4"/>
    </row>
    <row r="854" spans="7:8" x14ac:dyDescent="0.3">
      <c r="G854" s="4"/>
      <c r="H854" s="4"/>
    </row>
    <row r="855" spans="7:8" x14ac:dyDescent="0.3">
      <c r="G855" s="4"/>
      <c r="H855" s="4"/>
    </row>
    <row r="856" spans="7:8" x14ac:dyDescent="0.3">
      <c r="G856" s="4"/>
      <c r="H856" s="4"/>
    </row>
    <row r="857" spans="7:8" x14ac:dyDescent="0.3">
      <c r="G857" s="4"/>
      <c r="H857" s="4"/>
    </row>
    <row r="858" spans="7:8" x14ac:dyDescent="0.3">
      <c r="G858" s="4"/>
      <c r="H858" s="4"/>
    </row>
    <row r="859" spans="7:8" x14ac:dyDescent="0.3">
      <c r="G859" s="4"/>
      <c r="H859" s="4"/>
    </row>
    <row r="860" spans="7:8" x14ac:dyDescent="0.3">
      <c r="G860" s="4"/>
      <c r="H860" s="4"/>
    </row>
    <row r="861" spans="7:8" x14ac:dyDescent="0.3">
      <c r="G861" s="4"/>
      <c r="H861" s="4"/>
    </row>
    <row r="862" spans="7:8" x14ac:dyDescent="0.3">
      <c r="G862" s="4"/>
      <c r="H862" s="4"/>
    </row>
    <row r="863" spans="7:8" x14ac:dyDescent="0.3">
      <c r="G863" s="4"/>
      <c r="H863" s="4"/>
    </row>
    <row r="864" spans="7:8" x14ac:dyDescent="0.3">
      <c r="G864" s="4"/>
      <c r="H864" s="4"/>
    </row>
    <row r="865" spans="7:8" x14ac:dyDescent="0.3">
      <c r="G865" s="4"/>
      <c r="H865" s="4"/>
    </row>
    <row r="866" spans="7:8" x14ac:dyDescent="0.3">
      <c r="G866" s="4"/>
      <c r="H866" s="4"/>
    </row>
    <row r="867" spans="7:8" x14ac:dyDescent="0.3">
      <c r="G867" s="4"/>
      <c r="H867" s="4"/>
    </row>
    <row r="868" spans="7:8" x14ac:dyDescent="0.3">
      <c r="G868" s="4"/>
      <c r="H868" s="4"/>
    </row>
    <row r="869" spans="7:8" x14ac:dyDescent="0.3">
      <c r="G869" s="4"/>
      <c r="H869" s="4"/>
    </row>
    <row r="870" spans="7:8" x14ac:dyDescent="0.3">
      <c r="G870" s="4"/>
      <c r="H870" s="4"/>
    </row>
    <row r="871" spans="7:8" x14ac:dyDescent="0.3">
      <c r="G871" s="4"/>
      <c r="H871" s="4"/>
    </row>
    <row r="872" spans="7:8" x14ac:dyDescent="0.3">
      <c r="G872" s="4"/>
      <c r="H872" s="4"/>
    </row>
    <row r="873" spans="7:8" x14ac:dyDescent="0.3">
      <c r="G873" s="4"/>
      <c r="H873" s="4"/>
    </row>
    <row r="874" spans="7:8" x14ac:dyDescent="0.3">
      <c r="G874" s="4"/>
      <c r="H874" s="4"/>
    </row>
    <row r="875" spans="7:8" x14ac:dyDescent="0.3">
      <c r="G875" s="4"/>
      <c r="H875" s="4"/>
    </row>
    <row r="876" spans="7:8" x14ac:dyDescent="0.3">
      <c r="G876" s="4"/>
      <c r="H876" s="4"/>
    </row>
    <row r="877" spans="7:8" x14ac:dyDescent="0.3">
      <c r="G877" s="4"/>
      <c r="H877" s="4"/>
    </row>
    <row r="878" spans="7:8" x14ac:dyDescent="0.3">
      <c r="G878" s="4"/>
      <c r="H878" s="4"/>
    </row>
    <row r="879" spans="7:8" x14ac:dyDescent="0.3">
      <c r="G879" s="4"/>
      <c r="H879" s="4"/>
    </row>
    <row r="880" spans="7:8" x14ac:dyDescent="0.3">
      <c r="G880" s="4"/>
      <c r="H880" s="4"/>
    </row>
    <row r="881" spans="7:8" x14ac:dyDescent="0.3">
      <c r="G881" s="4"/>
      <c r="H881" s="4"/>
    </row>
    <row r="882" spans="7:8" x14ac:dyDescent="0.3">
      <c r="G882" s="4"/>
      <c r="H882" s="4"/>
    </row>
    <row r="883" spans="7:8" x14ac:dyDescent="0.3">
      <c r="G883" s="4"/>
      <c r="H883" s="4"/>
    </row>
    <row r="884" spans="7:8" x14ac:dyDescent="0.3">
      <c r="G884" s="4"/>
      <c r="H884" s="4"/>
    </row>
    <row r="885" spans="7:8" x14ac:dyDescent="0.3">
      <c r="G885" s="4"/>
      <c r="H885" s="4"/>
    </row>
    <row r="886" spans="7:8" x14ac:dyDescent="0.3">
      <c r="G886" s="4"/>
      <c r="H886" s="4"/>
    </row>
    <row r="887" spans="7:8" x14ac:dyDescent="0.3">
      <c r="G887" s="4"/>
      <c r="H887" s="4"/>
    </row>
    <row r="888" spans="7:8" x14ac:dyDescent="0.3">
      <c r="G888" s="4"/>
      <c r="H888" s="4"/>
    </row>
    <row r="889" spans="7:8" x14ac:dyDescent="0.3">
      <c r="G889" s="4"/>
      <c r="H889" s="4"/>
    </row>
    <row r="890" spans="7:8" x14ac:dyDescent="0.3">
      <c r="G890" s="4"/>
      <c r="H890" s="4"/>
    </row>
    <row r="891" spans="7:8" x14ac:dyDescent="0.3">
      <c r="G891" s="4"/>
      <c r="H891" s="4"/>
    </row>
    <row r="892" spans="7:8" x14ac:dyDescent="0.3">
      <c r="G892" s="4"/>
      <c r="H892" s="4"/>
    </row>
    <row r="893" spans="7:8" x14ac:dyDescent="0.3">
      <c r="G893" s="4"/>
      <c r="H893" s="4"/>
    </row>
    <row r="894" spans="7:8" x14ac:dyDescent="0.3">
      <c r="G894" s="4"/>
      <c r="H894" s="4"/>
    </row>
    <row r="895" spans="7:8" x14ac:dyDescent="0.3">
      <c r="G895" s="4"/>
      <c r="H895" s="4"/>
    </row>
    <row r="896" spans="7:8" x14ac:dyDescent="0.3">
      <c r="G896" s="4"/>
      <c r="H896" s="4"/>
    </row>
    <row r="897" spans="7:8" x14ac:dyDescent="0.3">
      <c r="G897" s="4"/>
      <c r="H897" s="4"/>
    </row>
    <row r="898" spans="7:8" x14ac:dyDescent="0.3">
      <c r="G898" s="4"/>
      <c r="H898" s="4"/>
    </row>
    <row r="899" spans="7:8" x14ac:dyDescent="0.3">
      <c r="G899" s="4"/>
      <c r="H899" s="4"/>
    </row>
    <row r="900" spans="7:8" x14ac:dyDescent="0.3">
      <c r="G900" s="4"/>
      <c r="H900" s="4"/>
    </row>
    <row r="901" spans="7:8" x14ac:dyDescent="0.3">
      <c r="G901" s="4"/>
      <c r="H901" s="4"/>
    </row>
    <row r="902" spans="7:8" x14ac:dyDescent="0.3">
      <c r="G902" s="4"/>
      <c r="H902" s="4"/>
    </row>
    <row r="903" spans="7:8" x14ac:dyDescent="0.3">
      <c r="G903" s="4"/>
      <c r="H903" s="4"/>
    </row>
    <row r="904" spans="7:8" x14ac:dyDescent="0.3">
      <c r="G904" s="4"/>
      <c r="H904" s="4"/>
    </row>
    <row r="905" spans="7:8" x14ac:dyDescent="0.3">
      <c r="G905" s="4"/>
      <c r="H905" s="4"/>
    </row>
    <row r="906" spans="7:8" x14ac:dyDescent="0.3">
      <c r="G906" s="4"/>
      <c r="H906" s="4"/>
    </row>
    <row r="907" spans="7:8" x14ac:dyDescent="0.3">
      <c r="G907" s="4"/>
      <c r="H907" s="4"/>
    </row>
    <row r="908" spans="7:8" x14ac:dyDescent="0.3">
      <c r="G908" s="4"/>
      <c r="H908" s="4"/>
    </row>
    <row r="909" spans="7:8" x14ac:dyDescent="0.3">
      <c r="G909" s="4"/>
      <c r="H909" s="4"/>
    </row>
    <row r="910" spans="7:8" x14ac:dyDescent="0.3">
      <c r="G910" s="4"/>
      <c r="H910" s="4"/>
    </row>
    <row r="911" spans="7:8" x14ac:dyDescent="0.3">
      <c r="G911" s="4"/>
      <c r="H911" s="4"/>
    </row>
    <row r="912" spans="7:8" x14ac:dyDescent="0.3">
      <c r="G912" s="4"/>
      <c r="H912" s="4"/>
    </row>
    <row r="913" spans="7:8" x14ac:dyDescent="0.3">
      <c r="G913" s="4"/>
      <c r="H913" s="4"/>
    </row>
    <row r="914" spans="7:8" x14ac:dyDescent="0.3">
      <c r="G914" s="4"/>
      <c r="H914" s="4"/>
    </row>
    <row r="915" spans="7:8" x14ac:dyDescent="0.3">
      <c r="G915" s="4"/>
      <c r="H915" s="4"/>
    </row>
    <row r="916" spans="7:8" x14ac:dyDescent="0.3">
      <c r="G916" s="4"/>
      <c r="H916" s="4"/>
    </row>
    <row r="917" spans="7:8" x14ac:dyDescent="0.3">
      <c r="G917" s="4"/>
      <c r="H917" s="4"/>
    </row>
    <row r="918" spans="7:8" x14ac:dyDescent="0.3">
      <c r="G918" s="4"/>
      <c r="H918" s="4"/>
    </row>
    <row r="919" spans="7:8" x14ac:dyDescent="0.3">
      <c r="G919" s="4"/>
      <c r="H919" s="4"/>
    </row>
    <row r="920" spans="7:8" x14ac:dyDescent="0.3">
      <c r="G920" s="4"/>
      <c r="H920" s="4"/>
    </row>
    <row r="921" spans="7:8" x14ac:dyDescent="0.3">
      <c r="G921" s="4"/>
      <c r="H921" s="4"/>
    </row>
    <row r="922" spans="7:8" x14ac:dyDescent="0.3">
      <c r="G922" s="4"/>
      <c r="H922" s="4"/>
    </row>
    <row r="923" spans="7:8" x14ac:dyDescent="0.3">
      <c r="G923" s="4"/>
      <c r="H923" s="4"/>
    </row>
    <row r="924" spans="7:8" x14ac:dyDescent="0.3">
      <c r="G924" s="4"/>
      <c r="H924" s="4"/>
    </row>
    <row r="925" spans="7:8" x14ac:dyDescent="0.3">
      <c r="G925" s="4"/>
      <c r="H925" s="4"/>
    </row>
    <row r="926" spans="7:8" x14ac:dyDescent="0.3">
      <c r="G926" s="4"/>
      <c r="H926" s="4"/>
    </row>
    <row r="927" spans="7:8" x14ac:dyDescent="0.3">
      <c r="G927" s="4"/>
      <c r="H927" s="4"/>
    </row>
    <row r="928" spans="7:8" x14ac:dyDescent="0.3">
      <c r="G928" s="4"/>
      <c r="H928" s="4"/>
    </row>
    <row r="929" spans="7:8" x14ac:dyDescent="0.3">
      <c r="G929" s="4"/>
      <c r="H929" s="4"/>
    </row>
    <row r="930" spans="7:8" x14ac:dyDescent="0.3">
      <c r="G930" s="4"/>
      <c r="H930" s="4"/>
    </row>
    <row r="931" spans="7:8" x14ac:dyDescent="0.3">
      <c r="G931" s="4"/>
      <c r="H931" s="4"/>
    </row>
    <row r="932" spans="7:8" x14ac:dyDescent="0.3">
      <c r="G932" s="4"/>
      <c r="H932" s="4"/>
    </row>
    <row r="933" spans="7:8" x14ac:dyDescent="0.3">
      <c r="G933" s="4"/>
      <c r="H933" s="4"/>
    </row>
    <row r="934" spans="7:8" x14ac:dyDescent="0.3">
      <c r="G934" s="4"/>
      <c r="H934" s="4"/>
    </row>
    <row r="935" spans="7:8" x14ac:dyDescent="0.3">
      <c r="G935" s="4"/>
      <c r="H935" s="4"/>
    </row>
    <row r="936" spans="7:8" x14ac:dyDescent="0.3">
      <c r="G936" s="4"/>
      <c r="H936" s="4"/>
    </row>
    <row r="937" spans="7:8" x14ac:dyDescent="0.3">
      <c r="G937" s="4"/>
      <c r="H937" s="4"/>
    </row>
    <row r="938" spans="7:8" x14ac:dyDescent="0.3">
      <c r="G938" s="4"/>
      <c r="H938" s="4"/>
    </row>
    <row r="939" spans="7:8" x14ac:dyDescent="0.3">
      <c r="G939" s="4"/>
      <c r="H939" s="4"/>
    </row>
    <row r="940" spans="7:8" x14ac:dyDescent="0.3">
      <c r="G940" s="4"/>
      <c r="H940" s="4"/>
    </row>
    <row r="941" spans="7:8" x14ac:dyDescent="0.3">
      <c r="G941" s="4"/>
      <c r="H941" s="4"/>
    </row>
    <row r="942" spans="7:8" x14ac:dyDescent="0.3">
      <c r="G942" s="4"/>
      <c r="H942" s="4"/>
    </row>
    <row r="943" spans="7:8" x14ac:dyDescent="0.3">
      <c r="G943" s="4"/>
      <c r="H943" s="4"/>
    </row>
    <row r="944" spans="7:8" x14ac:dyDescent="0.3">
      <c r="G944" s="4"/>
      <c r="H944" s="4"/>
    </row>
    <row r="945" spans="7:8" x14ac:dyDescent="0.3">
      <c r="G945" s="4"/>
      <c r="H945" s="4"/>
    </row>
    <row r="946" spans="7:8" x14ac:dyDescent="0.3">
      <c r="G946" s="4"/>
      <c r="H946" s="4"/>
    </row>
    <row r="947" spans="7:8" x14ac:dyDescent="0.3">
      <c r="G947" s="4"/>
      <c r="H947" s="4"/>
    </row>
    <row r="948" spans="7:8" x14ac:dyDescent="0.3">
      <c r="G948" s="4"/>
      <c r="H948" s="4"/>
    </row>
    <row r="949" spans="7:8" x14ac:dyDescent="0.3">
      <c r="G949" s="4"/>
      <c r="H949" s="4"/>
    </row>
    <row r="950" spans="7:8" x14ac:dyDescent="0.3">
      <c r="G950" s="4"/>
      <c r="H950" s="4"/>
    </row>
    <row r="951" spans="7:8" x14ac:dyDescent="0.3">
      <c r="G951" s="4"/>
      <c r="H951" s="4"/>
    </row>
    <row r="952" spans="7:8" x14ac:dyDescent="0.3">
      <c r="G952" s="4"/>
      <c r="H952" s="4"/>
    </row>
    <row r="953" spans="7:8" x14ac:dyDescent="0.3">
      <c r="G953" s="4"/>
      <c r="H953" s="4"/>
    </row>
    <row r="954" spans="7:8" x14ac:dyDescent="0.3">
      <c r="G954" s="4"/>
      <c r="H954" s="4"/>
    </row>
    <row r="955" spans="7:8" x14ac:dyDescent="0.3">
      <c r="G955" s="4"/>
      <c r="H955" s="4"/>
    </row>
    <row r="956" spans="7:8" x14ac:dyDescent="0.3">
      <c r="G956" s="4"/>
      <c r="H956" s="4"/>
    </row>
    <row r="957" spans="7:8" x14ac:dyDescent="0.3">
      <c r="G957" s="4"/>
      <c r="H957" s="4"/>
    </row>
    <row r="958" spans="7:8" x14ac:dyDescent="0.3">
      <c r="G958" s="4"/>
      <c r="H958" s="4"/>
    </row>
    <row r="959" spans="7:8" x14ac:dyDescent="0.3">
      <c r="G959" s="4"/>
      <c r="H959" s="4"/>
    </row>
    <row r="960" spans="7:8" x14ac:dyDescent="0.3">
      <c r="G960" s="4"/>
      <c r="H960" s="4"/>
    </row>
    <row r="961" spans="7:8" x14ac:dyDescent="0.3">
      <c r="G961" s="4"/>
      <c r="H961" s="4"/>
    </row>
    <row r="962" spans="7:8" x14ac:dyDescent="0.3">
      <c r="G962" s="4"/>
      <c r="H962" s="4"/>
    </row>
    <row r="963" spans="7:8" x14ac:dyDescent="0.3">
      <c r="G963" s="4"/>
      <c r="H963" s="4"/>
    </row>
    <row r="964" spans="7:8" x14ac:dyDescent="0.3">
      <c r="G964" s="4"/>
      <c r="H964" s="4"/>
    </row>
    <row r="965" spans="7:8" x14ac:dyDescent="0.3">
      <c r="G965" s="4"/>
      <c r="H965" s="4"/>
    </row>
    <row r="966" spans="7:8" x14ac:dyDescent="0.3">
      <c r="G966" s="4"/>
      <c r="H966" s="4"/>
    </row>
    <row r="967" spans="7:8" x14ac:dyDescent="0.3">
      <c r="G967" s="4"/>
      <c r="H967" s="4"/>
    </row>
    <row r="968" spans="7:8" x14ac:dyDescent="0.3">
      <c r="G968" s="4"/>
      <c r="H968" s="4"/>
    </row>
    <row r="969" spans="7:8" x14ac:dyDescent="0.3">
      <c r="G969" s="4"/>
      <c r="H969" s="4"/>
    </row>
    <row r="970" spans="7:8" x14ac:dyDescent="0.3">
      <c r="G970" s="4"/>
      <c r="H970" s="4"/>
    </row>
    <row r="971" spans="7:8" x14ac:dyDescent="0.3">
      <c r="G971" s="4"/>
      <c r="H971" s="4"/>
    </row>
    <row r="972" spans="7:8" x14ac:dyDescent="0.3">
      <c r="G972" s="4"/>
      <c r="H972" s="4"/>
    </row>
    <row r="973" spans="7:8" x14ac:dyDescent="0.3">
      <c r="G973" s="4"/>
      <c r="H973" s="4"/>
    </row>
    <row r="974" spans="7:8" x14ac:dyDescent="0.3">
      <c r="G974" s="4"/>
      <c r="H974" s="4"/>
    </row>
    <row r="975" spans="7:8" x14ac:dyDescent="0.3">
      <c r="G975" s="4"/>
      <c r="H975" s="4"/>
    </row>
    <row r="976" spans="7:8" x14ac:dyDescent="0.3">
      <c r="G976" s="4"/>
      <c r="H976" s="4"/>
    </row>
    <row r="977" spans="7:8" x14ac:dyDescent="0.3">
      <c r="G977" s="4"/>
      <c r="H977" s="4"/>
    </row>
    <row r="978" spans="7:8" x14ac:dyDescent="0.3">
      <c r="G978" s="4"/>
      <c r="H978" s="4"/>
    </row>
    <row r="979" spans="7:8" x14ac:dyDescent="0.3">
      <c r="G979" s="4"/>
      <c r="H979" s="4"/>
    </row>
    <row r="980" spans="7:8" x14ac:dyDescent="0.3">
      <c r="G980" s="4"/>
      <c r="H980" s="4"/>
    </row>
    <row r="981" spans="7:8" x14ac:dyDescent="0.3">
      <c r="G981" s="4"/>
      <c r="H981" s="4"/>
    </row>
    <row r="982" spans="7:8" x14ac:dyDescent="0.3">
      <c r="G982" s="4"/>
      <c r="H982" s="4"/>
    </row>
    <row r="983" spans="7:8" x14ac:dyDescent="0.3">
      <c r="G983" s="4"/>
      <c r="H983" s="4"/>
    </row>
    <row r="984" spans="7:8" x14ac:dyDescent="0.3">
      <c r="G984" s="4"/>
      <c r="H984" s="4"/>
    </row>
    <row r="985" spans="7:8" x14ac:dyDescent="0.3">
      <c r="G985" s="4"/>
      <c r="H985" s="4"/>
    </row>
    <row r="986" spans="7:8" x14ac:dyDescent="0.3">
      <c r="G986" s="4"/>
      <c r="H986" s="4"/>
    </row>
    <row r="987" spans="7:8" x14ac:dyDescent="0.3">
      <c r="G987" s="4"/>
      <c r="H987" s="4"/>
    </row>
    <row r="988" spans="7:8" x14ac:dyDescent="0.3">
      <c r="G988" s="4"/>
      <c r="H988" s="4"/>
    </row>
    <row r="989" spans="7:8" x14ac:dyDescent="0.3">
      <c r="G989" s="4"/>
      <c r="H989" s="4"/>
    </row>
    <row r="990" spans="7:8" x14ac:dyDescent="0.3">
      <c r="G990" s="4"/>
      <c r="H990" s="4"/>
    </row>
    <row r="991" spans="7:8" x14ac:dyDescent="0.3">
      <c r="G991" s="4"/>
      <c r="H991" s="4"/>
    </row>
    <row r="992" spans="7:8" x14ac:dyDescent="0.3">
      <c r="G992" s="4"/>
      <c r="H992" s="4"/>
    </row>
    <row r="993" spans="7:8" x14ac:dyDescent="0.3">
      <c r="G993" s="4"/>
      <c r="H993" s="4"/>
    </row>
    <row r="994" spans="7:8" x14ac:dyDescent="0.3">
      <c r="G994" s="4"/>
      <c r="H994" s="4"/>
    </row>
    <row r="995" spans="7:8" x14ac:dyDescent="0.3">
      <c r="G995" s="4"/>
      <c r="H995" s="4"/>
    </row>
    <row r="996" spans="7:8" x14ac:dyDescent="0.3">
      <c r="G996" s="4"/>
      <c r="H996" s="4"/>
    </row>
    <row r="997" spans="7:8" x14ac:dyDescent="0.3">
      <c r="G997" s="4"/>
      <c r="H997" s="4"/>
    </row>
    <row r="998" spans="7:8" x14ac:dyDescent="0.3">
      <c r="G998" s="4"/>
      <c r="H998" s="4"/>
    </row>
    <row r="999" spans="7:8" x14ac:dyDescent="0.3">
      <c r="G999" s="4"/>
      <c r="H999" s="4"/>
    </row>
    <row r="1000" spans="7:8" x14ac:dyDescent="0.3">
      <c r="G1000" s="4"/>
      <c r="H1000" s="4"/>
    </row>
    <row r="1001" spans="7:8" x14ac:dyDescent="0.3">
      <c r="G1001" s="4"/>
      <c r="H1001" s="4"/>
    </row>
    <row r="1002" spans="7:8" x14ac:dyDescent="0.3">
      <c r="G1002" s="4"/>
      <c r="H1002" s="4"/>
    </row>
    <row r="1003" spans="7:8" x14ac:dyDescent="0.3">
      <c r="G1003" s="4"/>
      <c r="H1003" s="4"/>
    </row>
    <row r="1004" spans="7:8" x14ac:dyDescent="0.3">
      <c r="G1004" s="4"/>
      <c r="H1004" s="4"/>
    </row>
    <row r="1005" spans="7:8" x14ac:dyDescent="0.3">
      <c r="G1005" s="4"/>
      <c r="H1005" s="4"/>
    </row>
    <row r="1006" spans="7:8" x14ac:dyDescent="0.3">
      <c r="G1006" s="4"/>
      <c r="H1006" s="4"/>
    </row>
    <row r="1007" spans="7:8" x14ac:dyDescent="0.3">
      <c r="G1007" s="4"/>
      <c r="H1007" s="4"/>
    </row>
    <row r="1008" spans="7:8" x14ac:dyDescent="0.3">
      <c r="G1008" s="4"/>
      <c r="H1008" s="4"/>
    </row>
    <row r="1009" spans="7:8" x14ac:dyDescent="0.3">
      <c r="G1009" s="4"/>
      <c r="H1009" s="4"/>
    </row>
    <row r="1010" spans="7:8" x14ac:dyDescent="0.3">
      <c r="G1010" s="4"/>
      <c r="H1010" s="4"/>
    </row>
    <row r="1011" spans="7:8" x14ac:dyDescent="0.3">
      <c r="G1011" s="4"/>
      <c r="H1011" s="4"/>
    </row>
    <row r="1012" spans="7:8" x14ac:dyDescent="0.3">
      <c r="G1012" s="4"/>
      <c r="H1012" s="4"/>
    </row>
    <row r="1013" spans="7:8" x14ac:dyDescent="0.3">
      <c r="G1013" s="4"/>
      <c r="H1013" s="4"/>
    </row>
    <row r="1014" spans="7:8" x14ac:dyDescent="0.3">
      <c r="G1014" s="4"/>
      <c r="H1014" s="4"/>
    </row>
    <row r="1015" spans="7:8" x14ac:dyDescent="0.3">
      <c r="G1015" s="4"/>
      <c r="H1015" s="4"/>
    </row>
    <row r="1016" spans="7:8" x14ac:dyDescent="0.3">
      <c r="G1016" s="4"/>
      <c r="H1016" s="4"/>
    </row>
    <row r="1017" spans="7:8" x14ac:dyDescent="0.3">
      <c r="G1017" s="4"/>
      <c r="H1017" s="4"/>
    </row>
    <row r="1018" spans="7:8" x14ac:dyDescent="0.3">
      <c r="G1018" s="4"/>
      <c r="H1018" s="4"/>
    </row>
    <row r="1019" spans="7:8" x14ac:dyDescent="0.3">
      <c r="G1019" s="4"/>
      <c r="H1019" s="4"/>
    </row>
    <row r="1020" spans="7:8" x14ac:dyDescent="0.3">
      <c r="G1020" s="4"/>
      <c r="H1020" s="4"/>
    </row>
    <row r="1021" spans="7:8" x14ac:dyDescent="0.3">
      <c r="G1021" s="4"/>
      <c r="H1021" s="4"/>
    </row>
    <row r="1022" spans="7:8" x14ac:dyDescent="0.3">
      <c r="G1022" s="4"/>
      <c r="H1022" s="4"/>
    </row>
    <row r="1023" spans="7:8" x14ac:dyDescent="0.3">
      <c r="G1023" s="4"/>
      <c r="H1023" s="4"/>
    </row>
    <row r="1024" spans="7:8" x14ac:dyDescent="0.3">
      <c r="G1024" s="4"/>
      <c r="H1024" s="4"/>
    </row>
    <row r="1025" spans="7:8" x14ac:dyDescent="0.3">
      <c r="G1025" s="4"/>
      <c r="H1025" s="4"/>
    </row>
    <row r="1026" spans="7:8" x14ac:dyDescent="0.3">
      <c r="G1026" s="4"/>
      <c r="H1026" s="4"/>
    </row>
    <row r="1027" spans="7:8" x14ac:dyDescent="0.3">
      <c r="G1027" s="4"/>
      <c r="H1027" s="4"/>
    </row>
    <row r="1028" spans="7:8" x14ac:dyDescent="0.3">
      <c r="G1028" s="4"/>
      <c r="H1028" s="4"/>
    </row>
    <row r="1029" spans="7:8" x14ac:dyDescent="0.3">
      <c r="G1029" s="4"/>
      <c r="H1029" s="4"/>
    </row>
    <row r="1030" spans="7:8" x14ac:dyDescent="0.3">
      <c r="G1030" s="4"/>
      <c r="H1030" s="4"/>
    </row>
    <row r="1031" spans="7:8" x14ac:dyDescent="0.3">
      <c r="G1031" s="4"/>
      <c r="H1031" s="4"/>
    </row>
    <row r="1032" spans="7:8" x14ac:dyDescent="0.3">
      <c r="G1032" s="4"/>
      <c r="H1032" s="4"/>
    </row>
    <row r="1033" spans="7:8" x14ac:dyDescent="0.3">
      <c r="G1033" s="4"/>
      <c r="H1033" s="4"/>
    </row>
    <row r="1034" spans="7:8" x14ac:dyDescent="0.3">
      <c r="G1034" s="4"/>
      <c r="H1034" s="4"/>
    </row>
    <row r="1035" spans="7:8" x14ac:dyDescent="0.3">
      <c r="G1035" s="4"/>
      <c r="H1035" s="4"/>
    </row>
    <row r="1036" spans="7:8" x14ac:dyDescent="0.3">
      <c r="G1036" s="4"/>
      <c r="H1036" s="4"/>
    </row>
    <row r="1037" spans="7:8" x14ac:dyDescent="0.3">
      <c r="G1037" s="4"/>
      <c r="H1037" s="4"/>
    </row>
    <row r="1038" spans="7:8" x14ac:dyDescent="0.3">
      <c r="G1038" s="4"/>
      <c r="H1038" s="4"/>
    </row>
    <row r="1039" spans="7:8" x14ac:dyDescent="0.3">
      <c r="G1039" s="4"/>
      <c r="H1039" s="4"/>
    </row>
    <row r="1040" spans="7:8" x14ac:dyDescent="0.3">
      <c r="G1040" s="4"/>
      <c r="H1040" s="4"/>
    </row>
    <row r="1041" spans="7:8" x14ac:dyDescent="0.3">
      <c r="G1041" s="4"/>
      <c r="H1041" s="4"/>
    </row>
    <row r="1042" spans="7:8" x14ac:dyDescent="0.3">
      <c r="G1042" s="4"/>
      <c r="H1042" s="4"/>
    </row>
    <row r="1043" spans="7:8" x14ac:dyDescent="0.3">
      <c r="G1043" s="4"/>
      <c r="H1043" s="4"/>
    </row>
    <row r="1044" spans="7:8" x14ac:dyDescent="0.3">
      <c r="G1044" s="4"/>
      <c r="H1044" s="4"/>
    </row>
    <row r="1045" spans="7:8" x14ac:dyDescent="0.3">
      <c r="G1045" s="4"/>
      <c r="H1045" s="4"/>
    </row>
    <row r="1046" spans="7:8" x14ac:dyDescent="0.3">
      <c r="G1046" s="4"/>
      <c r="H1046" s="4"/>
    </row>
    <row r="1047" spans="7:8" x14ac:dyDescent="0.3">
      <c r="G1047" s="4"/>
      <c r="H1047" s="4"/>
    </row>
    <row r="1048" spans="7:8" x14ac:dyDescent="0.3">
      <c r="G1048" s="4"/>
      <c r="H1048" s="4"/>
    </row>
    <row r="1049" spans="7:8" x14ac:dyDescent="0.3">
      <c r="G1049" s="4"/>
      <c r="H1049" s="4"/>
    </row>
    <row r="1050" spans="7:8" x14ac:dyDescent="0.3">
      <c r="G1050" s="4"/>
      <c r="H1050" s="4"/>
    </row>
    <row r="1051" spans="7:8" x14ac:dyDescent="0.3">
      <c r="G1051" s="4"/>
      <c r="H1051" s="4"/>
    </row>
    <row r="1052" spans="7:8" x14ac:dyDescent="0.3">
      <c r="G1052" s="4"/>
      <c r="H1052" s="4"/>
    </row>
    <row r="1053" spans="7:8" x14ac:dyDescent="0.3">
      <c r="G1053" s="4"/>
      <c r="H1053" s="4"/>
    </row>
    <row r="1054" spans="7:8" x14ac:dyDescent="0.3">
      <c r="G1054" s="4"/>
      <c r="H1054" s="4"/>
    </row>
    <row r="1055" spans="7:8" x14ac:dyDescent="0.3">
      <c r="G1055" s="4"/>
      <c r="H1055" s="4"/>
    </row>
    <row r="1056" spans="7:8" x14ac:dyDescent="0.3">
      <c r="G1056" s="4"/>
      <c r="H1056" s="4"/>
    </row>
    <row r="1057" spans="7:8" x14ac:dyDescent="0.3">
      <c r="G1057" s="4"/>
      <c r="H1057" s="4"/>
    </row>
    <row r="1058" spans="7:8" x14ac:dyDescent="0.3">
      <c r="G1058" s="4"/>
      <c r="H1058" s="4"/>
    </row>
    <row r="1059" spans="7:8" x14ac:dyDescent="0.3">
      <c r="G1059" s="4"/>
      <c r="H1059" s="4"/>
    </row>
    <row r="1060" spans="7:8" x14ac:dyDescent="0.3">
      <c r="G1060" s="4"/>
      <c r="H1060" s="4"/>
    </row>
    <row r="1061" spans="7:8" x14ac:dyDescent="0.3">
      <c r="G1061" s="4"/>
      <c r="H1061" s="4"/>
    </row>
    <row r="1062" spans="7:8" x14ac:dyDescent="0.3">
      <c r="G1062" s="4"/>
      <c r="H1062" s="4"/>
    </row>
    <row r="1063" spans="7:8" x14ac:dyDescent="0.3">
      <c r="G1063" s="4"/>
      <c r="H1063" s="4"/>
    </row>
    <row r="1064" spans="7:8" x14ac:dyDescent="0.3">
      <c r="G1064" s="4"/>
      <c r="H1064" s="4"/>
    </row>
    <row r="1065" spans="7:8" x14ac:dyDescent="0.3">
      <c r="G1065" s="4"/>
      <c r="H1065" s="4"/>
    </row>
    <row r="1066" spans="7:8" x14ac:dyDescent="0.3">
      <c r="G1066" s="4"/>
      <c r="H1066" s="4"/>
    </row>
    <row r="1067" spans="7:8" x14ac:dyDescent="0.3">
      <c r="G1067" s="4"/>
      <c r="H1067" s="4"/>
    </row>
    <row r="1068" spans="7:8" x14ac:dyDescent="0.3">
      <c r="G1068" s="4"/>
      <c r="H1068" s="4"/>
    </row>
    <row r="1069" spans="7:8" x14ac:dyDescent="0.3">
      <c r="G1069" s="4"/>
      <c r="H1069" s="4"/>
    </row>
    <row r="1070" spans="7:8" x14ac:dyDescent="0.3">
      <c r="G1070" s="4"/>
      <c r="H1070" s="4"/>
    </row>
    <row r="1071" spans="7:8" x14ac:dyDescent="0.3">
      <c r="G1071" s="4"/>
      <c r="H1071" s="4"/>
    </row>
    <row r="1072" spans="7:8" x14ac:dyDescent="0.3">
      <c r="G1072" s="4"/>
      <c r="H1072" s="4"/>
    </row>
    <row r="1073" spans="7:8" x14ac:dyDescent="0.3">
      <c r="G1073" s="4"/>
      <c r="H1073" s="4"/>
    </row>
    <row r="1074" spans="7:8" x14ac:dyDescent="0.3">
      <c r="G1074" s="4"/>
      <c r="H1074" s="4"/>
    </row>
    <row r="1075" spans="7:8" x14ac:dyDescent="0.3">
      <c r="G1075" s="4"/>
      <c r="H1075" s="4"/>
    </row>
    <row r="1076" spans="7:8" x14ac:dyDescent="0.3">
      <c r="G1076" s="4"/>
      <c r="H1076" s="4"/>
    </row>
    <row r="1077" spans="7:8" x14ac:dyDescent="0.3">
      <c r="G1077" s="4"/>
      <c r="H1077" s="4"/>
    </row>
    <row r="1078" spans="7:8" x14ac:dyDescent="0.3">
      <c r="G1078" s="4"/>
      <c r="H1078" s="4"/>
    </row>
    <row r="1079" spans="7:8" x14ac:dyDescent="0.3">
      <c r="G1079" s="4"/>
      <c r="H1079" s="4"/>
    </row>
    <row r="1080" spans="7:8" x14ac:dyDescent="0.3">
      <c r="G1080" s="4"/>
      <c r="H1080" s="4"/>
    </row>
    <row r="1081" spans="7:8" x14ac:dyDescent="0.3">
      <c r="G1081" s="4"/>
      <c r="H1081" s="4"/>
    </row>
    <row r="1082" spans="7:8" x14ac:dyDescent="0.3">
      <c r="G1082" s="4"/>
      <c r="H1082" s="4"/>
    </row>
    <row r="1083" spans="7:8" x14ac:dyDescent="0.3">
      <c r="G1083" s="4"/>
      <c r="H1083" s="4"/>
    </row>
    <row r="1084" spans="7:8" x14ac:dyDescent="0.3">
      <c r="G1084" s="4"/>
      <c r="H1084" s="4"/>
    </row>
    <row r="1085" spans="7:8" x14ac:dyDescent="0.3">
      <c r="G1085" s="4"/>
      <c r="H1085" s="4"/>
    </row>
    <row r="1086" spans="7:8" x14ac:dyDescent="0.3">
      <c r="G1086" s="4"/>
      <c r="H1086" s="4"/>
    </row>
    <row r="1087" spans="7:8" x14ac:dyDescent="0.3">
      <c r="G1087" s="4"/>
      <c r="H1087" s="4"/>
    </row>
    <row r="1088" spans="7:8" x14ac:dyDescent="0.3">
      <c r="G1088" s="4"/>
      <c r="H1088" s="4"/>
    </row>
    <row r="1089" spans="7:8" x14ac:dyDescent="0.3">
      <c r="G1089" s="4"/>
      <c r="H1089" s="4"/>
    </row>
    <row r="1090" spans="7:8" x14ac:dyDescent="0.3">
      <c r="G1090" s="4"/>
      <c r="H1090" s="4"/>
    </row>
    <row r="1091" spans="7:8" x14ac:dyDescent="0.3">
      <c r="G1091" s="4"/>
      <c r="H1091" s="4"/>
    </row>
    <row r="1092" spans="7:8" x14ac:dyDescent="0.3">
      <c r="G1092" s="4"/>
      <c r="H1092" s="4"/>
    </row>
    <row r="1093" spans="7:8" x14ac:dyDescent="0.3">
      <c r="G1093" s="4"/>
      <c r="H1093" s="4"/>
    </row>
    <row r="1094" spans="7:8" x14ac:dyDescent="0.3">
      <c r="G1094" s="4"/>
      <c r="H1094" s="4"/>
    </row>
    <row r="1095" spans="7:8" x14ac:dyDescent="0.3">
      <c r="G1095" s="4"/>
      <c r="H1095" s="4"/>
    </row>
    <row r="1096" spans="7:8" x14ac:dyDescent="0.3">
      <c r="G1096" s="4"/>
      <c r="H1096" s="4"/>
    </row>
    <row r="1097" spans="7:8" x14ac:dyDescent="0.3">
      <c r="G1097" s="4"/>
      <c r="H1097" s="4"/>
    </row>
    <row r="1098" spans="7:8" x14ac:dyDescent="0.3">
      <c r="G1098" s="4"/>
      <c r="H1098" s="4"/>
    </row>
    <row r="1099" spans="7:8" x14ac:dyDescent="0.3">
      <c r="G1099" s="4"/>
      <c r="H1099" s="4"/>
    </row>
    <row r="1100" spans="7:8" x14ac:dyDescent="0.3">
      <c r="G1100" s="4"/>
      <c r="H1100" s="4"/>
    </row>
    <row r="1101" spans="7:8" x14ac:dyDescent="0.3">
      <c r="G1101" s="4"/>
      <c r="H1101" s="4"/>
    </row>
    <row r="1102" spans="7:8" x14ac:dyDescent="0.3">
      <c r="G1102" s="4"/>
      <c r="H1102" s="4"/>
    </row>
    <row r="1103" spans="7:8" x14ac:dyDescent="0.3">
      <c r="G1103" s="4"/>
      <c r="H1103" s="4"/>
    </row>
    <row r="1104" spans="7:8" x14ac:dyDescent="0.3">
      <c r="G1104" s="4"/>
      <c r="H1104" s="4"/>
    </row>
    <row r="1105" spans="7:8" x14ac:dyDescent="0.3">
      <c r="G1105" s="4"/>
      <c r="H1105" s="4"/>
    </row>
    <row r="1106" spans="7:8" x14ac:dyDescent="0.3">
      <c r="G1106" s="4"/>
      <c r="H1106" s="4"/>
    </row>
    <row r="1107" spans="7:8" x14ac:dyDescent="0.3">
      <c r="G1107" s="4"/>
      <c r="H1107" s="4"/>
    </row>
    <row r="1108" spans="7:8" x14ac:dyDescent="0.3">
      <c r="G1108" s="4"/>
      <c r="H1108" s="4"/>
    </row>
    <row r="1109" spans="7:8" x14ac:dyDescent="0.3">
      <c r="G1109" s="4"/>
      <c r="H1109" s="4"/>
    </row>
    <row r="1110" spans="7:8" x14ac:dyDescent="0.3">
      <c r="G1110" s="4"/>
      <c r="H1110" s="4"/>
    </row>
    <row r="1111" spans="7:8" x14ac:dyDescent="0.3">
      <c r="G1111" s="4"/>
      <c r="H1111" s="4"/>
    </row>
    <row r="1112" spans="7:8" x14ac:dyDescent="0.3">
      <c r="G1112" s="4"/>
      <c r="H1112" s="4"/>
    </row>
    <row r="1113" spans="7:8" x14ac:dyDescent="0.3">
      <c r="G1113" s="4"/>
      <c r="H1113" s="4"/>
    </row>
    <row r="1114" spans="7:8" x14ac:dyDescent="0.3">
      <c r="G1114" s="4"/>
      <c r="H1114" s="4"/>
    </row>
    <row r="1115" spans="7:8" x14ac:dyDescent="0.3">
      <c r="G1115" s="4"/>
      <c r="H1115" s="4"/>
    </row>
    <row r="1116" spans="7:8" x14ac:dyDescent="0.3">
      <c r="G1116" s="4"/>
      <c r="H1116" s="4"/>
    </row>
    <row r="1117" spans="7:8" x14ac:dyDescent="0.3">
      <c r="G1117" s="4"/>
      <c r="H1117" s="4"/>
    </row>
    <row r="1118" spans="7:8" x14ac:dyDescent="0.3">
      <c r="G1118" s="4"/>
      <c r="H1118" s="4"/>
    </row>
    <row r="1119" spans="7:8" x14ac:dyDescent="0.3">
      <c r="G1119" s="4"/>
      <c r="H1119" s="4"/>
    </row>
    <row r="1120" spans="7:8" x14ac:dyDescent="0.3">
      <c r="G1120" s="4"/>
      <c r="H1120" s="4"/>
    </row>
    <row r="1121" spans="7:8" x14ac:dyDescent="0.3">
      <c r="G1121" s="4"/>
      <c r="H1121" s="4"/>
    </row>
    <row r="1122" spans="7:8" x14ac:dyDescent="0.3">
      <c r="G1122" s="4"/>
      <c r="H1122" s="4"/>
    </row>
    <row r="1123" spans="7:8" x14ac:dyDescent="0.3">
      <c r="G1123" s="4"/>
      <c r="H1123" s="4"/>
    </row>
    <row r="1124" spans="7:8" x14ac:dyDescent="0.3">
      <c r="G1124" s="4"/>
      <c r="H1124" s="4"/>
    </row>
    <row r="1125" spans="7:8" x14ac:dyDescent="0.3">
      <c r="G1125" s="4"/>
      <c r="H1125" s="4"/>
    </row>
    <row r="1126" spans="7:8" x14ac:dyDescent="0.3">
      <c r="G1126" s="4"/>
      <c r="H1126" s="4"/>
    </row>
    <row r="1127" spans="7:8" x14ac:dyDescent="0.3">
      <c r="G1127" s="4"/>
      <c r="H1127" s="4"/>
    </row>
    <row r="1128" spans="7:8" x14ac:dyDescent="0.3">
      <c r="G1128" s="4"/>
      <c r="H1128" s="4"/>
    </row>
    <row r="1129" spans="7:8" x14ac:dyDescent="0.3">
      <c r="G1129" s="4"/>
      <c r="H1129" s="4"/>
    </row>
    <row r="1130" spans="7:8" x14ac:dyDescent="0.3">
      <c r="G1130" s="4"/>
      <c r="H1130" s="4"/>
    </row>
    <row r="1131" spans="7:8" x14ac:dyDescent="0.3">
      <c r="G1131" s="4"/>
      <c r="H1131" s="4"/>
    </row>
    <row r="1132" spans="7:8" x14ac:dyDescent="0.3">
      <c r="G1132" s="4"/>
      <c r="H1132" s="4"/>
    </row>
    <row r="1133" spans="7:8" x14ac:dyDescent="0.3">
      <c r="G1133" s="4"/>
      <c r="H1133" s="4"/>
    </row>
    <row r="1134" spans="7:8" x14ac:dyDescent="0.3">
      <c r="G1134" s="4"/>
      <c r="H1134" s="4"/>
    </row>
    <row r="1135" spans="7:8" x14ac:dyDescent="0.3">
      <c r="G1135" s="4"/>
      <c r="H1135" s="4"/>
    </row>
    <row r="1136" spans="7:8" x14ac:dyDescent="0.3">
      <c r="G1136" s="4"/>
      <c r="H1136" s="4"/>
    </row>
    <row r="1137" spans="7:8" x14ac:dyDescent="0.3">
      <c r="G1137" s="4"/>
      <c r="H1137" s="4"/>
    </row>
    <row r="1138" spans="7:8" x14ac:dyDescent="0.3">
      <c r="G1138" s="4"/>
      <c r="H1138" s="4"/>
    </row>
    <row r="1139" spans="7:8" x14ac:dyDescent="0.3">
      <c r="G1139" s="4"/>
      <c r="H1139" s="4"/>
    </row>
    <row r="1140" spans="7:8" x14ac:dyDescent="0.3">
      <c r="G1140" s="4"/>
      <c r="H1140" s="4"/>
    </row>
    <row r="1141" spans="7:8" x14ac:dyDescent="0.3">
      <c r="G1141" s="4"/>
      <c r="H1141" s="4"/>
    </row>
    <row r="1142" spans="7:8" x14ac:dyDescent="0.3">
      <c r="G1142" s="4"/>
      <c r="H1142" s="4"/>
    </row>
    <row r="1143" spans="7:8" x14ac:dyDescent="0.3">
      <c r="G1143" s="4"/>
      <c r="H1143" s="4"/>
    </row>
    <row r="1144" spans="7:8" x14ac:dyDescent="0.3">
      <c r="G1144" s="4"/>
      <c r="H1144" s="4"/>
    </row>
    <row r="1145" spans="7:8" x14ac:dyDescent="0.3">
      <c r="G1145" s="4"/>
      <c r="H1145" s="4"/>
    </row>
    <row r="1146" spans="7:8" x14ac:dyDescent="0.3">
      <c r="G1146" s="4"/>
      <c r="H1146" s="4"/>
    </row>
    <row r="1147" spans="7:8" x14ac:dyDescent="0.3">
      <c r="G1147" s="4"/>
      <c r="H1147" s="4"/>
    </row>
    <row r="1148" spans="7:8" x14ac:dyDescent="0.3">
      <c r="G1148" s="4"/>
      <c r="H1148" s="4"/>
    </row>
    <row r="1149" spans="7:8" x14ac:dyDescent="0.3">
      <c r="G1149" s="4"/>
      <c r="H1149" s="4"/>
    </row>
    <row r="1150" spans="7:8" x14ac:dyDescent="0.3">
      <c r="G1150" s="4"/>
      <c r="H1150" s="4"/>
    </row>
    <row r="1151" spans="7:8" x14ac:dyDescent="0.3">
      <c r="G1151" s="4"/>
      <c r="H1151" s="4"/>
    </row>
    <row r="1152" spans="7:8" x14ac:dyDescent="0.3">
      <c r="G1152" s="4"/>
      <c r="H1152" s="4"/>
    </row>
    <row r="1153" spans="7:8" x14ac:dyDescent="0.3">
      <c r="G1153" s="4"/>
      <c r="H1153" s="4"/>
    </row>
    <row r="1154" spans="7:8" x14ac:dyDescent="0.3">
      <c r="G1154" s="4"/>
      <c r="H1154" s="4"/>
    </row>
    <row r="1155" spans="7:8" x14ac:dyDescent="0.3">
      <c r="G1155" s="4"/>
      <c r="H1155" s="4"/>
    </row>
    <row r="1156" spans="7:8" x14ac:dyDescent="0.3">
      <c r="G1156" s="4"/>
      <c r="H1156" s="4"/>
    </row>
    <row r="1157" spans="7:8" x14ac:dyDescent="0.3">
      <c r="G1157" s="4"/>
      <c r="H1157" s="4"/>
    </row>
    <row r="1158" spans="7:8" x14ac:dyDescent="0.3">
      <c r="G1158" s="4"/>
      <c r="H1158" s="4"/>
    </row>
    <row r="1159" spans="7:8" x14ac:dyDescent="0.3">
      <c r="G1159" s="4"/>
      <c r="H1159" s="4"/>
    </row>
    <row r="1160" spans="7:8" x14ac:dyDescent="0.3">
      <c r="G1160" s="4"/>
      <c r="H1160" s="4"/>
    </row>
    <row r="1161" spans="7:8" x14ac:dyDescent="0.3">
      <c r="G1161" s="4"/>
      <c r="H1161" s="4"/>
    </row>
    <row r="1162" spans="7:8" x14ac:dyDescent="0.3">
      <c r="G1162" s="4"/>
      <c r="H1162" s="4"/>
    </row>
    <row r="1163" spans="7:8" x14ac:dyDescent="0.3">
      <c r="G1163" s="4"/>
      <c r="H1163" s="4"/>
    </row>
    <row r="1164" spans="7:8" x14ac:dyDescent="0.3">
      <c r="G1164" s="4"/>
      <c r="H1164" s="4"/>
    </row>
    <row r="1165" spans="7:8" x14ac:dyDescent="0.3">
      <c r="G1165" s="4"/>
      <c r="H1165" s="4"/>
    </row>
    <row r="1166" spans="7:8" x14ac:dyDescent="0.3">
      <c r="G1166" s="4"/>
      <c r="H1166" s="4"/>
    </row>
    <row r="1167" spans="7:8" x14ac:dyDescent="0.3">
      <c r="G1167" s="4"/>
      <c r="H1167" s="4"/>
    </row>
    <row r="1168" spans="7:8" x14ac:dyDescent="0.3">
      <c r="G1168" s="4"/>
      <c r="H1168" s="4"/>
    </row>
    <row r="1169" spans="7:8" x14ac:dyDescent="0.3">
      <c r="G1169" s="4"/>
      <c r="H1169" s="4"/>
    </row>
    <row r="1170" spans="7:8" x14ac:dyDescent="0.3">
      <c r="G1170" s="4"/>
      <c r="H1170" s="4"/>
    </row>
    <row r="1171" spans="7:8" x14ac:dyDescent="0.3">
      <c r="G1171" s="4"/>
      <c r="H1171" s="4"/>
    </row>
    <row r="1172" spans="7:8" x14ac:dyDescent="0.3">
      <c r="G1172" s="4"/>
      <c r="H1172" s="4"/>
    </row>
    <row r="1173" spans="7:8" x14ac:dyDescent="0.3">
      <c r="G1173" s="4"/>
      <c r="H1173" s="4"/>
    </row>
    <row r="1174" spans="7:8" x14ac:dyDescent="0.3">
      <c r="G1174" s="4"/>
      <c r="H1174" s="4"/>
    </row>
    <row r="1175" spans="7:8" x14ac:dyDescent="0.3">
      <c r="G1175" s="4"/>
      <c r="H1175" s="4"/>
    </row>
    <row r="1176" spans="7:8" x14ac:dyDescent="0.3">
      <c r="G1176" s="4"/>
      <c r="H1176" s="4"/>
    </row>
    <row r="1177" spans="7:8" x14ac:dyDescent="0.3">
      <c r="G1177" s="4"/>
      <c r="H1177" s="4"/>
    </row>
    <row r="1178" spans="7:8" x14ac:dyDescent="0.3">
      <c r="G1178" s="4"/>
      <c r="H1178" s="4"/>
    </row>
    <row r="1179" spans="7:8" x14ac:dyDescent="0.3">
      <c r="G1179" s="4"/>
      <c r="H1179" s="4"/>
    </row>
    <row r="1180" spans="7:8" x14ac:dyDescent="0.3">
      <c r="G1180" s="4"/>
      <c r="H1180" s="4"/>
    </row>
    <row r="1181" spans="7:8" x14ac:dyDescent="0.3">
      <c r="G1181" s="4"/>
      <c r="H1181" s="4"/>
    </row>
    <row r="1182" spans="7:8" x14ac:dyDescent="0.3">
      <c r="G1182" s="4"/>
      <c r="H1182" s="4"/>
    </row>
    <row r="1183" spans="7:8" x14ac:dyDescent="0.3">
      <c r="G1183" s="4"/>
      <c r="H1183" s="4"/>
    </row>
    <row r="1184" spans="7:8" x14ac:dyDescent="0.3">
      <c r="G1184" s="4"/>
      <c r="H1184" s="4"/>
    </row>
    <row r="1185" spans="7:8" x14ac:dyDescent="0.3">
      <c r="G1185" s="4"/>
      <c r="H1185" s="4"/>
    </row>
    <row r="1186" spans="7:8" x14ac:dyDescent="0.3">
      <c r="G1186" s="4"/>
      <c r="H1186" s="4"/>
    </row>
    <row r="1187" spans="7:8" x14ac:dyDescent="0.3">
      <c r="G1187" s="4"/>
      <c r="H1187" s="4"/>
    </row>
    <row r="1188" spans="7:8" x14ac:dyDescent="0.3">
      <c r="G1188" s="4"/>
      <c r="H1188" s="4"/>
    </row>
    <row r="1189" spans="7:8" x14ac:dyDescent="0.3">
      <c r="G1189" s="4"/>
      <c r="H1189" s="4"/>
    </row>
    <row r="1190" spans="7:8" x14ac:dyDescent="0.3">
      <c r="G1190" s="4"/>
      <c r="H1190" s="4"/>
    </row>
    <row r="1191" spans="7:8" x14ac:dyDescent="0.3">
      <c r="G1191" s="4"/>
      <c r="H1191" s="4"/>
    </row>
    <row r="1192" spans="7:8" x14ac:dyDescent="0.3">
      <c r="G1192" s="4"/>
      <c r="H1192" s="4"/>
    </row>
    <row r="1193" spans="7:8" x14ac:dyDescent="0.3">
      <c r="G1193" s="4"/>
      <c r="H1193" s="4"/>
    </row>
    <row r="1194" spans="7:8" x14ac:dyDescent="0.3">
      <c r="G1194" s="4"/>
      <c r="H1194" s="4"/>
    </row>
    <row r="1195" spans="7:8" x14ac:dyDescent="0.3">
      <c r="G1195" s="4"/>
      <c r="H1195" s="4"/>
    </row>
    <row r="1196" spans="7:8" x14ac:dyDescent="0.3">
      <c r="G1196" s="4"/>
      <c r="H1196" s="4"/>
    </row>
    <row r="1197" spans="7:8" x14ac:dyDescent="0.3">
      <c r="G1197" s="4"/>
      <c r="H1197" s="4"/>
    </row>
    <row r="1198" spans="7:8" x14ac:dyDescent="0.3">
      <c r="G1198" s="4"/>
      <c r="H1198" s="4"/>
    </row>
    <row r="1199" spans="7:8" x14ac:dyDescent="0.3">
      <c r="G1199" s="4"/>
      <c r="H1199" s="4"/>
    </row>
    <row r="1200" spans="7:8" x14ac:dyDescent="0.3">
      <c r="G1200" s="4"/>
      <c r="H1200" s="4"/>
    </row>
    <row r="1201" spans="7:8" x14ac:dyDescent="0.3">
      <c r="G1201" s="4"/>
      <c r="H1201" s="4"/>
    </row>
    <row r="1202" spans="7:8" x14ac:dyDescent="0.3">
      <c r="G1202" s="4"/>
      <c r="H1202" s="4"/>
    </row>
    <row r="1203" spans="7:8" x14ac:dyDescent="0.3">
      <c r="G1203" s="4"/>
      <c r="H1203" s="4"/>
    </row>
    <row r="1204" spans="7:8" x14ac:dyDescent="0.3">
      <c r="G1204" s="4"/>
      <c r="H1204" s="4"/>
    </row>
    <row r="1205" spans="7:8" x14ac:dyDescent="0.3">
      <c r="G1205" s="4"/>
      <c r="H1205" s="4"/>
    </row>
    <row r="1206" spans="7:8" x14ac:dyDescent="0.3">
      <c r="G1206" s="4"/>
      <c r="H1206" s="4"/>
    </row>
    <row r="1207" spans="7:8" x14ac:dyDescent="0.3">
      <c r="G1207" s="4"/>
      <c r="H1207" s="4"/>
    </row>
    <row r="1208" spans="7:8" x14ac:dyDescent="0.3">
      <c r="G1208" s="4"/>
      <c r="H1208" s="4"/>
    </row>
    <row r="1209" spans="7:8" x14ac:dyDescent="0.3">
      <c r="G1209" s="4"/>
      <c r="H1209" s="4"/>
    </row>
    <row r="1210" spans="7:8" x14ac:dyDescent="0.3">
      <c r="G1210" s="4"/>
      <c r="H1210" s="4"/>
    </row>
    <row r="1211" spans="7:8" x14ac:dyDescent="0.3">
      <c r="G1211" s="4"/>
      <c r="H1211" s="4"/>
    </row>
    <row r="1212" spans="7:8" x14ac:dyDescent="0.3">
      <c r="G1212" s="4"/>
      <c r="H1212" s="4"/>
    </row>
    <row r="1213" spans="7:8" x14ac:dyDescent="0.3">
      <c r="G1213" s="4"/>
      <c r="H1213" s="4"/>
    </row>
    <row r="1214" spans="7:8" x14ac:dyDescent="0.3">
      <c r="G1214" s="4"/>
      <c r="H1214" s="4"/>
    </row>
    <row r="1215" spans="7:8" x14ac:dyDescent="0.3">
      <c r="G1215" s="4"/>
      <c r="H1215" s="4"/>
    </row>
    <row r="1216" spans="7:8" x14ac:dyDescent="0.3">
      <c r="G1216" s="4"/>
      <c r="H1216" s="4"/>
    </row>
    <row r="1217" spans="7:8" x14ac:dyDescent="0.3">
      <c r="G1217" s="4"/>
      <c r="H1217" s="4"/>
    </row>
    <row r="1218" spans="7:8" x14ac:dyDescent="0.3">
      <c r="G1218" s="4"/>
      <c r="H1218" s="4"/>
    </row>
    <row r="1219" spans="7:8" x14ac:dyDescent="0.3">
      <c r="G1219" s="4"/>
      <c r="H1219" s="4"/>
    </row>
    <row r="1220" spans="7:8" x14ac:dyDescent="0.3">
      <c r="G1220" s="4"/>
      <c r="H1220" s="4"/>
    </row>
    <row r="1221" spans="7:8" x14ac:dyDescent="0.3">
      <c r="G1221" s="4"/>
      <c r="H1221" s="4"/>
    </row>
    <row r="1222" spans="7:8" x14ac:dyDescent="0.3">
      <c r="G1222" s="4"/>
      <c r="H1222" s="4"/>
    </row>
    <row r="1223" spans="7:8" x14ac:dyDescent="0.3">
      <c r="G1223" s="4"/>
      <c r="H1223" s="4"/>
    </row>
    <row r="1224" spans="7:8" x14ac:dyDescent="0.3">
      <c r="G1224" s="4"/>
      <c r="H1224" s="4"/>
    </row>
    <row r="1225" spans="7:8" x14ac:dyDescent="0.3">
      <c r="G1225" s="4"/>
      <c r="H1225" s="4"/>
    </row>
    <row r="1226" spans="7:8" x14ac:dyDescent="0.3">
      <c r="G1226" s="4"/>
      <c r="H1226" s="4"/>
    </row>
    <row r="1227" spans="7:8" x14ac:dyDescent="0.3">
      <c r="G1227" s="4"/>
      <c r="H1227" s="4"/>
    </row>
    <row r="1228" spans="7:8" x14ac:dyDescent="0.3">
      <c r="G1228" s="4"/>
      <c r="H1228" s="4"/>
    </row>
    <row r="1229" spans="7:8" x14ac:dyDescent="0.3">
      <c r="G1229" s="4"/>
      <c r="H1229" s="4"/>
    </row>
    <row r="1230" spans="7:8" x14ac:dyDescent="0.3">
      <c r="G1230" s="4"/>
      <c r="H1230" s="4"/>
    </row>
    <row r="1231" spans="7:8" x14ac:dyDescent="0.3">
      <c r="G1231" s="4"/>
      <c r="H1231" s="4"/>
    </row>
    <row r="1232" spans="7:8" x14ac:dyDescent="0.3">
      <c r="G1232" s="4"/>
      <c r="H1232" s="4"/>
    </row>
    <row r="1233" spans="7:8" x14ac:dyDescent="0.3">
      <c r="G1233" s="4"/>
      <c r="H1233" s="4"/>
    </row>
    <row r="1234" spans="7:8" x14ac:dyDescent="0.3">
      <c r="G1234" s="4"/>
      <c r="H1234" s="4"/>
    </row>
    <row r="1235" spans="7:8" x14ac:dyDescent="0.3">
      <c r="G1235" s="4"/>
      <c r="H1235" s="4"/>
    </row>
    <row r="1236" spans="7:8" x14ac:dyDescent="0.3">
      <c r="G1236" s="4"/>
      <c r="H1236" s="4"/>
    </row>
    <row r="1237" spans="7:8" x14ac:dyDescent="0.3">
      <c r="G1237" s="4"/>
      <c r="H1237" s="4"/>
    </row>
    <row r="1238" spans="7:8" x14ac:dyDescent="0.3">
      <c r="G1238" s="4"/>
      <c r="H1238" s="4"/>
    </row>
    <row r="1239" spans="7:8" x14ac:dyDescent="0.3">
      <c r="G1239" s="4"/>
      <c r="H1239" s="4"/>
    </row>
    <row r="1240" spans="7:8" x14ac:dyDescent="0.3">
      <c r="G1240" s="4"/>
      <c r="H1240" s="4"/>
    </row>
    <row r="1241" spans="7:8" x14ac:dyDescent="0.3">
      <c r="G1241" s="4"/>
      <c r="H1241" s="4"/>
    </row>
    <row r="1242" spans="7:8" x14ac:dyDescent="0.3">
      <c r="G1242" s="4"/>
      <c r="H1242" s="4"/>
    </row>
    <row r="1243" spans="7:8" x14ac:dyDescent="0.3">
      <c r="G1243" s="4"/>
      <c r="H1243" s="4"/>
    </row>
    <row r="1244" spans="7:8" x14ac:dyDescent="0.3">
      <c r="G1244" s="4"/>
      <c r="H1244" s="4"/>
    </row>
    <row r="1245" spans="7:8" x14ac:dyDescent="0.3">
      <c r="G1245" s="4"/>
      <c r="H1245" s="4"/>
    </row>
    <row r="1246" spans="7:8" x14ac:dyDescent="0.3">
      <c r="G1246" s="4"/>
      <c r="H1246" s="4"/>
    </row>
    <row r="1247" spans="7:8" x14ac:dyDescent="0.3">
      <c r="G1247" s="4"/>
      <c r="H1247" s="4"/>
    </row>
    <row r="1248" spans="7:8" x14ac:dyDescent="0.3">
      <c r="G1248" s="4"/>
      <c r="H1248" s="4"/>
    </row>
    <row r="1249" spans="7:8" x14ac:dyDescent="0.3">
      <c r="G1249" s="4"/>
      <c r="H1249" s="4"/>
    </row>
    <row r="1250" spans="7:8" x14ac:dyDescent="0.3">
      <c r="G1250" s="4"/>
      <c r="H1250" s="4"/>
    </row>
    <row r="1251" spans="7:8" x14ac:dyDescent="0.3">
      <c r="G1251" s="4"/>
      <c r="H1251" s="4"/>
    </row>
    <row r="1252" spans="7:8" x14ac:dyDescent="0.3">
      <c r="G1252" s="4"/>
      <c r="H1252" s="4"/>
    </row>
    <row r="1253" spans="7:8" x14ac:dyDescent="0.3">
      <c r="G1253" s="4"/>
      <c r="H1253" s="4"/>
    </row>
    <row r="1254" spans="7:8" x14ac:dyDescent="0.3">
      <c r="G1254" s="4"/>
      <c r="H1254" s="4"/>
    </row>
    <row r="1255" spans="7:8" x14ac:dyDescent="0.3">
      <c r="G1255" s="4"/>
      <c r="H1255" s="4"/>
    </row>
    <row r="1256" spans="7:8" x14ac:dyDescent="0.3">
      <c r="G1256" s="4"/>
      <c r="H1256" s="4"/>
    </row>
    <row r="1257" spans="7:8" x14ac:dyDescent="0.3">
      <c r="G1257" s="4"/>
      <c r="H1257" s="4"/>
    </row>
    <row r="1258" spans="7:8" x14ac:dyDescent="0.3">
      <c r="G1258" s="4"/>
      <c r="H1258" s="4"/>
    </row>
    <row r="1259" spans="7:8" x14ac:dyDescent="0.3">
      <c r="G1259" s="4"/>
      <c r="H1259" s="4"/>
    </row>
    <row r="1260" spans="7:8" x14ac:dyDescent="0.3">
      <c r="G1260" s="4"/>
      <c r="H1260" s="4"/>
    </row>
    <row r="1261" spans="7:8" x14ac:dyDescent="0.3">
      <c r="G1261" s="4"/>
      <c r="H1261" s="4"/>
    </row>
    <row r="1262" spans="7:8" x14ac:dyDescent="0.3">
      <c r="G1262" s="4"/>
      <c r="H1262" s="4"/>
    </row>
    <row r="1263" spans="7:8" x14ac:dyDescent="0.3">
      <c r="G1263" s="4"/>
      <c r="H1263" s="4"/>
    </row>
    <row r="1264" spans="7:8" x14ac:dyDescent="0.3">
      <c r="G1264" s="4"/>
      <c r="H1264" s="4"/>
    </row>
    <row r="1265" spans="7:8" x14ac:dyDescent="0.3">
      <c r="G1265" s="4"/>
      <c r="H1265" s="4"/>
    </row>
    <row r="1266" spans="7:8" x14ac:dyDescent="0.3">
      <c r="G1266" s="4"/>
      <c r="H1266" s="4"/>
    </row>
    <row r="1267" spans="7:8" x14ac:dyDescent="0.3">
      <c r="G1267" s="4"/>
      <c r="H1267" s="4"/>
    </row>
    <row r="1268" spans="7:8" x14ac:dyDescent="0.3">
      <c r="G1268" s="4"/>
      <c r="H1268" s="4"/>
    </row>
    <row r="1269" spans="7:8" x14ac:dyDescent="0.3">
      <c r="G1269" s="4"/>
      <c r="H1269" s="4"/>
    </row>
    <row r="1270" spans="7:8" x14ac:dyDescent="0.3">
      <c r="G1270" s="4"/>
      <c r="H1270" s="4"/>
    </row>
    <row r="1271" spans="7:8" x14ac:dyDescent="0.3">
      <c r="G1271" s="4"/>
      <c r="H1271" s="4"/>
    </row>
    <row r="1272" spans="7:8" x14ac:dyDescent="0.3">
      <c r="G1272" s="4"/>
      <c r="H1272" s="4"/>
    </row>
    <row r="1273" spans="7:8" x14ac:dyDescent="0.3">
      <c r="G1273" s="4"/>
      <c r="H1273" s="4"/>
    </row>
    <row r="1274" spans="7:8" x14ac:dyDescent="0.3">
      <c r="G1274" s="4"/>
      <c r="H1274" s="4"/>
    </row>
    <row r="1275" spans="7:8" x14ac:dyDescent="0.3">
      <c r="G1275" s="4"/>
      <c r="H1275" s="4"/>
    </row>
    <row r="1276" spans="7:8" x14ac:dyDescent="0.3">
      <c r="G1276" s="4"/>
      <c r="H1276" s="4"/>
    </row>
    <row r="1277" spans="7:8" x14ac:dyDescent="0.3">
      <c r="G1277" s="4"/>
      <c r="H1277" s="4"/>
    </row>
    <row r="1278" spans="7:8" x14ac:dyDescent="0.3">
      <c r="G1278" s="4"/>
      <c r="H1278" s="4"/>
    </row>
    <row r="1279" spans="7:8" x14ac:dyDescent="0.3">
      <c r="G1279" s="4"/>
      <c r="H1279" s="4"/>
    </row>
    <row r="1280" spans="7:8" x14ac:dyDescent="0.3">
      <c r="G1280" s="4"/>
      <c r="H1280" s="4"/>
    </row>
    <row r="1281" spans="7:8" x14ac:dyDescent="0.3">
      <c r="G1281" s="4"/>
      <c r="H1281" s="4"/>
    </row>
    <row r="1282" spans="7:8" x14ac:dyDescent="0.3">
      <c r="G1282" s="4"/>
      <c r="H1282" s="4"/>
    </row>
    <row r="1283" spans="7:8" x14ac:dyDescent="0.3">
      <c r="G1283" s="4"/>
      <c r="H1283" s="4"/>
    </row>
    <row r="1284" spans="7:8" x14ac:dyDescent="0.3">
      <c r="G1284" s="4"/>
      <c r="H1284" s="4"/>
    </row>
    <row r="1285" spans="7:8" x14ac:dyDescent="0.3">
      <c r="G1285" s="4"/>
      <c r="H1285" s="4"/>
    </row>
    <row r="1286" spans="7:8" x14ac:dyDescent="0.3">
      <c r="G1286" s="4"/>
      <c r="H1286" s="4"/>
    </row>
    <row r="1287" spans="7:8" x14ac:dyDescent="0.3">
      <c r="G1287" s="4"/>
      <c r="H1287" s="4"/>
    </row>
    <row r="1288" spans="7:8" x14ac:dyDescent="0.3">
      <c r="G1288" s="4"/>
      <c r="H1288" s="4"/>
    </row>
    <row r="1289" spans="7:8" x14ac:dyDescent="0.3">
      <c r="G1289" s="4"/>
      <c r="H1289" s="4"/>
    </row>
    <row r="1290" spans="7:8" x14ac:dyDescent="0.3">
      <c r="G1290" s="4"/>
      <c r="H1290" s="4"/>
    </row>
    <row r="1291" spans="7:8" x14ac:dyDescent="0.3">
      <c r="G1291" s="4"/>
      <c r="H1291" s="4"/>
    </row>
    <row r="1292" spans="7:8" x14ac:dyDescent="0.3">
      <c r="G1292" s="4"/>
      <c r="H1292" s="4"/>
    </row>
    <row r="1293" spans="7:8" x14ac:dyDescent="0.3">
      <c r="G1293" s="4"/>
      <c r="H1293" s="4"/>
    </row>
    <row r="1294" spans="7:8" x14ac:dyDescent="0.3">
      <c r="G1294" s="4"/>
      <c r="H1294" s="4"/>
    </row>
    <row r="1295" spans="7:8" x14ac:dyDescent="0.3">
      <c r="G1295" s="4"/>
      <c r="H1295" s="4"/>
    </row>
    <row r="1296" spans="7:8" x14ac:dyDescent="0.3">
      <c r="G1296" s="4"/>
      <c r="H1296" s="4"/>
    </row>
    <row r="1297" spans="7:8" x14ac:dyDescent="0.3">
      <c r="G1297" s="4"/>
      <c r="H1297" s="4"/>
    </row>
    <row r="1298" spans="7:8" x14ac:dyDescent="0.3">
      <c r="G1298" s="4"/>
      <c r="H1298" s="4"/>
    </row>
    <row r="1299" spans="7:8" x14ac:dyDescent="0.3">
      <c r="G1299" s="4"/>
      <c r="H1299" s="4"/>
    </row>
    <row r="1300" spans="7:8" x14ac:dyDescent="0.3">
      <c r="G1300" s="4"/>
      <c r="H1300" s="4"/>
    </row>
    <row r="1301" spans="7:8" x14ac:dyDescent="0.3">
      <c r="G1301" s="4"/>
      <c r="H1301" s="4"/>
    </row>
    <row r="1302" spans="7:8" x14ac:dyDescent="0.3">
      <c r="G1302" s="4"/>
      <c r="H1302" s="4"/>
    </row>
    <row r="1303" spans="7:8" x14ac:dyDescent="0.3">
      <c r="G1303" s="4"/>
      <c r="H1303" s="4"/>
    </row>
    <row r="1304" spans="7:8" x14ac:dyDescent="0.3">
      <c r="G1304" s="4"/>
      <c r="H1304" s="4"/>
    </row>
    <row r="1305" spans="7:8" x14ac:dyDescent="0.3">
      <c r="G1305" s="4"/>
      <c r="H1305" s="4"/>
    </row>
    <row r="1306" spans="7:8" x14ac:dyDescent="0.3">
      <c r="G1306" s="4"/>
      <c r="H1306" s="4"/>
    </row>
    <row r="1307" spans="7:8" x14ac:dyDescent="0.3">
      <c r="G1307" s="4"/>
      <c r="H1307" s="4"/>
    </row>
    <row r="1308" spans="7:8" x14ac:dyDescent="0.3">
      <c r="G1308" s="4"/>
      <c r="H1308" s="4"/>
    </row>
    <row r="1309" spans="7:8" x14ac:dyDescent="0.3">
      <c r="G1309" s="4"/>
      <c r="H1309" s="4"/>
    </row>
    <row r="1310" spans="7:8" x14ac:dyDescent="0.3">
      <c r="G1310" s="4"/>
      <c r="H1310" s="4"/>
    </row>
    <row r="1311" spans="7:8" x14ac:dyDescent="0.3">
      <c r="G1311" s="4"/>
      <c r="H1311" s="4"/>
    </row>
    <row r="1312" spans="7:8" x14ac:dyDescent="0.3">
      <c r="G1312" s="4"/>
      <c r="H1312" s="4"/>
    </row>
    <row r="1313" spans="7:8" x14ac:dyDescent="0.3">
      <c r="G1313" s="4"/>
      <c r="H1313" s="4"/>
    </row>
    <row r="1314" spans="7:8" x14ac:dyDescent="0.3">
      <c r="G1314" s="4"/>
      <c r="H1314" s="4"/>
    </row>
    <row r="1315" spans="7:8" x14ac:dyDescent="0.3">
      <c r="G1315" s="4"/>
      <c r="H1315" s="4"/>
    </row>
    <row r="1316" spans="7:8" x14ac:dyDescent="0.3">
      <c r="G1316" s="4"/>
      <c r="H1316" s="4"/>
    </row>
    <row r="1317" spans="7:8" x14ac:dyDescent="0.3">
      <c r="G1317" s="4"/>
      <c r="H1317" s="4"/>
    </row>
    <row r="1318" spans="7:8" x14ac:dyDescent="0.3">
      <c r="G1318" s="4"/>
      <c r="H1318" s="4"/>
    </row>
    <row r="1319" spans="7:8" x14ac:dyDescent="0.3">
      <c r="G1319" s="4"/>
      <c r="H1319" s="4"/>
    </row>
    <row r="1320" spans="7:8" x14ac:dyDescent="0.3">
      <c r="G1320" s="4"/>
      <c r="H1320" s="4"/>
    </row>
    <row r="1321" spans="7:8" x14ac:dyDescent="0.3">
      <c r="G1321" s="4"/>
      <c r="H1321" s="4"/>
    </row>
    <row r="1322" spans="7:8" x14ac:dyDescent="0.3">
      <c r="G1322" s="4"/>
      <c r="H1322" s="4"/>
    </row>
    <row r="1323" spans="7:8" x14ac:dyDescent="0.3">
      <c r="G1323" s="4"/>
      <c r="H1323" s="4"/>
    </row>
    <row r="1324" spans="7:8" x14ac:dyDescent="0.3">
      <c r="G1324" s="4"/>
      <c r="H1324" s="4"/>
    </row>
    <row r="1325" spans="7:8" x14ac:dyDescent="0.3">
      <c r="G1325" s="4"/>
      <c r="H1325" s="4"/>
    </row>
    <row r="1326" spans="7:8" x14ac:dyDescent="0.3">
      <c r="G1326" s="4"/>
      <c r="H1326" s="4"/>
    </row>
    <row r="1327" spans="7:8" x14ac:dyDescent="0.3">
      <c r="G1327" s="4"/>
      <c r="H1327" s="4"/>
    </row>
    <row r="1328" spans="7:8" x14ac:dyDescent="0.3">
      <c r="G1328" s="4"/>
      <c r="H1328" s="4"/>
    </row>
    <row r="1329" spans="7:8" x14ac:dyDescent="0.3">
      <c r="G1329" s="4"/>
      <c r="H1329" s="4"/>
    </row>
    <row r="1330" spans="7:8" x14ac:dyDescent="0.3">
      <c r="G1330" s="4"/>
      <c r="H1330" s="4"/>
    </row>
    <row r="1331" spans="7:8" x14ac:dyDescent="0.3">
      <c r="G1331" s="4"/>
      <c r="H1331" s="4"/>
    </row>
    <row r="1332" spans="7:8" x14ac:dyDescent="0.3">
      <c r="G1332" s="4"/>
      <c r="H1332" s="4"/>
    </row>
    <row r="1333" spans="7:8" x14ac:dyDescent="0.3">
      <c r="G1333" s="4"/>
      <c r="H1333" s="4"/>
    </row>
    <row r="1334" spans="7:8" x14ac:dyDescent="0.3">
      <c r="G1334" s="4"/>
      <c r="H1334" s="4"/>
    </row>
    <row r="1335" spans="7:8" x14ac:dyDescent="0.3">
      <c r="G1335" s="4"/>
      <c r="H1335" s="4"/>
    </row>
    <row r="1336" spans="7:8" x14ac:dyDescent="0.3">
      <c r="G1336" s="4"/>
      <c r="H1336" s="4"/>
    </row>
    <row r="1337" spans="7:8" x14ac:dyDescent="0.3">
      <c r="G1337" s="4"/>
      <c r="H1337" s="4"/>
    </row>
    <row r="1338" spans="7:8" x14ac:dyDescent="0.3">
      <c r="G1338" s="4"/>
      <c r="H1338" s="4"/>
    </row>
    <row r="1339" spans="7:8" x14ac:dyDescent="0.3">
      <c r="G1339" s="4"/>
      <c r="H1339" s="4"/>
    </row>
    <row r="1340" spans="7:8" x14ac:dyDescent="0.3">
      <c r="G1340" s="4"/>
      <c r="H1340" s="4"/>
    </row>
    <row r="1341" spans="7:8" x14ac:dyDescent="0.3">
      <c r="G1341" s="4"/>
      <c r="H1341" s="4"/>
    </row>
    <row r="1342" spans="7:8" x14ac:dyDescent="0.3">
      <c r="G1342" s="4"/>
      <c r="H1342" s="4"/>
    </row>
    <row r="1343" spans="7:8" x14ac:dyDescent="0.3">
      <c r="G1343" s="4"/>
      <c r="H1343" s="4"/>
    </row>
    <row r="1344" spans="7:8" x14ac:dyDescent="0.3">
      <c r="G1344" s="4"/>
      <c r="H1344" s="4"/>
    </row>
    <row r="1345" spans="7:8" x14ac:dyDescent="0.3">
      <c r="G1345" s="4"/>
      <c r="H1345" s="4"/>
    </row>
    <row r="1346" spans="7:8" x14ac:dyDescent="0.3">
      <c r="G1346" s="4"/>
      <c r="H1346" s="4"/>
    </row>
    <row r="1347" spans="7:8" x14ac:dyDescent="0.3">
      <c r="G1347" s="4"/>
      <c r="H1347" s="4"/>
    </row>
    <row r="1348" spans="7:8" x14ac:dyDescent="0.3">
      <c r="G1348" s="4"/>
      <c r="H1348" s="4"/>
    </row>
    <row r="1349" spans="7:8" x14ac:dyDescent="0.3">
      <c r="G1349" s="4"/>
      <c r="H1349" s="4"/>
    </row>
    <row r="1350" spans="7:8" x14ac:dyDescent="0.3">
      <c r="G1350" s="4"/>
      <c r="H1350" s="4"/>
    </row>
    <row r="1351" spans="7:8" x14ac:dyDescent="0.3">
      <c r="G1351" s="4"/>
      <c r="H1351" s="4"/>
    </row>
    <row r="1352" spans="7:8" x14ac:dyDescent="0.3">
      <c r="G1352" s="4"/>
      <c r="H1352" s="4"/>
    </row>
    <row r="1353" spans="7:8" x14ac:dyDescent="0.3">
      <c r="G1353" s="4"/>
      <c r="H1353" s="4"/>
    </row>
    <row r="1354" spans="7:8" x14ac:dyDescent="0.3">
      <c r="G1354" s="4"/>
      <c r="H1354" s="4"/>
    </row>
    <row r="1355" spans="7:8" x14ac:dyDescent="0.3">
      <c r="G1355" s="4"/>
      <c r="H1355" s="4"/>
    </row>
    <row r="1356" spans="7:8" x14ac:dyDescent="0.3">
      <c r="G1356" s="4"/>
      <c r="H1356" s="4"/>
    </row>
    <row r="1357" spans="7:8" x14ac:dyDescent="0.3">
      <c r="G1357" s="4"/>
      <c r="H1357" s="4"/>
    </row>
    <row r="1358" spans="7:8" x14ac:dyDescent="0.3">
      <c r="G1358" s="4"/>
      <c r="H1358" s="4"/>
    </row>
    <row r="1359" spans="7:8" x14ac:dyDescent="0.3">
      <c r="G1359" s="4"/>
      <c r="H1359" s="4"/>
    </row>
    <row r="1360" spans="7:8" x14ac:dyDescent="0.3">
      <c r="G1360" s="4"/>
      <c r="H1360" s="4"/>
    </row>
    <row r="1361" spans="7:8" x14ac:dyDescent="0.3">
      <c r="G1361" s="4"/>
      <c r="H1361" s="4"/>
    </row>
    <row r="1362" spans="7:8" x14ac:dyDescent="0.3">
      <c r="G1362" s="4"/>
      <c r="H1362" s="4"/>
    </row>
    <row r="1363" spans="7:8" x14ac:dyDescent="0.3">
      <c r="G1363" s="4"/>
      <c r="H1363" s="4"/>
    </row>
    <row r="1364" spans="7:8" x14ac:dyDescent="0.3">
      <c r="G1364" s="4"/>
      <c r="H1364" s="4"/>
    </row>
    <row r="1365" spans="7:8" x14ac:dyDescent="0.3">
      <c r="G1365" s="4"/>
      <c r="H1365" s="4"/>
    </row>
    <row r="1366" spans="7:8" x14ac:dyDescent="0.3">
      <c r="G1366" s="4"/>
      <c r="H1366" s="4"/>
    </row>
    <row r="1367" spans="7:8" x14ac:dyDescent="0.3">
      <c r="G1367" s="4"/>
      <c r="H1367" s="4"/>
    </row>
    <row r="1368" spans="7:8" x14ac:dyDescent="0.3">
      <c r="G1368" s="4"/>
      <c r="H1368" s="4"/>
    </row>
    <row r="1369" spans="7:8" x14ac:dyDescent="0.3">
      <c r="G1369" s="4"/>
      <c r="H1369" s="4"/>
    </row>
    <row r="1370" spans="7:8" x14ac:dyDescent="0.3">
      <c r="G1370" s="4"/>
      <c r="H1370" s="4"/>
    </row>
    <row r="1371" spans="7:8" x14ac:dyDescent="0.3">
      <c r="G1371" s="4"/>
      <c r="H1371" s="4"/>
    </row>
    <row r="1372" spans="7:8" x14ac:dyDescent="0.3">
      <c r="G1372" s="4"/>
      <c r="H1372" s="4"/>
    </row>
    <row r="1373" spans="7:8" x14ac:dyDescent="0.3">
      <c r="G1373" s="4"/>
      <c r="H1373" s="4"/>
    </row>
    <row r="1374" spans="7:8" x14ac:dyDescent="0.3">
      <c r="G1374" s="4"/>
      <c r="H1374" s="4"/>
    </row>
    <row r="1375" spans="7:8" x14ac:dyDescent="0.3">
      <c r="G1375" s="4"/>
      <c r="H1375" s="4"/>
    </row>
    <row r="1376" spans="7:8" x14ac:dyDescent="0.3">
      <c r="G1376" s="4"/>
      <c r="H1376" s="4"/>
    </row>
    <row r="1377" spans="7:8" x14ac:dyDescent="0.3">
      <c r="G1377" s="4"/>
      <c r="H1377" s="4"/>
    </row>
    <row r="1378" spans="7:8" x14ac:dyDescent="0.3">
      <c r="G1378" s="4"/>
      <c r="H1378" s="4"/>
    </row>
    <row r="1379" spans="7:8" x14ac:dyDescent="0.3">
      <c r="G1379" s="4"/>
      <c r="H1379" s="4"/>
    </row>
    <row r="1380" spans="7:8" x14ac:dyDescent="0.3">
      <c r="G1380" s="4"/>
      <c r="H1380" s="4"/>
    </row>
    <row r="1381" spans="7:8" x14ac:dyDescent="0.3">
      <c r="G1381" s="4"/>
      <c r="H1381" s="4"/>
    </row>
    <row r="1382" spans="7:8" x14ac:dyDescent="0.3">
      <c r="G1382" s="4"/>
      <c r="H1382" s="4"/>
    </row>
    <row r="1383" spans="7:8" x14ac:dyDescent="0.3">
      <c r="G1383" s="4"/>
      <c r="H1383" s="4"/>
    </row>
    <row r="1384" spans="7:8" x14ac:dyDescent="0.3">
      <c r="G1384" s="4"/>
      <c r="H1384" s="4"/>
    </row>
    <row r="1385" spans="7:8" x14ac:dyDescent="0.3">
      <c r="G1385" s="4"/>
      <c r="H1385" s="4"/>
    </row>
    <row r="1386" spans="7:8" x14ac:dyDescent="0.3">
      <c r="G1386" s="4"/>
      <c r="H1386" s="4"/>
    </row>
    <row r="1387" spans="7:8" x14ac:dyDescent="0.3">
      <c r="G1387" s="4"/>
      <c r="H1387" s="4"/>
    </row>
    <row r="1388" spans="7:8" x14ac:dyDescent="0.3">
      <c r="G1388" s="4"/>
      <c r="H1388" s="4"/>
    </row>
    <row r="1389" spans="7:8" x14ac:dyDescent="0.3">
      <c r="G1389" s="4"/>
      <c r="H1389" s="4"/>
    </row>
    <row r="1390" spans="7:8" x14ac:dyDescent="0.3">
      <c r="G1390" s="4"/>
      <c r="H1390" s="4"/>
    </row>
    <row r="1391" spans="7:8" x14ac:dyDescent="0.3">
      <c r="G1391" s="4"/>
      <c r="H1391" s="4"/>
    </row>
    <row r="1392" spans="7:8" x14ac:dyDescent="0.3">
      <c r="G1392" s="4"/>
      <c r="H1392" s="4"/>
    </row>
    <row r="1393" spans="7:8" x14ac:dyDescent="0.3">
      <c r="G1393" s="4"/>
      <c r="H1393" s="4"/>
    </row>
    <row r="1394" spans="7:8" x14ac:dyDescent="0.3">
      <c r="G1394" s="4"/>
      <c r="H1394" s="4"/>
    </row>
    <row r="1395" spans="7:8" x14ac:dyDescent="0.3">
      <c r="G1395" s="4"/>
      <c r="H1395" s="4"/>
    </row>
    <row r="1396" spans="7:8" x14ac:dyDescent="0.3">
      <c r="G1396" s="4"/>
      <c r="H1396" s="4"/>
    </row>
    <row r="1397" spans="7:8" x14ac:dyDescent="0.3">
      <c r="G1397" s="4"/>
      <c r="H1397" s="4"/>
    </row>
    <row r="1398" spans="7:8" x14ac:dyDescent="0.3">
      <c r="G1398" s="4"/>
      <c r="H1398" s="4"/>
    </row>
    <row r="1399" spans="7:8" x14ac:dyDescent="0.3">
      <c r="G1399" s="4"/>
      <c r="H1399" s="4"/>
    </row>
    <row r="1400" spans="7:8" x14ac:dyDescent="0.3">
      <c r="G1400" s="4"/>
      <c r="H1400" s="4"/>
    </row>
    <row r="1401" spans="7:8" x14ac:dyDescent="0.3">
      <c r="G1401" s="4"/>
      <c r="H1401" s="4"/>
    </row>
    <row r="1402" spans="7:8" x14ac:dyDescent="0.3">
      <c r="G1402" s="4"/>
      <c r="H1402" s="4"/>
    </row>
    <row r="1403" spans="7:8" x14ac:dyDescent="0.3">
      <c r="G1403" s="4"/>
      <c r="H1403" s="4"/>
    </row>
    <row r="1404" spans="7:8" x14ac:dyDescent="0.3">
      <c r="G1404" s="4"/>
      <c r="H1404" s="4"/>
    </row>
    <row r="1405" spans="7:8" x14ac:dyDescent="0.3">
      <c r="G1405" s="4"/>
      <c r="H1405" s="4"/>
    </row>
    <row r="1406" spans="7:8" x14ac:dyDescent="0.3">
      <c r="G1406" s="4"/>
      <c r="H1406" s="4"/>
    </row>
    <row r="1407" spans="7:8" x14ac:dyDescent="0.3">
      <c r="G1407" s="4"/>
      <c r="H1407" s="4"/>
    </row>
    <row r="1408" spans="7:8" x14ac:dyDescent="0.3">
      <c r="G1408" s="4"/>
      <c r="H1408" s="4"/>
    </row>
    <row r="1409" spans="7:8" x14ac:dyDescent="0.3">
      <c r="G1409" s="4"/>
      <c r="H1409" s="4"/>
    </row>
    <row r="1410" spans="7:8" x14ac:dyDescent="0.3">
      <c r="G1410" s="4"/>
      <c r="H1410" s="4"/>
    </row>
    <row r="1411" spans="7:8" x14ac:dyDescent="0.3">
      <c r="G1411" s="4"/>
      <c r="H1411" s="4"/>
    </row>
    <row r="1412" spans="7:8" x14ac:dyDescent="0.3">
      <c r="G1412" s="4"/>
      <c r="H1412" s="4"/>
    </row>
    <row r="1413" spans="7:8" x14ac:dyDescent="0.3">
      <c r="G1413" s="4"/>
      <c r="H1413" s="4"/>
    </row>
    <row r="1414" spans="7:8" x14ac:dyDescent="0.3">
      <c r="G1414" s="4"/>
      <c r="H1414" s="4"/>
    </row>
    <row r="1415" spans="7:8" x14ac:dyDescent="0.3">
      <c r="G1415" s="4"/>
      <c r="H1415" s="4"/>
    </row>
    <row r="1416" spans="7:8" x14ac:dyDescent="0.3">
      <c r="G1416" s="4"/>
      <c r="H1416" s="4"/>
    </row>
    <row r="1417" spans="7:8" x14ac:dyDescent="0.3">
      <c r="G1417" s="4"/>
      <c r="H1417" s="4"/>
    </row>
    <row r="1418" spans="7:8" x14ac:dyDescent="0.3">
      <c r="G1418" s="4"/>
      <c r="H1418" s="4"/>
    </row>
    <row r="1419" spans="7:8" x14ac:dyDescent="0.3">
      <c r="G1419" s="4"/>
      <c r="H1419" s="4"/>
    </row>
    <row r="1420" spans="7:8" x14ac:dyDescent="0.3">
      <c r="G1420" s="4"/>
      <c r="H1420" s="4"/>
    </row>
    <row r="1421" spans="7:8" x14ac:dyDescent="0.3">
      <c r="G1421" s="4"/>
      <c r="H1421" s="4"/>
    </row>
    <row r="1422" spans="7:8" x14ac:dyDescent="0.3">
      <c r="G1422" s="4"/>
      <c r="H1422" s="4"/>
    </row>
    <row r="1423" spans="7:8" x14ac:dyDescent="0.3">
      <c r="G1423" s="4"/>
      <c r="H1423" s="4"/>
    </row>
    <row r="1424" spans="7:8" x14ac:dyDescent="0.3">
      <c r="G1424" s="4"/>
      <c r="H1424" s="4"/>
    </row>
    <row r="1425" spans="7:8" x14ac:dyDescent="0.3">
      <c r="G1425" s="4"/>
      <c r="H1425" s="4"/>
    </row>
    <row r="1426" spans="7:8" x14ac:dyDescent="0.3">
      <c r="G1426" s="4"/>
      <c r="H1426" s="4"/>
    </row>
    <row r="1427" spans="7:8" x14ac:dyDescent="0.3">
      <c r="G1427" s="4"/>
      <c r="H1427" s="4"/>
    </row>
    <row r="1428" spans="7:8" x14ac:dyDescent="0.3">
      <c r="G1428" s="4"/>
      <c r="H1428" s="4"/>
    </row>
    <row r="1429" spans="7:8" x14ac:dyDescent="0.3">
      <c r="G1429" s="4"/>
      <c r="H1429" s="4"/>
    </row>
    <row r="1430" spans="7:8" x14ac:dyDescent="0.3">
      <c r="G1430" s="4"/>
      <c r="H1430" s="4"/>
    </row>
    <row r="1431" spans="7:8" x14ac:dyDescent="0.3">
      <c r="G1431" s="4"/>
      <c r="H1431" s="4"/>
    </row>
    <row r="1432" spans="7:8" x14ac:dyDescent="0.3">
      <c r="G1432" s="4"/>
      <c r="H1432" s="4"/>
    </row>
    <row r="1433" spans="7:8" x14ac:dyDescent="0.3">
      <c r="G1433" s="4"/>
      <c r="H1433" s="4"/>
    </row>
    <row r="1434" spans="7:8" x14ac:dyDescent="0.3">
      <c r="G1434" s="4"/>
      <c r="H1434" s="4"/>
    </row>
    <row r="1435" spans="7:8" x14ac:dyDescent="0.3">
      <c r="G1435" s="4"/>
      <c r="H1435" s="4"/>
    </row>
    <row r="1436" spans="7:8" x14ac:dyDescent="0.3">
      <c r="G1436" s="4"/>
      <c r="H1436" s="4"/>
    </row>
    <row r="1437" spans="7:8" x14ac:dyDescent="0.3">
      <c r="G1437" s="4"/>
      <c r="H1437" s="4"/>
    </row>
    <row r="1438" spans="7:8" x14ac:dyDescent="0.3">
      <c r="G1438" s="4"/>
      <c r="H1438" s="4"/>
    </row>
    <row r="1439" spans="7:8" x14ac:dyDescent="0.3">
      <c r="G1439" s="4"/>
      <c r="H1439" s="4"/>
    </row>
    <row r="1440" spans="7:8" x14ac:dyDescent="0.3">
      <c r="G1440" s="4"/>
      <c r="H1440" s="4"/>
    </row>
    <row r="1441" spans="7:8" x14ac:dyDescent="0.3">
      <c r="G1441" s="4"/>
      <c r="H1441" s="4"/>
    </row>
    <row r="1442" spans="7:8" x14ac:dyDescent="0.3">
      <c r="G1442" s="4"/>
      <c r="H1442" s="4"/>
    </row>
    <row r="1443" spans="7:8" x14ac:dyDescent="0.3">
      <c r="G1443" s="4"/>
      <c r="H1443" s="4"/>
    </row>
    <row r="1444" spans="7:8" x14ac:dyDescent="0.3">
      <c r="G1444" s="4"/>
      <c r="H1444" s="4"/>
    </row>
    <row r="1445" spans="7:8" x14ac:dyDescent="0.3">
      <c r="G1445" s="4"/>
      <c r="H1445" s="4"/>
    </row>
    <row r="1446" spans="7:8" x14ac:dyDescent="0.3">
      <c r="G1446" s="4"/>
      <c r="H1446" s="4"/>
    </row>
    <row r="1447" spans="7:8" x14ac:dyDescent="0.3">
      <c r="G1447" s="4"/>
      <c r="H1447" s="4"/>
    </row>
    <row r="1448" spans="7:8" x14ac:dyDescent="0.3">
      <c r="G1448" s="4"/>
      <c r="H1448" s="4"/>
    </row>
    <row r="1449" spans="7:8" x14ac:dyDescent="0.3">
      <c r="G1449" s="4"/>
      <c r="H1449" s="4"/>
    </row>
    <row r="1450" spans="7:8" x14ac:dyDescent="0.3">
      <c r="G1450" s="4"/>
      <c r="H1450" s="4"/>
    </row>
    <row r="1451" spans="7:8" x14ac:dyDescent="0.3">
      <c r="G1451" s="4"/>
      <c r="H1451" s="4"/>
    </row>
    <row r="1452" spans="7:8" x14ac:dyDescent="0.3">
      <c r="G1452" s="4"/>
      <c r="H1452" s="4"/>
    </row>
    <row r="1453" spans="7:8" x14ac:dyDescent="0.3">
      <c r="G1453" s="4"/>
      <c r="H1453" s="4"/>
    </row>
    <row r="1454" spans="7:8" x14ac:dyDescent="0.3">
      <c r="G1454" s="4"/>
      <c r="H1454" s="4"/>
    </row>
    <row r="1455" spans="7:8" x14ac:dyDescent="0.3">
      <c r="G1455" s="4"/>
      <c r="H1455" s="4"/>
    </row>
    <row r="1456" spans="7:8" x14ac:dyDescent="0.3">
      <c r="G1456" s="4"/>
      <c r="H1456" s="4"/>
    </row>
    <row r="1457" spans="7:8" x14ac:dyDescent="0.3">
      <c r="G1457" s="4"/>
      <c r="H1457" s="4"/>
    </row>
    <row r="1458" spans="7:8" x14ac:dyDescent="0.3">
      <c r="G1458" s="4"/>
      <c r="H1458" s="4"/>
    </row>
    <row r="1459" spans="7:8" x14ac:dyDescent="0.3">
      <c r="G1459" s="4"/>
      <c r="H1459" s="4"/>
    </row>
    <row r="1460" spans="7:8" x14ac:dyDescent="0.3">
      <c r="G1460" s="4"/>
      <c r="H1460" s="4"/>
    </row>
    <row r="1461" spans="7:8" x14ac:dyDescent="0.3">
      <c r="G1461" s="4"/>
      <c r="H1461" s="4"/>
    </row>
    <row r="1462" spans="7:8" x14ac:dyDescent="0.3">
      <c r="G1462" s="4"/>
      <c r="H1462" s="4"/>
    </row>
    <row r="1463" spans="7:8" x14ac:dyDescent="0.3">
      <c r="G1463" s="4"/>
      <c r="H1463" s="4"/>
    </row>
    <row r="1464" spans="7:8" x14ac:dyDescent="0.3">
      <c r="G1464" s="4"/>
      <c r="H1464" s="4"/>
    </row>
    <row r="1465" spans="7:8" x14ac:dyDescent="0.3">
      <c r="G1465" s="4"/>
      <c r="H1465" s="4"/>
    </row>
    <row r="1466" spans="7:8" x14ac:dyDescent="0.3">
      <c r="G1466" s="4"/>
      <c r="H1466" s="4"/>
    </row>
    <row r="1467" spans="7:8" x14ac:dyDescent="0.3">
      <c r="G1467" s="4"/>
      <c r="H1467" s="4"/>
    </row>
    <row r="1468" spans="7:8" x14ac:dyDescent="0.3">
      <c r="G1468" s="4"/>
      <c r="H1468" s="4"/>
    </row>
    <row r="1469" spans="7:8" x14ac:dyDescent="0.3">
      <c r="G1469" s="4"/>
      <c r="H1469" s="4"/>
    </row>
    <row r="1470" spans="7:8" x14ac:dyDescent="0.3">
      <c r="G1470" s="4"/>
      <c r="H1470" s="4"/>
    </row>
    <row r="1471" spans="7:8" x14ac:dyDescent="0.3">
      <c r="G1471" s="4"/>
      <c r="H1471" s="4"/>
    </row>
    <row r="1472" spans="7:8" x14ac:dyDescent="0.3">
      <c r="G1472" s="4"/>
      <c r="H1472" s="4"/>
    </row>
    <row r="1473" spans="7:8" x14ac:dyDescent="0.3">
      <c r="G1473" s="4"/>
      <c r="H1473" s="4"/>
    </row>
    <row r="1474" spans="7:8" x14ac:dyDescent="0.3">
      <c r="G1474" s="4"/>
      <c r="H1474" s="4"/>
    </row>
    <row r="1475" spans="7:8" x14ac:dyDescent="0.3">
      <c r="G1475" s="4"/>
      <c r="H1475" s="4"/>
    </row>
    <row r="1476" spans="7:8" x14ac:dyDescent="0.3">
      <c r="G1476" s="4"/>
      <c r="H1476" s="4"/>
    </row>
    <row r="1477" spans="7:8" x14ac:dyDescent="0.3">
      <c r="G1477" s="4"/>
      <c r="H1477" s="4"/>
    </row>
    <row r="1478" spans="7:8" x14ac:dyDescent="0.3">
      <c r="G1478" s="4"/>
      <c r="H1478" s="4"/>
    </row>
    <row r="1479" spans="7:8" x14ac:dyDescent="0.3">
      <c r="G1479" s="4"/>
      <c r="H1479" s="4"/>
    </row>
    <row r="1480" spans="7:8" x14ac:dyDescent="0.3">
      <c r="G1480" s="4"/>
      <c r="H1480" s="4"/>
    </row>
    <row r="1481" spans="7:8" x14ac:dyDescent="0.3">
      <c r="G1481" s="4"/>
      <c r="H1481" s="4"/>
    </row>
    <row r="1482" spans="7:8" x14ac:dyDescent="0.3">
      <c r="G1482" s="4"/>
      <c r="H1482" s="4"/>
    </row>
    <row r="1483" spans="7:8" x14ac:dyDescent="0.3">
      <c r="G1483" s="4"/>
      <c r="H1483" s="4"/>
    </row>
    <row r="1484" spans="7:8" x14ac:dyDescent="0.3">
      <c r="G1484" s="4"/>
      <c r="H1484" s="4"/>
    </row>
    <row r="1485" spans="7:8" x14ac:dyDescent="0.3">
      <c r="G1485" s="4"/>
      <c r="H1485" s="4"/>
    </row>
    <row r="1486" spans="7:8" x14ac:dyDescent="0.3">
      <c r="G1486" s="4"/>
      <c r="H1486" s="4"/>
    </row>
    <row r="1487" spans="7:8" x14ac:dyDescent="0.3">
      <c r="G1487" s="4"/>
      <c r="H1487" s="4"/>
    </row>
    <row r="1488" spans="7:8" x14ac:dyDescent="0.3">
      <c r="G1488" s="4"/>
      <c r="H1488" s="4"/>
    </row>
    <row r="1489" spans="7:8" x14ac:dyDescent="0.3">
      <c r="G1489" s="4"/>
      <c r="H1489" s="4"/>
    </row>
    <row r="1490" spans="7:8" x14ac:dyDescent="0.3">
      <c r="G1490" s="4"/>
      <c r="H1490" s="4"/>
    </row>
    <row r="1491" spans="7:8" x14ac:dyDescent="0.3">
      <c r="G1491" s="4"/>
      <c r="H1491" s="4"/>
    </row>
    <row r="1492" spans="7:8" x14ac:dyDescent="0.3">
      <c r="G1492" s="4"/>
      <c r="H1492" s="4"/>
    </row>
    <row r="1493" spans="7:8" x14ac:dyDescent="0.3">
      <c r="G1493" s="4"/>
      <c r="H1493" s="4"/>
    </row>
    <row r="1494" spans="7:8" x14ac:dyDescent="0.3">
      <c r="G1494" s="4"/>
      <c r="H1494" s="4"/>
    </row>
    <row r="1495" spans="7:8" x14ac:dyDescent="0.3">
      <c r="G1495" s="4"/>
      <c r="H1495" s="4"/>
    </row>
    <row r="1496" spans="7:8" x14ac:dyDescent="0.3">
      <c r="G1496" s="4"/>
      <c r="H1496" s="4"/>
    </row>
    <row r="1497" spans="7:8" x14ac:dyDescent="0.3">
      <c r="G1497" s="4"/>
      <c r="H1497" s="4"/>
    </row>
    <row r="1498" spans="7:8" x14ac:dyDescent="0.3">
      <c r="G1498" s="4"/>
      <c r="H1498" s="4"/>
    </row>
    <row r="1499" spans="7:8" x14ac:dyDescent="0.3">
      <c r="G1499" s="4"/>
      <c r="H1499" s="4"/>
    </row>
    <row r="1500" spans="7:8" x14ac:dyDescent="0.3">
      <c r="G1500" s="4"/>
      <c r="H1500" s="4"/>
    </row>
    <row r="1501" spans="7:8" x14ac:dyDescent="0.3">
      <c r="G1501" s="4"/>
      <c r="H1501" s="4"/>
    </row>
    <row r="1502" spans="7:8" x14ac:dyDescent="0.3">
      <c r="G1502" s="4"/>
      <c r="H1502" s="4"/>
    </row>
    <row r="1503" spans="7:8" x14ac:dyDescent="0.3">
      <c r="G1503" s="4"/>
      <c r="H1503" s="4"/>
    </row>
    <row r="1504" spans="7:8" x14ac:dyDescent="0.3">
      <c r="G1504" s="4"/>
      <c r="H1504" s="4"/>
    </row>
    <row r="1505" spans="7:8" x14ac:dyDescent="0.3">
      <c r="G1505" s="4"/>
      <c r="H1505" s="4"/>
    </row>
    <row r="1506" spans="7:8" x14ac:dyDescent="0.3">
      <c r="G1506" s="4"/>
      <c r="H1506" s="4"/>
    </row>
    <row r="1507" spans="7:8" x14ac:dyDescent="0.3">
      <c r="G1507" s="4"/>
      <c r="H1507" s="4"/>
    </row>
    <row r="1508" spans="7:8" x14ac:dyDescent="0.3">
      <c r="G1508" s="4"/>
      <c r="H1508" s="4"/>
    </row>
    <row r="1509" spans="7:8" x14ac:dyDescent="0.3">
      <c r="G1509" s="4"/>
      <c r="H1509" s="4"/>
    </row>
    <row r="1510" spans="7:8" x14ac:dyDescent="0.3">
      <c r="G1510" s="4"/>
      <c r="H1510" s="4"/>
    </row>
    <row r="1511" spans="7:8" x14ac:dyDescent="0.3">
      <c r="G1511" s="4"/>
      <c r="H1511" s="4"/>
    </row>
    <row r="1512" spans="7:8" x14ac:dyDescent="0.3">
      <c r="G1512" s="4"/>
      <c r="H1512" s="4"/>
    </row>
    <row r="1513" spans="7:8" x14ac:dyDescent="0.3">
      <c r="G1513" s="4"/>
      <c r="H1513" s="4"/>
    </row>
    <row r="1514" spans="7:8" x14ac:dyDescent="0.3">
      <c r="G1514" s="4"/>
      <c r="H1514" s="4"/>
    </row>
    <row r="1515" spans="7:8" x14ac:dyDescent="0.3">
      <c r="G1515" s="4"/>
      <c r="H1515" s="4"/>
    </row>
    <row r="1516" spans="7:8" x14ac:dyDescent="0.3">
      <c r="G1516" s="4"/>
      <c r="H1516" s="4"/>
    </row>
    <row r="1517" spans="7:8" x14ac:dyDescent="0.3">
      <c r="G1517" s="4"/>
      <c r="H1517" s="4"/>
    </row>
    <row r="1518" spans="7:8" x14ac:dyDescent="0.3">
      <c r="G1518" s="4"/>
      <c r="H1518" s="4"/>
    </row>
    <row r="1519" spans="7:8" x14ac:dyDescent="0.3">
      <c r="G1519" s="4"/>
      <c r="H1519" s="4"/>
    </row>
    <row r="1520" spans="7:8" x14ac:dyDescent="0.3">
      <c r="G1520" s="4"/>
      <c r="H1520" s="4"/>
    </row>
    <row r="1521" spans="7:8" x14ac:dyDescent="0.3">
      <c r="G1521" s="4"/>
      <c r="H1521" s="4"/>
    </row>
    <row r="1522" spans="7:8" x14ac:dyDescent="0.3">
      <c r="G1522" s="4"/>
      <c r="H1522" s="4"/>
    </row>
    <row r="1523" spans="7:8" x14ac:dyDescent="0.3">
      <c r="G1523" s="4"/>
      <c r="H1523" s="4"/>
    </row>
    <row r="1524" spans="7:8" x14ac:dyDescent="0.3">
      <c r="G1524" s="4"/>
      <c r="H1524" s="4"/>
    </row>
    <row r="1525" spans="7:8" x14ac:dyDescent="0.3">
      <c r="G1525" s="4"/>
      <c r="H1525" s="4"/>
    </row>
    <row r="1526" spans="7:8" x14ac:dyDescent="0.3">
      <c r="G1526" s="4"/>
      <c r="H1526" s="4"/>
    </row>
    <row r="1527" spans="7:8" x14ac:dyDescent="0.3">
      <c r="G1527" s="4"/>
      <c r="H1527" s="4"/>
    </row>
    <row r="1528" spans="7:8" x14ac:dyDescent="0.3">
      <c r="G1528" s="4"/>
      <c r="H1528" s="4"/>
    </row>
    <row r="1529" spans="7:8" x14ac:dyDescent="0.3">
      <c r="G1529" s="4"/>
      <c r="H1529" s="4"/>
    </row>
    <row r="1530" spans="7:8" x14ac:dyDescent="0.3">
      <c r="G1530" s="4"/>
      <c r="H1530" s="4"/>
    </row>
    <row r="1531" spans="7:8" x14ac:dyDescent="0.3">
      <c r="G1531" s="4"/>
      <c r="H1531" s="4"/>
    </row>
    <row r="1532" spans="7:8" x14ac:dyDescent="0.3">
      <c r="G1532" s="4"/>
      <c r="H1532" s="4"/>
    </row>
    <row r="1533" spans="7:8" x14ac:dyDescent="0.3">
      <c r="G1533" s="4"/>
      <c r="H1533" s="4"/>
    </row>
    <row r="1534" spans="7:8" x14ac:dyDescent="0.3">
      <c r="G1534" s="4"/>
      <c r="H1534" s="4"/>
    </row>
    <row r="1535" spans="7:8" x14ac:dyDescent="0.3">
      <c r="G1535" s="4"/>
      <c r="H1535" s="4"/>
    </row>
    <row r="1536" spans="7:8" x14ac:dyDescent="0.3">
      <c r="G1536" s="4"/>
      <c r="H1536" s="4"/>
    </row>
    <row r="1537" spans="7:8" x14ac:dyDescent="0.3">
      <c r="G1537" s="4"/>
      <c r="H1537" s="4"/>
    </row>
    <row r="1538" spans="7:8" x14ac:dyDescent="0.3">
      <c r="G1538" s="4"/>
      <c r="H1538" s="4"/>
    </row>
    <row r="1539" spans="7:8" x14ac:dyDescent="0.3">
      <c r="G1539" s="4"/>
      <c r="H1539" s="4"/>
    </row>
    <row r="1540" spans="7:8" x14ac:dyDescent="0.3">
      <c r="G1540" s="4"/>
      <c r="H1540" s="4"/>
    </row>
    <row r="1541" spans="7:8" x14ac:dyDescent="0.3">
      <c r="G1541" s="4"/>
      <c r="H1541" s="4"/>
    </row>
    <row r="1542" spans="7:8" x14ac:dyDescent="0.3">
      <c r="G1542" s="4"/>
      <c r="H1542" s="4"/>
    </row>
    <row r="1543" spans="7:8" x14ac:dyDescent="0.3">
      <c r="G1543" s="4"/>
      <c r="H1543" s="4"/>
    </row>
    <row r="1544" spans="7:8" x14ac:dyDescent="0.3">
      <c r="G1544" s="4"/>
      <c r="H1544" s="4"/>
    </row>
    <row r="1545" spans="7:8" x14ac:dyDescent="0.3">
      <c r="G1545" s="4"/>
      <c r="H1545" s="4"/>
    </row>
    <row r="1546" spans="7:8" x14ac:dyDescent="0.3">
      <c r="G1546" s="4"/>
      <c r="H1546" s="4"/>
    </row>
    <row r="1547" spans="7:8" x14ac:dyDescent="0.3">
      <c r="G1547" s="4"/>
      <c r="H1547" s="4"/>
    </row>
    <row r="1548" spans="7:8" x14ac:dyDescent="0.3">
      <c r="G1548" s="4"/>
      <c r="H1548" s="4"/>
    </row>
    <row r="1549" spans="7:8" x14ac:dyDescent="0.3">
      <c r="G1549" s="4"/>
      <c r="H1549" s="4"/>
    </row>
    <row r="1550" spans="7:8" x14ac:dyDescent="0.3">
      <c r="G1550" s="4"/>
      <c r="H1550" s="4"/>
    </row>
    <row r="1551" spans="7:8" x14ac:dyDescent="0.3">
      <c r="G1551" s="4"/>
      <c r="H1551" s="4"/>
    </row>
    <row r="1552" spans="7:8" x14ac:dyDescent="0.3">
      <c r="G1552" s="4"/>
      <c r="H1552" s="4"/>
    </row>
    <row r="1553" spans="7:8" x14ac:dyDescent="0.3">
      <c r="G1553" s="4"/>
      <c r="H1553" s="4"/>
    </row>
    <row r="1554" spans="7:8" x14ac:dyDescent="0.3">
      <c r="G1554" s="4"/>
      <c r="H1554" s="4"/>
    </row>
    <row r="1555" spans="7:8" x14ac:dyDescent="0.3">
      <c r="G1555" s="4"/>
      <c r="H1555" s="4"/>
    </row>
    <row r="1556" spans="7:8" x14ac:dyDescent="0.3">
      <c r="G1556" s="4"/>
      <c r="H1556" s="4"/>
    </row>
    <row r="1557" spans="7:8" x14ac:dyDescent="0.3">
      <c r="G1557" s="4"/>
      <c r="H1557" s="4"/>
    </row>
    <row r="1558" spans="7:8" x14ac:dyDescent="0.3">
      <c r="G1558" s="4"/>
      <c r="H1558" s="4"/>
    </row>
    <row r="1559" spans="7:8" x14ac:dyDescent="0.3">
      <c r="G1559" s="4"/>
      <c r="H1559" s="4"/>
    </row>
    <row r="1560" spans="7:8" x14ac:dyDescent="0.3">
      <c r="G1560" s="4"/>
      <c r="H1560" s="4"/>
    </row>
    <row r="1561" spans="7:8" x14ac:dyDescent="0.3">
      <c r="G1561" s="4"/>
      <c r="H1561" s="4"/>
    </row>
    <row r="1562" spans="7:8" x14ac:dyDescent="0.3">
      <c r="G1562" s="4"/>
      <c r="H1562" s="4"/>
    </row>
    <row r="1563" spans="7:8" x14ac:dyDescent="0.3">
      <c r="G1563" s="4"/>
      <c r="H1563" s="4"/>
    </row>
    <row r="1564" spans="7:8" x14ac:dyDescent="0.3">
      <c r="G1564" s="4"/>
      <c r="H1564" s="4"/>
    </row>
    <row r="1565" spans="7:8" x14ac:dyDescent="0.3">
      <c r="G1565" s="4"/>
      <c r="H1565" s="4"/>
    </row>
    <row r="1566" spans="7:8" x14ac:dyDescent="0.3">
      <c r="G1566" s="4"/>
      <c r="H1566" s="4"/>
    </row>
    <row r="1567" spans="7:8" x14ac:dyDescent="0.3">
      <c r="G1567" s="4"/>
      <c r="H1567" s="4"/>
    </row>
    <row r="1568" spans="7:8" x14ac:dyDescent="0.3">
      <c r="G1568" s="4"/>
      <c r="H1568" s="4"/>
    </row>
    <row r="1569" spans="7:8" x14ac:dyDescent="0.3">
      <c r="G1569" s="4"/>
      <c r="H1569" s="4"/>
    </row>
    <row r="1570" spans="7:8" x14ac:dyDescent="0.3">
      <c r="G1570" s="4"/>
      <c r="H1570" s="4"/>
    </row>
    <row r="1571" spans="7:8" x14ac:dyDescent="0.3">
      <c r="G1571" s="4"/>
      <c r="H1571" s="4"/>
    </row>
    <row r="1572" spans="7:8" x14ac:dyDescent="0.3">
      <c r="G1572" s="4"/>
      <c r="H1572" s="4"/>
    </row>
    <row r="1573" spans="7:8" x14ac:dyDescent="0.3">
      <c r="G1573" s="4"/>
      <c r="H1573" s="4"/>
    </row>
    <row r="1574" spans="7:8" x14ac:dyDescent="0.3">
      <c r="G1574" s="4"/>
      <c r="H1574" s="4"/>
    </row>
    <row r="1575" spans="7:8" x14ac:dyDescent="0.3">
      <c r="G1575" s="4"/>
      <c r="H1575" s="4"/>
    </row>
    <row r="1576" spans="7:8" x14ac:dyDescent="0.3">
      <c r="G1576" s="4"/>
      <c r="H1576" s="4"/>
    </row>
    <row r="1577" spans="7:8" x14ac:dyDescent="0.3">
      <c r="G1577" s="4"/>
      <c r="H1577" s="4"/>
    </row>
    <row r="1578" spans="7:8" x14ac:dyDescent="0.3">
      <c r="G1578" s="4"/>
      <c r="H1578" s="4"/>
    </row>
    <row r="1579" spans="7:8" x14ac:dyDescent="0.3">
      <c r="G1579" s="4"/>
      <c r="H1579" s="4"/>
    </row>
    <row r="1580" spans="7:8" x14ac:dyDescent="0.3">
      <c r="G1580" s="4"/>
      <c r="H1580" s="4"/>
    </row>
    <row r="1581" spans="7:8" x14ac:dyDescent="0.3">
      <c r="G1581" s="4"/>
      <c r="H1581" s="4"/>
    </row>
    <row r="1582" spans="7:8" x14ac:dyDescent="0.3">
      <c r="G1582" s="4"/>
      <c r="H1582" s="4"/>
    </row>
    <row r="1583" spans="7:8" x14ac:dyDescent="0.3">
      <c r="G1583" s="4"/>
      <c r="H1583" s="4"/>
    </row>
    <row r="1584" spans="7:8" x14ac:dyDescent="0.3">
      <c r="G1584" s="4"/>
      <c r="H1584" s="4"/>
    </row>
    <row r="1585" spans="7:8" x14ac:dyDescent="0.3">
      <c r="G1585" s="4"/>
      <c r="H1585" s="4"/>
    </row>
    <row r="1586" spans="7:8" x14ac:dyDescent="0.3">
      <c r="G1586" s="4"/>
      <c r="H1586" s="4"/>
    </row>
    <row r="1587" spans="7:8" x14ac:dyDescent="0.3">
      <c r="G1587" s="4"/>
      <c r="H1587" s="4"/>
    </row>
    <row r="1588" spans="7:8" x14ac:dyDescent="0.3">
      <c r="G1588" s="4"/>
      <c r="H1588" s="4"/>
    </row>
    <row r="1589" spans="7:8" x14ac:dyDescent="0.3">
      <c r="G1589" s="4"/>
      <c r="H1589" s="4"/>
    </row>
    <row r="1590" spans="7:8" x14ac:dyDescent="0.3">
      <c r="G1590" s="4"/>
      <c r="H1590" s="4"/>
    </row>
    <row r="1591" spans="7:8" x14ac:dyDescent="0.3">
      <c r="G1591" s="4"/>
      <c r="H1591" s="4"/>
    </row>
    <row r="1592" spans="7:8" x14ac:dyDescent="0.3">
      <c r="G1592" s="4"/>
      <c r="H1592" s="4"/>
    </row>
    <row r="1593" spans="7:8" x14ac:dyDescent="0.3">
      <c r="G1593" s="4"/>
      <c r="H1593" s="4"/>
    </row>
    <row r="1594" spans="7:8" x14ac:dyDescent="0.3">
      <c r="G1594" s="4"/>
      <c r="H1594" s="4"/>
    </row>
    <row r="1595" spans="7:8" x14ac:dyDescent="0.3">
      <c r="G1595" s="4"/>
      <c r="H1595" s="4"/>
    </row>
    <row r="1596" spans="7:8" x14ac:dyDescent="0.3">
      <c r="G1596" s="4"/>
      <c r="H1596" s="4"/>
    </row>
    <row r="1597" spans="7:8" x14ac:dyDescent="0.3">
      <c r="G1597" s="4"/>
      <c r="H1597" s="4"/>
    </row>
    <row r="1598" spans="7:8" x14ac:dyDescent="0.3">
      <c r="G1598" s="4"/>
      <c r="H1598" s="4"/>
    </row>
    <row r="1599" spans="7:8" x14ac:dyDescent="0.3">
      <c r="G1599" s="4"/>
      <c r="H1599" s="4"/>
    </row>
    <row r="1600" spans="7:8" x14ac:dyDescent="0.3">
      <c r="G1600" s="4"/>
      <c r="H1600" s="4"/>
    </row>
    <row r="1601" spans="7:8" x14ac:dyDescent="0.3">
      <c r="G1601" s="4"/>
      <c r="H1601" s="4"/>
    </row>
    <row r="1602" spans="7:8" x14ac:dyDescent="0.3">
      <c r="G1602" s="4"/>
      <c r="H1602" s="4"/>
    </row>
    <row r="1603" spans="7:8" x14ac:dyDescent="0.3">
      <c r="G1603" s="4"/>
      <c r="H1603" s="4"/>
    </row>
    <row r="1604" spans="7:8" x14ac:dyDescent="0.3">
      <c r="G1604" s="4"/>
      <c r="H1604" s="4"/>
    </row>
    <row r="1605" spans="7:8" x14ac:dyDescent="0.3">
      <c r="G1605" s="4"/>
      <c r="H1605" s="4"/>
    </row>
    <row r="1606" spans="7:8" x14ac:dyDescent="0.3">
      <c r="G1606" s="4"/>
      <c r="H1606" s="4"/>
    </row>
    <row r="1607" spans="7:8" x14ac:dyDescent="0.3">
      <c r="G1607" s="4"/>
      <c r="H1607" s="4"/>
    </row>
    <row r="1608" spans="7:8" x14ac:dyDescent="0.3">
      <c r="G1608" s="4"/>
      <c r="H1608" s="4"/>
    </row>
    <row r="1609" spans="7:8" x14ac:dyDescent="0.3">
      <c r="G1609" s="4"/>
      <c r="H1609" s="4"/>
    </row>
    <row r="1610" spans="7:8" x14ac:dyDescent="0.3">
      <c r="G1610" s="4"/>
      <c r="H1610" s="4"/>
    </row>
    <row r="1611" spans="7:8" x14ac:dyDescent="0.3">
      <c r="G1611" s="4"/>
      <c r="H1611" s="4"/>
    </row>
    <row r="1612" spans="7:8" x14ac:dyDescent="0.3">
      <c r="G1612" s="4"/>
      <c r="H1612" s="4"/>
    </row>
    <row r="1613" spans="7:8" x14ac:dyDescent="0.3">
      <c r="G1613" s="4"/>
      <c r="H1613" s="4"/>
    </row>
    <row r="1614" spans="7:8" x14ac:dyDescent="0.3">
      <c r="G1614" s="4"/>
      <c r="H1614" s="4"/>
    </row>
    <row r="1615" spans="7:8" x14ac:dyDescent="0.3">
      <c r="G1615" s="4"/>
      <c r="H1615" s="4"/>
    </row>
    <row r="1616" spans="7:8" x14ac:dyDescent="0.3">
      <c r="G1616" s="4"/>
      <c r="H1616" s="4"/>
    </row>
    <row r="1617" spans="7:8" x14ac:dyDescent="0.3">
      <c r="G1617" s="4"/>
      <c r="H1617" s="4"/>
    </row>
    <row r="1618" spans="7:8" x14ac:dyDescent="0.3">
      <c r="G1618" s="4"/>
      <c r="H1618" s="4"/>
    </row>
    <row r="1619" spans="7:8" x14ac:dyDescent="0.3">
      <c r="G1619" s="4"/>
      <c r="H1619" s="4"/>
    </row>
    <row r="1620" spans="7:8" x14ac:dyDescent="0.3">
      <c r="G1620" s="4"/>
      <c r="H1620" s="4"/>
    </row>
    <row r="1621" spans="7:8" x14ac:dyDescent="0.3">
      <c r="G1621" s="4"/>
      <c r="H1621" s="4"/>
    </row>
    <row r="1622" spans="7:8" x14ac:dyDescent="0.3">
      <c r="G1622" s="4"/>
      <c r="H1622" s="4"/>
    </row>
    <row r="1623" spans="7:8" x14ac:dyDescent="0.3">
      <c r="G1623" s="4"/>
      <c r="H1623" s="4"/>
    </row>
    <row r="1624" spans="7:8" x14ac:dyDescent="0.3">
      <c r="G1624" s="4"/>
      <c r="H1624" s="4"/>
    </row>
    <row r="1625" spans="7:8" x14ac:dyDescent="0.3">
      <c r="G1625" s="4"/>
      <c r="H1625" s="4"/>
    </row>
    <row r="1626" spans="7:8" x14ac:dyDescent="0.3">
      <c r="G1626" s="4"/>
      <c r="H1626" s="4"/>
    </row>
    <row r="1627" spans="7:8" x14ac:dyDescent="0.3">
      <c r="G1627" s="4"/>
      <c r="H1627" s="4"/>
    </row>
    <row r="1628" spans="7:8" x14ac:dyDescent="0.3">
      <c r="G1628" s="4"/>
      <c r="H1628" s="4"/>
    </row>
    <row r="1629" spans="7:8" x14ac:dyDescent="0.3">
      <c r="G1629" s="4"/>
      <c r="H1629" s="4"/>
    </row>
    <row r="1630" spans="7:8" x14ac:dyDescent="0.3">
      <c r="G1630" s="4"/>
      <c r="H1630" s="4"/>
    </row>
    <row r="1631" spans="7:8" x14ac:dyDescent="0.3">
      <c r="G1631" s="4"/>
      <c r="H1631" s="4"/>
    </row>
    <row r="1632" spans="7:8" x14ac:dyDescent="0.3">
      <c r="G1632" s="4"/>
      <c r="H1632" s="4"/>
    </row>
    <row r="1633" spans="7:8" x14ac:dyDescent="0.3">
      <c r="G1633" s="4"/>
      <c r="H1633" s="4"/>
    </row>
    <row r="1634" spans="7:8" x14ac:dyDescent="0.3">
      <c r="G1634" s="4"/>
      <c r="H1634" s="4"/>
    </row>
    <row r="1635" spans="7:8" x14ac:dyDescent="0.3">
      <c r="G1635" s="4"/>
      <c r="H1635" s="4"/>
    </row>
    <row r="1636" spans="7:8" x14ac:dyDescent="0.3">
      <c r="G1636" s="4"/>
      <c r="H1636" s="4"/>
    </row>
    <row r="1637" spans="7:8" x14ac:dyDescent="0.3">
      <c r="G1637" s="4"/>
      <c r="H1637" s="4"/>
    </row>
    <row r="1638" spans="7:8" x14ac:dyDescent="0.3">
      <c r="G1638" s="4"/>
      <c r="H1638" s="4"/>
    </row>
    <row r="1639" spans="7:8" x14ac:dyDescent="0.3">
      <c r="G1639" s="4"/>
      <c r="H1639" s="4"/>
    </row>
    <row r="1640" spans="7:8" x14ac:dyDescent="0.3">
      <c r="G1640" s="4"/>
      <c r="H1640" s="4"/>
    </row>
    <row r="1641" spans="7:8" x14ac:dyDescent="0.3">
      <c r="G1641" s="4"/>
      <c r="H1641" s="4"/>
    </row>
    <row r="1642" spans="7:8" x14ac:dyDescent="0.3">
      <c r="G1642" s="4"/>
      <c r="H1642" s="4"/>
    </row>
    <row r="1643" spans="7:8" x14ac:dyDescent="0.3">
      <c r="G1643" s="4"/>
      <c r="H1643" s="4"/>
    </row>
    <row r="1644" spans="7:8" x14ac:dyDescent="0.3">
      <c r="G1644" s="4"/>
      <c r="H1644" s="4"/>
    </row>
    <row r="1645" spans="7:8" x14ac:dyDescent="0.3">
      <c r="G1645" s="4"/>
      <c r="H1645" s="4"/>
    </row>
    <row r="1646" spans="7:8" x14ac:dyDescent="0.3">
      <c r="G1646" s="4"/>
      <c r="H1646" s="4"/>
    </row>
    <row r="1647" spans="7:8" x14ac:dyDescent="0.3">
      <c r="G1647" s="4"/>
      <c r="H1647" s="4"/>
    </row>
    <row r="1648" spans="7:8" x14ac:dyDescent="0.3">
      <c r="G1648" s="4"/>
      <c r="H1648" s="4"/>
    </row>
    <row r="1649" spans="7:8" x14ac:dyDescent="0.3">
      <c r="G1649" s="4"/>
      <c r="H1649" s="4"/>
    </row>
    <row r="1650" spans="7:8" x14ac:dyDescent="0.3">
      <c r="G1650" s="4"/>
      <c r="H1650" s="4"/>
    </row>
    <row r="1651" spans="7:8" x14ac:dyDescent="0.3">
      <c r="G1651" s="4"/>
      <c r="H1651" s="4"/>
    </row>
    <row r="1652" spans="7:8" x14ac:dyDescent="0.3">
      <c r="G1652" s="4"/>
      <c r="H1652" s="4"/>
    </row>
    <row r="1653" spans="7:8" x14ac:dyDescent="0.3">
      <c r="G1653" s="4"/>
      <c r="H1653" s="4"/>
    </row>
    <row r="1654" spans="7:8" x14ac:dyDescent="0.3">
      <c r="G1654" s="4"/>
      <c r="H1654" s="4"/>
    </row>
    <row r="1655" spans="7:8" x14ac:dyDescent="0.3">
      <c r="G1655" s="4"/>
      <c r="H1655" s="4"/>
    </row>
    <row r="1656" spans="7:8" x14ac:dyDescent="0.3">
      <c r="G1656" s="4"/>
      <c r="H1656" s="4"/>
    </row>
    <row r="1657" spans="7:8" x14ac:dyDescent="0.3">
      <c r="G1657" s="4"/>
      <c r="H1657" s="4"/>
    </row>
    <row r="1658" spans="7:8" x14ac:dyDescent="0.3">
      <c r="G1658" s="4"/>
      <c r="H1658" s="4"/>
    </row>
    <row r="1659" spans="7:8" x14ac:dyDescent="0.3">
      <c r="G1659" s="4"/>
      <c r="H1659" s="4"/>
    </row>
    <row r="1660" spans="7:8" x14ac:dyDescent="0.3">
      <c r="G1660" s="4"/>
      <c r="H1660" s="4"/>
    </row>
    <row r="1661" spans="7:8" x14ac:dyDescent="0.3">
      <c r="G1661" s="4"/>
      <c r="H1661" s="4"/>
    </row>
    <row r="1662" spans="7:8" x14ac:dyDescent="0.3">
      <c r="G1662" s="4"/>
      <c r="H1662" s="4"/>
    </row>
    <row r="1663" spans="7:8" x14ac:dyDescent="0.3">
      <c r="G1663" s="4"/>
      <c r="H1663" s="4"/>
    </row>
    <row r="1664" spans="7:8" x14ac:dyDescent="0.3">
      <c r="G1664" s="4"/>
      <c r="H1664" s="4"/>
    </row>
    <row r="1665" spans="7:8" x14ac:dyDescent="0.3">
      <c r="G1665" s="4"/>
      <c r="H1665" s="4"/>
    </row>
    <row r="1666" spans="7:8" x14ac:dyDescent="0.3">
      <c r="G1666" s="4"/>
      <c r="H1666" s="4"/>
    </row>
    <row r="1667" spans="7:8" x14ac:dyDescent="0.3">
      <c r="G1667" s="4"/>
      <c r="H1667" s="4"/>
    </row>
    <row r="1668" spans="7:8" x14ac:dyDescent="0.3">
      <c r="G1668" s="4"/>
      <c r="H1668" s="4"/>
    </row>
    <row r="1669" spans="7:8" x14ac:dyDescent="0.3">
      <c r="G1669" s="4"/>
      <c r="H1669" s="4"/>
    </row>
    <row r="1670" spans="7:8" x14ac:dyDescent="0.3">
      <c r="G1670" s="4"/>
      <c r="H1670" s="4"/>
    </row>
    <row r="1671" spans="7:8" x14ac:dyDescent="0.3">
      <c r="G1671" s="4"/>
      <c r="H1671" s="4"/>
    </row>
    <row r="1672" spans="7:8" x14ac:dyDescent="0.3">
      <c r="G1672" s="4"/>
      <c r="H1672" s="4"/>
    </row>
    <row r="1673" spans="7:8" x14ac:dyDescent="0.3">
      <c r="G1673" s="4"/>
      <c r="H1673" s="4"/>
    </row>
    <row r="1674" spans="7:8" x14ac:dyDescent="0.3">
      <c r="G1674" s="4"/>
      <c r="H1674" s="4"/>
    </row>
    <row r="1675" spans="7:8" x14ac:dyDescent="0.3">
      <c r="G1675" s="4"/>
      <c r="H1675" s="4"/>
    </row>
    <row r="1676" spans="7:8" x14ac:dyDescent="0.3">
      <c r="G1676" s="4"/>
      <c r="H1676" s="4"/>
    </row>
    <row r="1677" spans="7:8" x14ac:dyDescent="0.3">
      <c r="G1677" s="4"/>
      <c r="H1677" s="4"/>
    </row>
    <row r="1678" spans="7:8" x14ac:dyDescent="0.3">
      <c r="G1678" s="4"/>
      <c r="H1678" s="4"/>
    </row>
    <row r="1679" spans="7:8" x14ac:dyDescent="0.3">
      <c r="G1679" s="4"/>
      <c r="H1679" s="4"/>
    </row>
    <row r="1680" spans="7:8" x14ac:dyDescent="0.3">
      <c r="G1680" s="4"/>
      <c r="H1680" s="4"/>
    </row>
    <row r="1681" spans="7:8" x14ac:dyDescent="0.3">
      <c r="G1681" s="4"/>
      <c r="H1681" s="4"/>
    </row>
    <row r="1682" spans="7:8" x14ac:dyDescent="0.3">
      <c r="G1682" s="4"/>
      <c r="H1682" s="4"/>
    </row>
    <row r="1683" spans="7:8" x14ac:dyDescent="0.3">
      <c r="G1683" s="4"/>
      <c r="H1683" s="4"/>
    </row>
    <row r="1684" spans="7:8" x14ac:dyDescent="0.3">
      <c r="G1684" s="4"/>
      <c r="H1684" s="4"/>
    </row>
    <row r="1685" spans="7:8" x14ac:dyDescent="0.3">
      <c r="G1685" s="4"/>
      <c r="H1685" s="4"/>
    </row>
    <row r="1686" spans="7:8" x14ac:dyDescent="0.3">
      <c r="G1686" s="4"/>
      <c r="H1686" s="4"/>
    </row>
    <row r="1687" spans="7:8" x14ac:dyDescent="0.3">
      <c r="G1687" s="4"/>
      <c r="H1687" s="4"/>
    </row>
    <row r="1688" spans="7:8" x14ac:dyDescent="0.3">
      <c r="G1688" s="4"/>
      <c r="H1688" s="4"/>
    </row>
    <row r="1689" spans="7:8" x14ac:dyDescent="0.3">
      <c r="G1689" s="4"/>
      <c r="H1689" s="4"/>
    </row>
    <row r="1690" spans="7:8" x14ac:dyDescent="0.3">
      <c r="G1690" s="4"/>
      <c r="H1690" s="4"/>
    </row>
    <row r="1691" spans="7:8" x14ac:dyDescent="0.3">
      <c r="G1691" s="4"/>
      <c r="H1691" s="4"/>
    </row>
    <row r="1692" spans="7:8" x14ac:dyDescent="0.3">
      <c r="G1692" s="4"/>
      <c r="H1692" s="4"/>
    </row>
    <row r="1693" spans="7:8" x14ac:dyDescent="0.3">
      <c r="G1693" s="4"/>
      <c r="H1693" s="4"/>
    </row>
    <row r="1694" spans="7:8" x14ac:dyDescent="0.3">
      <c r="G1694" s="4"/>
      <c r="H1694" s="4"/>
    </row>
    <row r="1695" spans="7:8" x14ac:dyDescent="0.3">
      <c r="G1695" s="4"/>
      <c r="H1695" s="4"/>
    </row>
    <row r="1696" spans="7:8" x14ac:dyDescent="0.3">
      <c r="G1696" s="4"/>
      <c r="H1696" s="4"/>
    </row>
    <row r="1697" spans="7:8" x14ac:dyDescent="0.3">
      <c r="G1697" s="4"/>
      <c r="H1697" s="4"/>
    </row>
    <row r="1698" spans="7:8" x14ac:dyDescent="0.3">
      <c r="G1698" s="4"/>
      <c r="H1698" s="4"/>
    </row>
    <row r="1699" spans="7:8" x14ac:dyDescent="0.3">
      <c r="G1699" s="4"/>
      <c r="H1699" s="4"/>
    </row>
    <row r="1700" spans="7:8" x14ac:dyDescent="0.3">
      <c r="G1700" s="4"/>
      <c r="H1700" s="4"/>
    </row>
    <row r="1701" spans="7:8" x14ac:dyDescent="0.3">
      <c r="G1701" s="4"/>
      <c r="H1701" s="4"/>
    </row>
    <row r="1702" spans="7:8" x14ac:dyDescent="0.3">
      <c r="G1702" s="4"/>
      <c r="H1702" s="4"/>
    </row>
    <row r="1703" spans="7:8" x14ac:dyDescent="0.3">
      <c r="G1703" s="4"/>
      <c r="H1703" s="4"/>
    </row>
    <row r="1704" spans="7:8" x14ac:dyDescent="0.3">
      <c r="G1704" s="4"/>
      <c r="H1704" s="4"/>
    </row>
    <row r="1705" spans="7:8" x14ac:dyDescent="0.3">
      <c r="G1705" s="4"/>
      <c r="H1705" s="4"/>
    </row>
    <row r="1706" spans="7:8" x14ac:dyDescent="0.3">
      <c r="G1706" s="4"/>
      <c r="H1706" s="4"/>
    </row>
    <row r="1707" spans="7:8" x14ac:dyDescent="0.3">
      <c r="G1707" s="4"/>
      <c r="H1707" s="4"/>
    </row>
    <row r="1708" spans="7:8" x14ac:dyDescent="0.3">
      <c r="G1708" s="4"/>
      <c r="H1708" s="4"/>
    </row>
    <row r="1709" spans="7:8" x14ac:dyDescent="0.3">
      <c r="G1709" s="4"/>
      <c r="H1709" s="4"/>
    </row>
    <row r="1710" spans="7:8" x14ac:dyDescent="0.3">
      <c r="G1710" s="4"/>
      <c r="H1710" s="4"/>
    </row>
    <row r="1711" spans="7:8" x14ac:dyDescent="0.3">
      <c r="G1711" s="4"/>
      <c r="H1711" s="4"/>
    </row>
    <row r="1712" spans="7:8" x14ac:dyDescent="0.3">
      <c r="G1712" s="4"/>
      <c r="H1712" s="4"/>
    </row>
    <row r="1713" spans="7:8" x14ac:dyDescent="0.3">
      <c r="G1713" s="4"/>
      <c r="H1713" s="4"/>
    </row>
    <row r="1714" spans="7:8" x14ac:dyDescent="0.3">
      <c r="G1714" s="4"/>
      <c r="H1714" s="4"/>
    </row>
    <row r="1715" spans="7:8" x14ac:dyDescent="0.3">
      <c r="G1715" s="4"/>
      <c r="H1715" s="4"/>
    </row>
    <row r="1716" spans="7:8" x14ac:dyDescent="0.3">
      <c r="G1716" s="4"/>
      <c r="H1716" s="4"/>
    </row>
    <row r="1717" spans="7:8" x14ac:dyDescent="0.3">
      <c r="G1717" s="4"/>
      <c r="H1717" s="4"/>
    </row>
    <row r="1718" spans="7:8" x14ac:dyDescent="0.3">
      <c r="G1718" s="4"/>
      <c r="H1718" s="4"/>
    </row>
    <row r="1719" spans="7:8" x14ac:dyDescent="0.3">
      <c r="G1719" s="4"/>
      <c r="H1719" s="4"/>
    </row>
    <row r="1720" spans="7:8" x14ac:dyDescent="0.3">
      <c r="G1720" s="4"/>
      <c r="H1720" s="4"/>
    </row>
    <row r="1721" spans="7:8" x14ac:dyDescent="0.3">
      <c r="G1721" s="4"/>
      <c r="H1721" s="4"/>
    </row>
    <row r="1722" spans="7:8" x14ac:dyDescent="0.3">
      <c r="G1722" s="4"/>
      <c r="H1722" s="4"/>
    </row>
    <row r="1723" spans="7:8" x14ac:dyDescent="0.3">
      <c r="G1723" s="4"/>
      <c r="H1723" s="4"/>
    </row>
    <row r="1724" spans="7:8" x14ac:dyDescent="0.3">
      <c r="G1724" s="4"/>
      <c r="H1724" s="4"/>
    </row>
    <row r="1725" spans="7:8" x14ac:dyDescent="0.3">
      <c r="G1725" s="4"/>
      <c r="H1725" s="4"/>
    </row>
    <row r="1726" spans="7:8" x14ac:dyDescent="0.3">
      <c r="G1726" s="4"/>
      <c r="H1726" s="4"/>
    </row>
    <row r="1727" spans="7:8" x14ac:dyDescent="0.3">
      <c r="G1727" s="4"/>
      <c r="H1727" s="4"/>
    </row>
    <row r="1728" spans="7:8" x14ac:dyDescent="0.3">
      <c r="G1728" s="4"/>
      <c r="H1728" s="4"/>
    </row>
    <row r="1729" spans="7:8" x14ac:dyDescent="0.3">
      <c r="G1729" s="4"/>
      <c r="H1729" s="4"/>
    </row>
    <row r="1730" spans="7:8" x14ac:dyDescent="0.3">
      <c r="G1730" s="4"/>
      <c r="H1730" s="4"/>
    </row>
    <row r="1731" spans="7:8" x14ac:dyDescent="0.3">
      <c r="G1731" s="4"/>
      <c r="H1731" s="4"/>
    </row>
    <row r="1732" spans="7:8" x14ac:dyDescent="0.3">
      <c r="G1732" s="4"/>
      <c r="H1732" s="4"/>
    </row>
    <row r="1733" spans="7:8" x14ac:dyDescent="0.3">
      <c r="G1733" s="4"/>
      <c r="H1733" s="4"/>
    </row>
    <row r="1734" spans="7:8" x14ac:dyDescent="0.3">
      <c r="G1734" s="4"/>
      <c r="H1734" s="4"/>
    </row>
    <row r="1735" spans="7:8" x14ac:dyDescent="0.3">
      <c r="G1735" s="4"/>
      <c r="H1735" s="4"/>
    </row>
    <row r="1736" spans="7:8" x14ac:dyDescent="0.3">
      <c r="G1736" s="4"/>
      <c r="H1736" s="4"/>
    </row>
    <row r="1737" spans="7:8" x14ac:dyDescent="0.3">
      <c r="G1737" s="4"/>
      <c r="H1737" s="4"/>
    </row>
    <row r="1738" spans="7:8" x14ac:dyDescent="0.3">
      <c r="G1738" s="4"/>
      <c r="H1738" s="4"/>
    </row>
    <row r="1739" spans="7:8" x14ac:dyDescent="0.3">
      <c r="G1739" s="4"/>
      <c r="H1739" s="4"/>
    </row>
    <row r="1740" spans="7:8" x14ac:dyDescent="0.3">
      <c r="G1740" s="4"/>
      <c r="H1740" s="4"/>
    </row>
    <row r="1741" spans="7:8" x14ac:dyDescent="0.3">
      <c r="G1741" s="4"/>
      <c r="H1741" s="4"/>
    </row>
    <row r="1742" spans="7:8" x14ac:dyDescent="0.3">
      <c r="G1742" s="4"/>
      <c r="H1742" s="4"/>
    </row>
    <row r="1743" spans="7:8" x14ac:dyDescent="0.3">
      <c r="G1743" s="4"/>
      <c r="H1743" s="4"/>
    </row>
    <row r="1744" spans="7:8" x14ac:dyDescent="0.3">
      <c r="G1744" s="4"/>
      <c r="H1744" s="4"/>
    </row>
    <row r="1745" spans="7:8" x14ac:dyDescent="0.3">
      <c r="G1745" s="4"/>
      <c r="H1745" s="4"/>
    </row>
    <row r="1746" spans="7:8" x14ac:dyDescent="0.3">
      <c r="G1746" s="4"/>
      <c r="H1746" s="4"/>
    </row>
    <row r="1747" spans="7:8" x14ac:dyDescent="0.3">
      <c r="G1747" s="4"/>
      <c r="H1747" s="4"/>
    </row>
    <row r="1748" spans="7:8" x14ac:dyDescent="0.3">
      <c r="G1748" s="4"/>
      <c r="H1748" s="4"/>
    </row>
    <row r="1749" spans="7:8" x14ac:dyDescent="0.3">
      <c r="G1749" s="4"/>
      <c r="H1749" s="4"/>
    </row>
    <row r="1750" spans="7:8" x14ac:dyDescent="0.3">
      <c r="G1750" s="4"/>
      <c r="H1750" s="4"/>
    </row>
    <row r="1751" spans="7:8" x14ac:dyDescent="0.3">
      <c r="G1751" s="4"/>
      <c r="H1751" s="4"/>
    </row>
    <row r="1752" spans="7:8" x14ac:dyDescent="0.3">
      <c r="G1752" s="4"/>
      <c r="H1752" s="4"/>
    </row>
    <row r="1753" spans="7:8" x14ac:dyDescent="0.3">
      <c r="G1753" s="4"/>
      <c r="H1753" s="4"/>
    </row>
    <row r="1754" spans="7:8" x14ac:dyDescent="0.3">
      <c r="G1754" s="4"/>
      <c r="H1754" s="4"/>
    </row>
    <row r="1755" spans="7:8" x14ac:dyDescent="0.3">
      <c r="G1755" s="4"/>
      <c r="H1755" s="4"/>
    </row>
    <row r="1756" spans="7:8" x14ac:dyDescent="0.3">
      <c r="G1756" s="4"/>
      <c r="H1756" s="4"/>
    </row>
    <row r="1757" spans="7:8" x14ac:dyDescent="0.3">
      <c r="G1757" s="4"/>
      <c r="H1757" s="4"/>
    </row>
    <row r="1758" spans="7:8" x14ac:dyDescent="0.3">
      <c r="G1758" s="4"/>
      <c r="H1758" s="4"/>
    </row>
    <row r="1759" spans="7:8" x14ac:dyDescent="0.3">
      <c r="G1759" s="4"/>
      <c r="H1759" s="4"/>
    </row>
    <row r="1760" spans="7:8" x14ac:dyDescent="0.3">
      <c r="G1760" s="4"/>
      <c r="H1760" s="4"/>
    </row>
    <row r="1761" spans="7:8" x14ac:dyDescent="0.3">
      <c r="G1761" s="4"/>
      <c r="H1761" s="4"/>
    </row>
    <row r="1762" spans="7:8" x14ac:dyDescent="0.3">
      <c r="G1762" s="4"/>
      <c r="H1762" s="4"/>
    </row>
    <row r="1763" spans="7:8" x14ac:dyDescent="0.3">
      <c r="G1763" s="4"/>
      <c r="H1763" s="4"/>
    </row>
    <row r="1764" spans="7:8" x14ac:dyDescent="0.3">
      <c r="G1764" s="4"/>
      <c r="H1764" s="4"/>
    </row>
    <row r="1765" spans="7:8" x14ac:dyDescent="0.3">
      <c r="G1765" s="4"/>
      <c r="H1765" s="4"/>
    </row>
    <row r="1766" spans="7:8" x14ac:dyDescent="0.3">
      <c r="G1766" s="4"/>
      <c r="H1766" s="4"/>
    </row>
    <row r="1767" spans="7:8" x14ac:dyDescent="0.3">
      <c r="G1767" s="4"/>
      <c r="H1767" s="4"/>
    </row>
    <row r="1768" spans="7:8" x14ac:dyDescent="0.3">
      <c r="G1768" s="4"/>
      <c r="H1768" s="4"/>
    </row>
    <row r="1769" spans="7:8" x14ac:dyDescent="0.3">
      <c r="G1769" s="4"/>
      <c r="H1769" s="4"/>
    </row>
    <row r="1770" spans="7:8" x14ac:dyDescent="0.3">
      <c r="G1770" s="4"/>
      <c r="H1770" s="4"/>
    </row>
    <row r="1771" spans="7:8" x14ac:dyDescent="0.3">
      <c r="G1771" s="4"/>
      <c r="H1771" s="4"/>
    </row>
    <row r="1772" spans="7:8" x14ac:dyDescent="0.3">
      <c r="G1772" s="4"/>
      <c r="H1772" s="4"/>
    </row>
    <row r="1773" spans="7:8" x14ac:dyDescent="0.3">
      <c r="G1773" s="4"/>
      <c r="H1773" s="4"/>
    </row>
    <row r="1774" spans="7:8" x14ac:dyDescent="0.3">
      <c r="G1774" s="4"/>
      <c r="H1774" s="4"/>
    </row>
    <row r="1775" spans="7:8" x14ac:dyDescent="0.3">
      <c r="G1775" s="4"/>
      <c r="H1775" s="4"/>
    </row>
    <row r="1776" spans="7:8" x14ac:dyDescent="0.3">
      <c r="G1776" s="4"/>
      <c r="H1776" s="4"/>
    </row>
    <row r="1777" spans="7:8" x14ac:dyDescent="0.3">
      <c r="G1777" s="4"/>
      <c r="H1777" s="4"/>
    </row>
    <row r="1778" spans="7:8" x14ac:dyDescent="0.3">
      <c r="G1778" s="4"/>
      <c r="H1778" s="4"/>
    </row>
    <row r="1779" spans="7:8" x14ac:dyDescent="0.3">
      <c r="G1779" s="4"/>
      <c r="H1779" s="4"/>
    </row>
    <row r="1780" spans="7:8" x14ac:dyDescent="0.3">
      <c r="G1780" s="4"/>
      <c r="H1780" s="4"/>
    </row>
    <row r="1781" spans="7:8" x14ac:dyDescent="0.3">
      <c r="G1781" s="4"/>
      <c r="H1781" s="4"/>
    </row>
    <row r="1782" spans="7:8" x14ac:dyDescent="0.3">
      <c r="G1782" s="4"/>
      <c r="H1782" s="4"/>
    </row>
    <row r="1783" spans="7:8" x14ac:dyDescent="0.3">
      <c r="G1783" s="4"/>
      <c r="H1783" s="4"/>
    </row>
    <row r="1784" spans="7:8" x14ac:dyDescent="0.3">
      <c r="G1784" s="4"/>
      <c r="H1784" s="4"/>
    </row>
    <row r="1785" spans="7:8" x14ac:dyDescent="0.3">
      <c r="G1785" s="4"/>
      <c r="H1785" s="4"/>
    </row>
    <row r="1786" spans="7:8" x14ac:dyDescent="0.3">
      <c r="G1786" s="4"/>
      <c r="H1786" s="4"/>
    </row>
    <row r="1787" spans="7:8" x14ac:dyDescent="0.3">
      <c r="G1787" s="4"/>
      <c r="H1787" s="4"/>
    </row>
    <row r="1788" spans="7:8" x14ac:dyDescent="0.3">
      <c r="G1788" s="4"/>
      <c r="H1788" s="4"/>
    </row>
    <row r="1789" spans="7:8" x14ac:dyDescent="0.3">
      <c r="G1789" s="4"/>
      <c r="H1789" s="4"/>
    </row>
    <row r="1790" spans="7:8" x14ac:dyDescent="0.3">
      <c r="G1790" s="4"/>
      <c r="H1790" s="4"/>
    </row>
    <row r="1791" spans="7:8" x14ac:dyDescent="0.3">
      <c r="G1791" s="4"/>
      <c r="H1791" s="4"/>
    </row>
    <row r="1792" spans="7:8" x14ac:dyDescent="0.3">
      <c r="G1792" s="4"/>
      <c r="H1792" s="4"/>
    </row>
    <row r="1793" spans="7:8" x14ac:dyDescent="0.3">
      <c r="G1793" s="4"/>
      <c r="H1793" s="4"/>
    </row>
    <row r="1794" spans="7:8" x14ac:dyDescent="0.3">
      <c r="G1794" s="4"/>
      <c r="H1794" s="4"/>
    </row>
    <row r="1795" spans="7:8" x14ac:dyDescent="0.3">
      <c r="G1795" s="4"/>
      <c r="H1795" s="4"/>
    </row>
    <row r="1796" spans="7:8" x14ac:dyDescent="0.3">
      <c r="G1796" s="4"/>
      <c r="H1796" s="4"/>
    </row>
    <row r="1797" spans="7:8" x14ac:dyDescent="0.3">
      <c r="G1797" s="4"/>
      <c r="H1797" s="4"/>
    </row>
    <row r="1798" spans="7:8" x14ac:dyDescent="0.3">
      <c r="G1798" s="4"/>
      <c r="H1798" s="4"/>
    </row>
    <row r="1799" spans="7:8" x14ac:dyDescent="0.3">
      <c r="G1799" s="4"/>
      <c r="H1799" s="4"/>
    </row>
    <row r="1800" spans="7:8" x14ac:dyDescent="0.3">
      <c r="G1800" s="4"/>
      <c r="H1800" s="4"/>
    </row>
    <row r="1801" spans="7:8" x14ac:dyDescent="0.3">
      <c r="G1801" s="4"/>
      <c r="H1801" s="4"/>
    </row>
    <row r="1802" spans="7:8" x14ac:dyDescent="0.3">
      <c r="G1802" s="4"/>
      <c r="H1802" s="4"/>
    </row>
    <row r="1803" spans="7:8" x14ac:dyDescent="0.3">
      <c r="G1803" s="4"/>
      <c r="H1803" s="4"/>
    </row>
    <row r="1804" spans="7:8" x14ac:dyDescent="0.3">
      <c r="G1804" s="4"/>
      <c r="H1804" s="4"/>
    </row>
    <row r="1805" spans="7:8" x14ac:dyDescent="0.3">
      <c r="G1805" s="4"/>
      <c r="H1805" s="4"/>
    </row>
    <row r="1806" spans="7:8" x14ac:dyDescent="0.3">
      <c r="G1806" s="4"/>
      <c r="H1806" s="4"/>
    </row>
    <row r="1807" spans="7:8" x14ac:dyDescent="0.3">
      <c r="G1807" s="4"/>
      <c r="H1807" s="4"/>
    </row>
    <row r="1808" spans="7:8" x14ac:dyDescent="0.3">
      <c r="G1808" s="4"/>
      <c r="H1808" s="4"/>
    </row>
    <row r="1809" spans="7:8" x14ac:dyDescent="0.3">
      <c r="G1809" s="4"/>
      <c r="H1809" s="4"/>
    </row>
    <row r="1810" spans="7:8" x14ac:dyDescent="0.3">
      <c r="G1810" s="4"/>
      <c r="H1810" s="4"/>
    </row>
    <row r="1811" spans="7:8" x14ac:dyDescent="0.3">
      <c r="G1811" s="4"/>
      <c r="H1811" s="4"/>
    </row>
    <row r="1812" spans="7:8" x14ac:dyDescent="0.3">
      <c r="G1812" s="4"/>
      <c r="H1812" s="4"/>
    </row>
    <row r="1813" spans="7:8" x14ac:dyDescent="0.3">
      <c r="G1813" s="4"/>
      <c r="H1813" s="4"/>
    </row>
    <row r="1814" spans="7:8" x14ac:dyDescent="0.3">
      <c r="G1814" s="4"/>
      <c r="H1814" s="4"/>
    </row>
    <row r="1815" spans="7:8" x14ac:dyDescent="0.3">
      <c r="G1815" s="4"/>
      <c r="H1815" s="4"/>
    </row>
    <row r="1816" spans="7:8" x14ac:dyDescent="0.3">
      <c r="G1816" s="4"/>
      <c r="H1816" s="4"/>
    </row>
    <row r="1817" spans="7:8" x14ac:dyDescent="0.3">
      <c r="G1817" s="4"/>
      <c r="H1817" s="4"/>
    </row>
    <row r="1818" spans="7:8" x14ac:dyDescent="0.3">
      <c r="G1818" s="4"/>
      <c r="H1818" s="4"/>
    </row>
    <row r="1819" spans="7:8" x14ac:dyDescent="0.3">
      <c r="G1819" s="4"/>
      <c r="H1819" s="4"/>
    </row>
    <row r="1820" spans="7:8" x14ac:dyDescent="0.3">
      <c r="G1820" s="4"/>
      <c r="H1820" s="4"/>
    </row>
    <row r="1821" spans="7:8" x14ac:dyDescent="0.3">
      <c r="G1821" s="4"/>
      <c r="H1821" s="4"/>
    </row>
    <row r="1822" spans="7:8" x14ac:dyDescent="0.3">
      <c r="G1822" s="4"/>
      <c r="H1822" s="4"/>
    </row>
    <row r="1823" spans="7:8" x14ac:dyDescent="0.3">
      <c r="G1823" s="4"/>
      <c r="H1823" s="4"/>
    </row>
    <row r="1824" spans="7:8" x14ac:dyDescent="0.3">
      <c r="G1824" s="4"/>
      <c r="H1824" s="4"/>
    </row>
    <row r="1825" spans="7:8" x14ac:dyDescent="0.3">
      <c r="G1825" s="4"/>
      <c r="H1825" s="4"/>
    </row>
    <row r="1826" spans="7:8" x14ac:dyDescent="0.3">
      <c r="G1826" s="4"/>
      <c r="H1826" s="4"/>
    </row>
    <row r="1827" spans="7:8" x14ac:dyDescent="0.3">
      <c r="G1827" s="4"/>
      <c r="H1827" s="4"/>
    </row>
    <row r="1828" spans="7:8" x14ac:dyDescent="0.3">
      <c r="G1828" s="4"/>
      <c r="H1828" s="4"/>
    </row>
    <row r="1829" spans="7:8" x14ac:dyDescent="0.3">
      <c r="G1829" s="4"/>
      <c r="H1829" s="4"/>
    </row>
    <row r="1830" spans="7:8" x14ac:dyDescent="0.3">
      <c r="G1830" s="4"/>
      <c r="H1830" s="4"/>
    </row>
    <row r="1831" spans="7:8" x14ac:dyDescent="0.3">
      <c r="G1831" s="4"/>
      <c r="H1831" s="4"/>
    </row>
    <row r="1832" spans="7:8" x14ac:dyDescent="0.3">
      <c r="G1832" s="4"/>
      <c r="H1832" s="4"/>
    </row>
    <row r="1833" spans="7:8" x14ac:dyDescent="0.3">
      <c r="G1833" s="4"/>
      <c r="H1833" s="4"/>
    </row>
    <row r="1834" spans="7:8" x14ac:dyDescent="0.3">
      <c r="G1834" s="4"/>
      <c r="H1834" s="4"/>
    </row>
    <row r="1835" spans="7:8" x14ac:dyDescent="0.3">
      <c r="G1835" s="4"/>
      <c r="H1835" s="4"/>
    </row>
    <row r="1836" spans="7:8" x14ac:dyDescent="0.3">
      <c r="G1836" s="4"/>
      <c r="H1836" s="4"/>
    </row>
    <row r="1837" spans="7:8" x14ac:dyDescent="0.3">
      <c r="G1837" s="4"/>
      <c r="H1837" s="4"/>
    </row>
    <row r="1838" spans="7:8" x14ac:dyDescent="0.3">
      <c r="G1838" s="4"/>
      <c r="H1838" s="4"/>
    </row>
    <row r="1839" spans="7:8" x14ac:dyDescent="0.3">
      <c r="G1839" s="4"/>
      <c r="H1839" s="4"/>
    </row>
    <row r="1840" spans="7:8" x14ac:dyDescent="0.3">
      <c r="G1840" s="4"/>
      <c r="H1840" s="4"/>
    </row>
    <row r="1841" spans="7:8" x14ac:dyDescent="0.3">
      <c r="G1841" s="4"/>
      <c r="H1841" s="4"/>
    </row>
    <row r="1842" spans="7:8" x14ac:dyDescent="0.3">
      <c r="G1842" s="4"/>
      <c r="H1842" s="4"/>
    </row>
    <row r="1843" spans="7:8" x14ac:dyDescent="0.3">
      <c r="G1843" s="4"/>
      <c r="H1843" s="4"/>
    </row>
    <row r="1844" spans="7:8" x14ac:dyDescent="0.3">
      <c r="G1844" s="4"/>
      <c r="H1844" s="4"/>
    </row>
    <row r="1845" spans="7:8" x14ac:dyDescent="0.3">
      <c r="G1845" s="4"/>
      <c r="H1845" s="4"/>
    </row>
    <row r="1846" spans="7:8" x14ac:dyDescent="0.3">
      <c r="G1846" s="4"/>
      <c r="H1846" s="4"/>
    </row>
    <row r="1847" spans="7:8" x14ac:dyDescent="0.3">
      <c r="G1847" s="4"/>
      <c r="H1847" s="4"/>
    </row>
    <row r="1848" spans="7:8" x14ac:dyDescent="0.3">
      <c r="G1848" s="4"/>
      <c r="H1848" s="4"/>
    </row>
    <row r="1849" spans="7:8" x14ac:dyDescent="0.3">
      <c r="G1849" s="4"/>
      <c r="H1849" s="4"/>
    </row>
    <row r="1850" spans="7:8" x14ac:dyDescent="0.3">
      <c r="G1850" s="4"/>
      <c r="H1850" s="4"/>
    </row>
    <row r="1851" spans="7:8" x14ac:dyDescent="0.3">
      <c r="G1851" s="4"/>
      <c r="H1851" s="4"/>
    </row>
    <row r="1852" spans="7:8" x14ac:dyDescent="0.3">
      <c r="G1852" s="4"/>
      <c r="H1852" s="4"/>
    </row>
    <row r="1853" spans="7:8" x14ac:dyDescent="0.3">
      <c r="G1853" s="4"/>
      <c r="H1853" s="4"/>
    </row>
    <row r="1854" spans="7:8" x14ac:dyDescent="0.3">
      <c r="G1854" s="4"/>
      <c r="H1854" s="4"/>
    </row>
    <row r="1855" spans="7:8" x14ac:dyDescent="0.3">
      <c r="G1855" s="4"/>
      <c r="H1855" s="4"/>
    </row>
    <row r="1856" spans="7:8" x14ac:dyDescent="0.3">
      <c r="G1856" s="4"/>
      <c r="H1856" s="4"/>
    </row>
    <row r="1857" spans="7:8" x14ac:dyDescent="0.3">
      <c r="G1857" s="4"/>
      <c r="H1857" s="4"/>
    </row>
    <row r="1858" spans="7:8" x14ac:dyDescent="0.3">
      <c r="G1858" s="4"/>
      <c r="H1858" s="4"/>
    </row>
    <row r="1859" spans="7:8" x14ac:dyDescent="0.3">
      <c r="G1859" s="4"/>
      <c r="H1859" s="4"/>
    </row>
    <row r="1860" spans="7:8" x14ac:dyDescent="0.3">
      <c r="G1860" s="4"/>
      <c r="H1860" s="4"/>
    </row>
    <row r="1861" spans="7:8" x14ac:dyDescent="0.3">
      <c r="G1861" s="4"/>
      <c r="H1861" s="4"/>
    </row>
    <row r="1862" spans="7:8" x14ac:dyDescent="0.3">
      <c r="G1862" s="4"/>
      <c r="H1862" s="4"/>
    </row>
    <row r="1863" spans="7:8" x14ac:dyDescent="0.3">
      <c r="G1863" s="4"/>
      <c r="H1863" s="4"/>
    </row>
    <row r="1864" spans="7:8" x14ac:dyDescent="0.3">
      <c r="G1864" s="4"/>
      <c r="H1864" s="4"/>
    </row>
    <row r="1865" spans="7:8" x14ac:dyDescent="0.3">
      <c r="G1865" s="4"/>
      <c r="H1865" s="4"/>
    </row>
    <row r="1866" spans="7:8" x14ac:dyDescent="0.3">
      <c r="G1866" s="4"/>
      <c r="H1866" s="4"/>
    </row>
    <row r="1867" spans="7:8" x14ac:dyDescent="0.3">
      <c r="G1867" s="4"/>
      <c r="H1867" s="4"/>
    </row>
    <row r="1868" spans="7:8" x14ac:dyDescent="0.3">
      <c r="G1868" s="4"/>
      <c r="H1868" s="4"/>
    </row>
    <row r="1869" spans="7:8" x14ac:dyDescent="0.3">
      <c r="G1869" s="4"/>
      <c r="H1869" s="4"/>
    </row>
    <row r="1870" spans="7:8" x14ac:dyDescent="0.3">
      <c r="G1870" s="4"/>
      <c r="H1870" s="4"/>
    </row>
    <row r="1871" spans="7:8" x14ac:dyDescent="0.3">
      <c r="G1871" s="4"/>
      <c r="H1871" s="4"/>
    </row>
    <row r="1872" spans="7:8" x14ac:dyDescent="0.3">
      <c r="G1872" s="4"/>
      <c r="H1872" s="4"/>
    </row>
    <row r="1873" spans="7:8" x14ac:dyDescent="0.3">
      <c r="G1873" s="4"/>
      <c r="H1873" s="4"/>
    </row>
    <row r="1874" spans="7:8" x14ac:dyDescent="0.3">
      <c r="G1874" s="4"/>
      <c r="H1874" s="4"/>
    </row>
    <row r="1875" spans="7:8" x14ac:dyDescent="0.3">
      <c r="G1875" s="4"/>
      <c r="H1875" s="4"/>
    </row>
    <row r="1876" spans="7:8" x14ac:dyDescent="0.3">
      <c r="G1876" s="4"/>
      <c r="H1876" s="4"/>
    </row>
    <row r="1877" spans="7:8" x14ac:dyDescent="0.3">
      <c r="G1877" s="4"/>
      <c r="H1877" s="4"/>
    </row>
    <row r="1878" spans="7:8" x14ac:dyDescent="0.3">
      <c r="G1878" s="4"/>
      <c r="H1878" s="4"/>
    </row>
    <row r="1879" spans="7:8" x14ac:dyDescent="0.3">
      <c r="G1879" s="4"/>
      <c r="H1879" s="4"/>
    </row>
    <row r="1880" spans="7:8" x14ac:dyDescent="0.3">
      <c r="G1880" s="4"/>
      <c r="H1880" s="4"/>
    </row>
    <row r="1881" spans="7:8" x14ac:dyDescent="0.3">
      <c r="G1881" s="4"/>
      <c r="H1881" s="4"/>
    </row>
    <row r="1882" spans="7:8" x14ac:dyDescent="0.3">
      <c r="G1882" s="4"/>
      <c r="H1882" s="4"/>
    </row>
    <row r="1883" spans="7:8" x14ac:dyDescent="0.3">
      <c r="G1883" s="4"/>
      <c r="H1883" s="4"/>
    </row>
    <row r="1884" spans="7:8" x14ac:dyDescent="0.3">
      <c r="G1884" s="4"/>
      <c r="H1884" s="4"/>
    </row>
    <row r="1885" spans="7:8" x14ac:dyDescent="0.3">
      <c r="G1885" s="4"/>
      <c r="H1885" s="4"/>
    </row>
    <row r="1886" spans="7:8" x14ac:dyDescent="0.3">
      <c r="G1886" s="4"/>
      <c r="H1886" s="4"/>
    </row>
    <row r="1887" spans="7:8" x14ac:dyDescent="0.3">
      <c r="G1887" s="4"/>
      <c r="H1887" s="4"/>
    </row>
    <row r="1888" spans="7:8" x14ac:dyDescent="0.3">
      <c r="G1888" s="4"/>
      <c r="H1888" s="4"/>
    </row>
    <row r="1889" spans="7:8" x14ac:dyDescent="0.3">
      <c r="G1889" s="4"/>
      <c r="H1889" s="4"/>
    </row>
    <row r="1890" spans="7:8" x14ac:dyDescent="0.3">
      <c r="G1890" s="4"/>
      <c r="H1890" s="4"/>
    </row>
    <row r="1891" spans="7:8" x14ac:dyDescent="0.3">
      <c r="G1891" s="4"/>
      <c r="H1891" s="4"/>
    </row>
    <row r="1892" spans="7:8" x14ac:dyDescent="0.3">
      <c r="G1892" s="4"/>
      <c r="H1892" s="4"/>
    </row>
    <row r="1893" spans="7:8" x14ac:dyDescent="0.3">
      <c r="G1893" s="4"/>
      <c r="H1893" s="4"/>
    </row>
    <row r="1894" spans="7:8" x14ac:dyDescent="0.3">
      <c r="G1894" s="4"/>
      <c r="H1894" s="4"/>
    </row>
    <row r="1895" spans="7:8" x14ac:dyDescent="0.3">
      <c r="G1895" s="4"/>
      <c r="H1895" s="4"/>
    </row>
    <row r="1896" spans="7:8" x14ac:dyDescent="0.3">
      <c r="G1896" s="4"/>
      <c r="H1896" s="4"/>
    </row>
    <row r="1897" spans="7:8" x14ac:dyDescent="0.3">
      <c r="G1897" s="4"/>
      <c r="H1897" s="4"/>
    </row>
    <row r="1898" spans="7:8" x14ac:dyDescent="0.3">
      <c r="G1898" s="4"/>
      <c r="H1898" s="4"/>
    </row>
    <row r="1899" spans="7:8" x14ac:dyDescent="0.3">
      <c r="G1899" s="4"/>
      <c r="H1899" s="4"/>
    </row>
    <row r="1900" spans="7:8" x14ac:dyDescent="0.3">
      <c r="G1900" s="4"/>
      <c r="H1900" s="4"/>
    </row>
    <row r="1901" spans="7:8" x14ac:dyDescent="0.3">
      <c r="G1901" s="4"/>
      <c r="H1901" s="4"/>
    </row>
    <row r="1902" spans="7:8" x14ac:dyDescent="0.3">
      <c r="G1902" s="4"/>
      <c r="H1902" s="4"/>
    </row>
    <row r="1903" spans="7:8" x14ac:dyDescent="0.3">
      <c r="G1903" s="4"/>
      <c r="H1903" s="4"/>
    </row>
    <row r="1904" spans="7:8" x14ac:dyDescent="0.3">
      <c r="G1904" s="4"/>
      <c r="H1904" s="4"/>
    </row>
    <row r="1905" spans="7:8" x14ac:dyDescent="0.3">
      <c r="G1905" s="4"/>
      <c r="H1905" s="4"/>
    </row>
    <row r="1906" spans="7:8" x14ac:dyDescent="0.3">
      <c r="G1906" s="4"/>
      <c r="H1906" s="4"/>
    </row>
    <row r="1907" spans="7:8" x14ac:dyDescent="0.3">
      <c r="G1907" s="4"/>
      <c r="H1907" s="4"/>
    </row>
    <row r="1908" spans="7:8" x14ac:dyDescent="0.3">
      <c r="G1908" s="4"/>
      <c r="H1908" s="4"/>
    </row>
    <row r="1909" spans="7:8" x14ac:dyDescent="0.3">
      <c r="G1909" s="4"/>
      <c r="H1909" s="4"/>
    </row>
    <row r="1910" spans="7:8" x14ac:dyDescent="0.3">
      <c r="G1910" s="4"/>
      <c r="H1910" s="4"/>
    </row>
    <row r="1911" spans="7:8" x14ac:dyDescent="0.3">
      <c r="G1911" s="4"/>
      <c r="H1911" s="4"/>
    </row>
    <row r="1912" spans="7:8" x14ac:dyDescent="0.3">
      <c r="G1912" s="4"/>
      <c r="H1912" s="4"/>
    </row>
    <row r="1913" spans="7:8" x14ac:dyDescent="0.3">
      <c r="G1913" s="4"/>
      <c r="H1913" s="4"/>
    </row>
    <row r="1914" spans="7:8" x14ac:dyDescent="0.3">
      <c r="G1914" s="4"/>
      <c r="H1914" s="4"/>
    </row>
    <row r="1915" spans="7:8" x14ac:dyDescent="0.3">
      <c r="G1915" s="4"/>
      <c r="H1915" s="4"/>
    </row>
    <row r="1916" spans="7:8" x14ac:dyDescent="0.3">
      <c r="G1916" s="4"/>
      <c r="H1916" s="4"/>
    </row>
    <row r="1917" spans="7:8" x14ac:dyDescent="0.3">
      <c r="G1917" s="4"/>
      <c r="H1917" s="4"/>
    </row>
    <row r="1918" spans="7:8" x14ac:dyDescent="0.3">
      <c r="G1918" s="4"/>
      <c r="H1918" s="4"/>
    </row>
    <row r="1919" spans="7:8" x14ac:dyDescent="0.3">
      <c r="G1919" s="4"/>
      <c r="H1919" s="4"/>
    </row>
    <row r="1920" spans="7:8" x14ac:dyDescent="0.3">
      <c r="G1920" s="4"/>
      <c r="H1920" s="4"/>
    </row>
    <row r="1921" spans="7:8" x14ac:dyDescent="0.3">
      <c r="G1921" s="4"/>
      <c r="H1921" s="4"/>
    </row>
    <row r="1922" spans="7:8" x14ac:dyDescent="0.3">
      <c r="G1922" s="4"/>
      <c r="H1922" s="4"/>
    </row>
    <row r="1923" spans="7:8" x14ac:dyDescent="0.3">
      <c r="G1923" s="4"/>
      <c r="H1923" s="4"/>
    </row>
    <row r="1924" spans="7:8" x14ac:dyDescent="0.3">
      <c r="G1924" s="4"/>
      <c r="H1924" s="4"/>
    </row>
    <row r="1925" spans="7:8" x14ac:dyDescent="0.3">
      <c r="G1925" s="4"/>
      <c r="H1925" s="4"/>
    </row>
    <row r="1926" spans="7:8" x14ac:dyDescent="0.3">
      <c r="G1926" s="4"/>
      <c r="H1926" s="4"/>
    </row>
    <row r="1927" spans="7:8" x14ac:dyDescent="0.3">
      <c r="G1927" s="4"/>
      <c r="H1927" s="4"/>
    </row>
    <row r="1928" spans="7:8" x14ac:dyDescent="0.3">
      <c r="G1928" s="4"/>
      <c r="H1928" s="4"/>
    </row>
    <row r="1929" spans="7:8" x14ac:dyDescent="0.3">
      <c r="G1929" s="4"/>
      <c r="H1929" s="4"/>
    </row>
    <row r="1930" spans="7:8" x14ac:dyDescent="0.3">
      <c r="G1930" s="4"/>
      <c r="H1930" s="4"/>
    </row>
    <row r="1931" spans="7:8" x14ac:dyDescent="0.3">
      <c r="G1931" s="4"/>
      <c r="H1931" s="4"/>
    </row>
    <row r="1932" spans="7:8" x14ac:dyDescent="0.3">
      <c r="G1932" s="4"/>
      <c r="H1932" s="4"/>
    </row>
    <row r="1933" spans="7:8" x14ac:dyDescent="0.3">
      <c r="G1933" s="4"/>
      <c r="H1933" s="4"/>
    </row>
    <row r="1934" spans="7:8" x14ac:dyDescent="0.3">
      <c r="G1934" s="4"/>
      <c r="H1934" s="4"/>
    </row>
    <row r="1935" spans="7:8" x14ac:dyDescent="0.3">
      <c r="G1935" s="4"/>
      <c r="H1935" s="4"/>
    </row>
    <row r="1936" spans="7:8" x14ac:dyDescent="0.3">
      <c r="G1936" s="4"/>
      <c r="H1936" s="4"/>
    </row>
    <row r="1937" spans="7:8" x14ac:dyDescent="0.3">
      <c r="G1937" s="4"/>
      <c r="H1937" s="4"/>
    </row>
    <row r="1938" spans="7:8" x14ac:dyDescent="0.3">
      <c r="G1938" s="4"/>
      <c r="H1938" s="4"/>
    </row>
    <row r="1939" spans="7:8" x14ac:dyDescent="0.3">
      <c r="G1939" s="4"/>
      <c r="H1939" s="4"/>
    </row>
    <row r="1940" spans="7:8" x14ac:dyDescent="0.3">
      <c r="G1940" s="4"/>
      <c r="H1940" s="4"/>
    </row>
    <row r="1941" spans="7:8" x14ac:dyDescent="0.3">
      <c r="G1941" s="4"/>
      <c r="H1941" s="4"/>
    </row>
    <row r="1942" spans="7:8" x14ac:dyDescent="0.3">
      <c r="G1942" s="4"/>
      <c r="H1942" s="4"/>
    </row>
    <row r="1943" spans="7:8" x14ac:dyDescent="0.3">
      <c r="G1943" s="4"/>
      <c r="H1943" s="4"/>
    </row>
    <row r="1944" spans="7:8" x14ac:dyDescent="0.3">
      <c r="G1944" s="4"/>
      <c r="H1944" s="4"/>
    </row>
    <row r="1945" spans="7:8" x14ac:dyDescent="0.3">
      <c r="G1945" s="4"/>
      <c r="H1945" s="4"/>
    </row>
    <row r="1946" spans="7:8" x14ac:dyDescent="0.3">
      <c r="G1946" s="4"/>
      <c r="H1946" s="4"/>
    </row>
    <row r="1947" spans="7:8" x14ac:dyDescent="0.3">
      <c r="G1947" s="4"/>
      <c r="H1947" s="4"/>
    </row>
    <row r="1948" spans="7:8" x14ac:dyDescent="0.3">
      <c r="G1948" s="4"/>
      <c r="H1948" s="4"/>
    </row>
    <row r="1949" spans="7:8" x14ac:dyDescent="0.3">
      <c r="G1949" s="4"/>
      <c r="H1949" s="4"/>
    </row>
    <row r="1950" spans="7:8" x14ac:dyDescent="0.3">
      <c r="G1950" s="4"/>
      <c r="H1950" s="4"/>
    </row>
    <row r="1951" spans="7:8" x14ac:dyDescent="0.3">
      <c r="G1951" s="4"/>
      <c r="H1951" s="4"/>
    </row>
    <row r="1952" spans="7:8" x14ac:dyDescent="0.3">
      <c r="G1952" s="4"/>
      <c r="H1952" s="4"/>
    </row>
    <row r="1953" spans="7:8" x14ac:dyDescent="0.3">
      <c r="G1953" s="4"/>
      <c r="H1953" s="4"/>
    </row>
    <row r="1954" spans="7:8" x14ac:dyDescent="0.3">
      <c r="G1954" s="4"/>
      <c r="H1954" s="4"/>
    </row>
    <row r="1955" spans="7:8" x14ac:dyDescent="0.3">
      <c r="G1955" s="4"/>
      <c r="H1955" s="4"/>
    </row>
    <row r="1956" spans="7:8" x14ac:dyDescent="0.3">
      <c r="G1956" s="4"/>
      <c r="H1956" s="4"/>
    </row>
    <row r="1957" spans="7:8" x14ac:dyDescent="0.3">
      <c r="G1957" s="4"/>
      <c r="H1957" s="4"/>
    </row>
    <row r="1958" spans="7:8" x14ac:dyDescent="0.3">
      <c r="G1958" s="4"/>
      <c r="H1958" s="4"/>
    </row>
    <row r="1959" spans="7:8" x14ac:dyDescent="0.3">
      <c r="G1959" s="4"/>
      <c r="H1959" s="4"/>
    </row>
    <row r="1960" spans="7:8" x14ac:dyDescent="0.3">
      <c r="G1960" s="4"/>
      <c r="H1960" s="4"/>
    </row>
    <row r="1961" spans="7:8" x14ac:dyDescent="0.3">
      <c r="G1961" s="4"/>
      <c r="H1961" s="4"/>
    </row>
    <row r="1962" spans="7:8" x14ac:dyDescent="0.3">
      <c r="G1962" s="4"/>
      <c r="H1962" s="4"/>
    </row>
    <row r="1963" spans="7:8" x14ac:dyDescent="0.3">
      <c r="G1963" s="4"/>
      <c r="H1963" s="4"/>
    </row>
    <row r="1964" spans="7:8" x14ac:dyDescent="0.3">
      <c r="G1964" s="4"/>
      <c r="H1964" s="4"/>
    </row>
    <row r="1965" spans="7:8" x14ac:dyDescent="0.3">
      <c r="G1965" s="4"/>
      <c r="H1965" s="4"/>
    </row>
    <row r="1966" spans="7:8" x14ac:dyDescent="0.3">
      <c r="G1966" s="4"/>
      <c r="H1966" s="4"/>
    </row>
    <row r="1967" spans="7:8" x14ac:dyDescent="0.3">
      <c r="G1967" s="4"/>
      <c r="H1967" s="4"/>
    </row>
    <row r="1968" spans="7:8" x14ac:dyDescent="0.3">
      <c r="G1968" s="4"/>
      <c r="H1968" s="4"/>
    </row>
    <row r="1969" spans="7:8" x14ac:dyDescent="0.3">
      <c r="G1969" s="4"/>
      <c r="H1969" s="4"/>
    </row>
    <row r="1970" spans="7:8" x14ac:dyDescent="0.3">
      <c r="G1970" s="4"/>
      <c r="H1970" s="4"/>
    </row>
    <row r="1971" spans="7:8" x14ac:dyDescent="0.3">
      <c r="G1971" s="4"/>
      <c r="H1971" s="4"/>
    </row>
    <row r="1972" spans="7:8" x14ac:dyDescent="0.3">
      <c r="G1972" s="4"/>
      <c r="H1972" s="4"/>
    </row>
    <row r="1973" spans="7:8" x14ac:dyDescent="0.3">
      <c r="G1973" s="4"/>
      <c r="H1973" s="4"/>
    </row>
    <row r="1974" spans="7:8" x14ac:dyDescent="0.3">
      <c r="G1974" s="4"/>
      <c r="H1974" s="4"/>
    </row>
    <row r="1975" spans="7:8" x14ac:dyDescent="0.3">
      <c r="G1975" s="4"/>
      <c r="H1975" s="4"/>
    </row>
    <row r="1976" spans="7:8" x14ac:dyDescent="0.3">
      <c r="G1976" s="4"/>
      <c r="H1976" s="4"/>
    </row>
    <row r="1977" spans="7:8" x14ac:dyDescent="0.3">
      <c r="G1977" s="4"/>
      <c r="H1977" s="4"/>
    </row>
    <row r="1978" spans="7:8" x14ac:dyDescent="0.3">
      <c r="G1978" s="4"/>
      <c r="H1978" s="4"/>
    </row>
    <row r="1979" spans="7:8" x14ac:dyDescent="0.3">
      <c r="G1979" s="4"/>
      <c r="H1979" s="4"/>
    </row>
    <row r="1980" spans="7:8" x14ac:dyDescent="0.3">
      <c r="G1980" s="4"/>
      <c r="H1980" s="4"/>
    </row>
    <row r="1981" spans="7:8" x14ac:dyDescent="0.3">
      <c r="G1981" s="4"/>
      <c r="H1981" s="4"/>
    </row>
    <row r="1982" spans="7:8" x14ac:dyDescent="0.3">
      <c r="G1982" s="4"/>
      <c r="H1982" s="4"/>
    </row>
    <row r="1983" spans="7:8" x14ac:dyDescent="0.3">
      <c r="G1983" s="4"/>
      <c r="H1983" s="4"/>
    </row>
    <row r="1984" spans="7:8" x14ac:dyDescent="0.3">
      <c r="G1984" s="4"/>
      <c r="H1984" s="4"/>
    </row>
    <row r="1985" spans="7:8" x14ac:dyDescent="0.3">
      <c r="G1985" s="4"/>
      <c r="H1985" s="4"/>
    </row>
    <row r="1986" spans="7:8" x14ac:dyDescent="0.3">
      <c r="G1986" s="4"/>
      <c r="H1986" s="4"/>
    </row>
    <row r="1987" spans="7:8" x14ac:dyDescent="0.3">
      <c r="G1987" s="4"/>
      <c r="H1987" s="4"/>
    </row>
    <row r="1988" spans="7:8" x14ac:dyDescent="0.3">
      <c r="G1988" s="4"/>
      <c r="H1988" s="4"/>
    </row>
    <row r="1989" spans="7:8" x14ac:dyDescent="0.3">
      <c r="G1989" s="4"/>
      <c r="H1989" s="4"/>
    </row>
    <row r="1990" spans="7:8" x14ac:dyDescent="0.3">
      <c r="G1990" s="4"/>
      <c r="H1990" s="4"/>
    </row>
    <row r="1991" spans="7:8" x14ac:dyDescent="0.3">
      <c r="G1991" s="4"/>
      <c r="H1991" s="4"/>
    </row>
    <row r="1992" spans="7:8" x14ac:dyDescent="0.3">
      <c r="G1992" s="4"/>
      <c r="H1992" s="4"/>
    </row>
    <row r="1993" spans="7:8" x14ac:dyDescent="0.3">
      <c r="G1993" s="4"/>
      <c r="H1993" s="4"/>
    </row>
    <row r="1994" spans="7:8" x14ac:dyDescent="0.3">
      <c r="G1994" s="4"/>
      <c r="H1994" s="4"/>
    </row>
    <row r="1995" spans="7:8" x14ac:dyDescent="0.3">
      <c r="G1995" s="4"/>
      <c r="H1995" s="4"/>
    </row>
    <row r="1996" spans="7:8" x14ac:dyDescent="0.3">
      <c r="G1996" s="4"/>
      <c r="H1996" s="4"/>
    </row>
    <row r="1997" spans="7:8" x14ac:dyDescent="0.3">
      <c r="G1997" s="4"/>
      <c r="H1997" s="4"/>
    </row>
    <row r="1998" spans="7:8" x14ac:dyDescent="0.3">
      <c r="G1998" s="4"/>
      <c r="H1998" s="4"/>
    </row>
    <row r="1999" spans="7:8" x14ac:dyDescent="0.3">
      <c r="G1999" s="4"/>
      <c r="H1999" s="4"/>
    </row>
    <row r="2000" spans="7:8" x14ac:dyDescent="0.3">
      <c r="G2000" s="4"/>
      <c r="H2000" s="4"/>
    </row>
    <row r="2001" spans="7:8" x14ac:dyDescent="0.3">
      <c r="G2001" s="4"/>
      <c r="H2001" s="4"/>
    </row>
    <row r="2002" spans="7:8" x14ac:dyDescent="0.3">
      <c r="G2002" s="4"/>
      <c r="H2002" s="4"/>
    </row>
    <row r="2003" spans="7:8" x14ac:dyDescent="0.3">
      <c r="G2003" s="4"/>
      <c r="H2003" s="4"/>
    </row>
    <row r="2004" spans="7:8" x14ac:dyDescent="0.3">
      <c r="G2004" s="4"/>
      <c r="H2004" s="4"/>
    </row>
    <row r="2005" spans="7:8" x14ac:dyDescent="0.3">
      <c r="G2005" s="4"/>
      <c r="H2005" s="4"/>
    </row>
    <row r="2006" spans="7:8" x14ac:dyDescent="0.3">
      <c r="G2006" s="4"/>
      <c r="H2006" s="4"/>
    </row>
    <row r="2007" spans="7:8" x14ac:dyDescent="0.3">
      <c r="G2007" s="4"/>
      <c r="H2007" s="4"/>
    </row>
    <row r="2008" spans="7:8" x14ac:dyDescent="0.3">
      <c r="G2008" s="4"/>
      <c r="H2008" s="4"/>
    </row>
    <row r="2009" spans="7:8" x14ac:dyDescent="0.3">
      <c r="G2009" s="4"/>
      <c r="H2009" s="4"/>
    </row>
    <row r="2010" spans="7:8" x14ac:dyDescent="0.3">
      <c r="G2010" s="4"/>
      <c r="H2010" s="4"/>
    </row>
    <row r="2011" spans="7:8" x14ac:dyDescent="0.3">
      <c r="G2011" s="4"/>
      <c r="H2011" s="4"/>
    </row>
    <row r="2012" spans="7:8" x14ac:dyDescent="0.3">
      <c r="G2012" s="4"/>
      <c r="H2012" s="4"/>
    </row>
    <row r="2013" spans="7:8" x14ac:dyDescent="0.3">
      <c r="G2013" s="4"/>
      <c r="H2013" s="4"/>
    </row>
    <row r="2014" spans="7:8" x14ac:dyDescent="0.3">
      <c r="G2014" s="4"/>
      <c r="H2014" s="4"/>
    </row>
    <row r="2015" spans="7:8" x14ac:dyDescent="0.3">
      <c r="G2015" s="4"/>
      <c r="H2015" s="4"/>
    </row>
    <row r="2016" spans="7:8" x14ac:dyDescent="0.3">
      <c r="G2016" s="4"/>
      <c r="H2016" s="4"/>
    </row>
    <row r="2017" spans="7:8" x14ac:dyDescent="0.3">
      <c r="G2017" s="4"/>
      <c r="H2017" s="4"/>
    </row>
    <row r="2018" spans="7:8" x14ac:dyDescent="0.3">
      <c r="G2018" s="4"/>
      <c r="H2018" s="4"/>
    </row>
    <row r="2019" spans="7:8" x14ac:dyDescent="0.3">
      <c r="G2019" s="4"/>
      <c r="H2019" s="4"/>
    </row>
    <row r="2020" spans="7:8" x14ac:dyDescent="0.3">
      <c r="G2020" s="4"/>
      <c r="H2020" s="4"/>
    </row>
    <row r="2021" spans="7:8" x14ac:dyDescent="0.3">
      <c r="G2021" s="4"/>
      <c r="H2021" s="4"/>
    </row>
    <row r="2022" spans="7:8" x14ac:dyDescent="0.3">
      <c r="G2022" s="4"/>
      <c r="H2022" s="4"/>
    </row>
    <row r="2023" spans="7:8" x14ac:dyDescent="0.3">
      <c r="G2023" s="4"/>
      <c r="H2023" s="4"/>
    </row>
    <row r="2024" spans="7:8" x14ac:dyDescent="0.3">
      <c r="G2024" s="4"/>
      <c r="H2024" s="4"/>
    </row>
    <row r="2025" spans="7:8" x14ac:dyDescent="0.3">
      <c r="G2025" s="4"/>
      <c r="H2025" s="4"/>
    </row>
    <row r="2026" spans="7:8" x14ac:dyDescent="0.3">
      <c r="G2026" s="4"/>
      <c r="H2026" s="4"/>
    </row>
    <row r="2027" spans="7:8" x14ac:dyDescent="0.3">
      <c r="G2027" s="4"/>
      <c r="H2027" s="4"/>
    </row>
    <row r="2028" spans="7:8" x14ac:dyDescent="0.3">
      <c r="G2028" s="4"/>
      <c r="H2028" s="4"/>
    </row>
    <row r="2029" spans="7:8" x14ac:dyDescent="0.3">
      <c r="G2029" s="4"/>
      <c r="H2029" s="4"/>
    </row>
    <row r="2030" spans="7:8" x14ac:dyDescent="0.3">
      <c r="G2030" s="4"/>
      <c r="H2030" s="4"/>
    </row>
    <row r="2031" spans="7:8" x14ac:dyDescent="0.3">
      <c r="G2031" s="4"/>
      <c r="H2031" s="4"/>
    </row>
    <row r="2032" spans="7:8" x14ac:dyDescent="0.3">
      <c r="G2032" s="4"/>
      <c r="H2032" s="4"/>
    </row>
    <row r="2033" spans="7:8" x14ac:dyDescent="0.3">
      <c r="G2033" s="4"/>
      <c r="H2033" s="4"/>
    </row>
    <row r="2034" spans="7:8" x14ac:dyDescent="0.3">
      <c r="G2034" s="4"/>
      <c r="H2034" s="4"/>
    </row>
    <row r="2035" spans="7:8" x14ac:dyDescent="0.3">
      <c r="G2035" s="4"/>
      <c r="H2035" s="4"/>
    </row>
    <row r="2036" spans="7:8" x14ac:dyDescent="0.3">
      <c r="G2036" s="4"/>
      <c r="H2036" s="4"/>
    </row>
    <row r="2037" spans="7:8" x14ac:dyDescent="0.3">
      <c r="G2037" s="4"/>
      <c r="H2037" s="4"/>
    </row>
    <row r="2038" spans="7:8" x14ac:dyDescent="0.3">
      <c r="G2038" s="4"/>
      <c r="H2038" s="4"/>
    </row>
    <row r="2039" spans="7:8" x14ac:dyDescent="0.3">
      <c r="G2039" s="4"/>
      <c r="H2039" s="4"/>
    </row>
    <row r="2040" spans="7:8" x14ac:dyDescent="0.3">
      <c r="G2040" s="4"/>
      <c r="H2040" s="4"/>
    </row>
    <row r="2041" spans="7:8" x14ac:dyDescent="0.3">
      <c r="G2041" s="4"/>
      <c r="H2041" s="4"/>
    </row>
    <row r="2042" spans="7:8" x14ac:dyDescent="0.3">
      <c r="G2042" s="4"/>
      <c r="H2042" s="4"/>
    </row>
    <row r="2043" spans="7:8" x14ac:dyDescent="0.3">
      <c r="G2043" s="4"/>
      <c r="H2043" s="4"/>
    </row>
    <row r="2044" spans="7:8" x14ac:dyDescent="0.3">
      <c r="G2044" s="4"/>
      <c r="H2044" s="4"/>
    </row>
    <row r="2045" spans="7:8" x14ac:dyDescent="0.3">
      <c r="G2045" s="4"/>
      <c r="H2045" s="4"/>
    </row>
    <row r="2046" spans="7:8" x14ac:dyDescent="0.3">
      <c r="G2046" s="4"/>
      <c r="H2046" s="4"/>
    </row>
    <row r="2047" spans="7:8" x14ac:dyDescent="0.3">
      <c r="G2047" s="4"/>
      <c r="H2047" s="4"/>
    </row>
    <row r="2048" spans="7:8" x14ac:dyDescent="0.3">
      <c r="G2048" s="4"/>
      <c r="H2048" s="4"/>
    </row>
    <row r="2049" spans="7:8" x14ac:dyDescent="0.3">
      <c r="G2049" s="4"/>
      <c r="H2049" s="4"/>
    </row>
    <row r="2050" spans="7:8" x14ac:dyDescent="0.3">
      <c r="G2050" s="4"/>
      <c r="H2050" s="4"/>
    </row>
    <row r="2051" spans="7:8" x14ac:dyDescent="0.3">
      <c r="G2051" s="4"/>
      <c r="H2051" s="4"/>
    </row>
    <row r="2052" spans="7:8" x14ac:dyDescent="0.3">
      <c r="G2052" s="4"/>
      <c r="H2052" s="4"/>
    </row>
    <row r="2053" spans="7:8" x14ac:dyDescent="0.3">
      <c r="G2053" s="4"/>
      <c r="H2053" s="4"/>
    </row>
    <row r="2054" spans="7:8" x14ac:dyDescent="0.3">
      <c r="G2054" s="4"/>
      <c r="H2054" s="4"/>
    </row>
    <row r="2055" spans="7:8" x14ac:dyDescent="0.3">
      <c r="G2055" s="4"/>
      <c r="H2055" s="4"/>
    </row>
    <row r="2056" spans="7:8" x14ac:dyDescent="0.3">
      <c r="G2056" s="4"/>
      <c r="H2056" s="4"/>
    </row>
    <row r="2057" spans="7:8" x14ac:dyDescent="0.3">
      <c r="G2057" s="4"/>
      <c r="H2057" s="4"/>
    </row>
    <row r="2058" spans="7:8" x14ac:dyDescent="0.3">
      <c r="G2058" s="4"/>
      <c r="H2058" s="4"/>
    </row>
    <row r="2059" spans="7:8" x14ac:dyDescent="0.3">
      <c r="G2059" s="4"/>
      <c r="H2059" s="4"/>
    </row>
    <row r="2060" spans="7:8" x14ac:dyDescent="0.3">
      <c r="G2060" s="4"/>
      <c r="H2060" s="4"/>
    </row>
    <row r="2061" spans="7:8" x14ac:dyDescent="0.3">
      <c r="G2061" s="4"/>
      <c r="H2061" s="4"/>
    </row>
    <row r="2062" spans="7:8" x14ac:dyDescent="0.3">
      <c r="G2062" s="4"/>
      <c r="H2062" s="4"/>
    </row>
    <row r="2063" spans="7:8" x14ac:dyDescent="0.3">
      <c r="G2063" s="4"/>
      <c r="H2063" s="4"/>
    </row>
    <row r="2064" spans="7:8" x14ac:dyDescent="0.3">
      <c r="G2064" s="4"/>
      <c r="H2064" s="4"/>
    </row>
    <row r="2065" spans="7:8" x14ac:dyDescent="0.3">
      <c r="G2065" s="4"/>
      <c r="H2065" s="4"/>
    </row>
    <row r="2066" spans="7:8" x14ac:dyDescent="0.3">
      <c r="G2066" s="4"/>
      <c r="H2066" s="4"/>
    </row>
    <row r="2067" spans="7:8" x14ac:dyDescent="0.3">
      <c r="G2067" s="4"/>
      <c r="H2067" s="4"/>
    </row>
    <row r="2068" spans="7:8" x14ac:dyDescent="0.3">
      <c r="G2068" s="4"/>
      <c r="H2068" s="4"/>
    </row>
    <row r="2069" spans="7:8" x14ac:dyDescent="0.3">
      <c r="G2069" s="4"/>
      <c r="H2069" s="4"/>
    </row>
    <row r="2070" spans="7:8" x14ac:dyDescent="0.3">
      <c r="G2070" s="4"/>
      <c r="H2070" s="4"/>
    </row>
    <row r="2071" spans="7:8" x14ac:dyDescent="0.3">
      <c r="G2071" s="4"/>
      <c r="H2071" s="4"/>
    </row>
    <row r="2072" spans="7:8" x14ac:dyDescent="0.3">
      <c r="G2072" s="4"/>
      <c r="H2072" s="4"/>
    </row>
    <row r="2073" spans="7:8" x14ac:dyDescent="0.3">
      <c r="G2073" s="4"/>
      <c r="H2073" s="4"/>
    </row>
    <row r="2074" spans="7:8" x14ac:dyDescent="0.3">
      <c r="G2074" s="4"/>
      <c r="H2074" s="4"/>
    </row>
    <row r="2075" spans="7:8" x14ac:dyDescent="0.3">
      <c r="G2075" s="4"/>
      <c r="H2075" s="4"/>
    </row>
    <row r="2076" spans="7:8" x14ac:dyDescent="0.3">
      <c r="G2076" s="4"/>
      <c r="H2076" s="4"/>
    </row>
    <row r="2077" spans="7:8" x14ac:dyDescent="0.3">
      <c r="G2077" s="4"/>
      <c r="H2077" s="4"/>
    </row>
    <row r="2078" spans="7:8" x14ac:dyDescent="0.3">
      <c r="G2078" s="4"/>
      <c r="H2078" s="4"/>
    </row>
    <row r="2079" spans="7:8" x14ac:dyDescent="0.3">
      <c r="G2079" s="4"/>
      <c r="H2079" s="4"/>
    </row>
    <row r="2080" spans="7:8" x14ac:dyDescent="0.3">
      <c r="G2080" s="4"/>
      <c r="H2080" s="4"/>
    </row>
    <row r="2081" spans="7:8" x14ac:dyDescent="0.3">
      <c r="G2081" s="4"/>
      <c r="H2081" s="4"/>
    </row>
    <row r="2082" spans="7:8" x14ac:dyDescent="0.3">
      <c r="G2082" s="4"/>
      <c r="H2082" s="4"/>
    </row>
    <row r="2083" spans="7:8" x14ac:dyDescent="0.3">
      <c r="G2083" s="4"/>
      <c r="H2083" s="4"/>
    </row>
    <row r="2084" spans="7:8" x14ac:dyDescent="0.3">
      <c r="G2084" s="4"/>
      <c r="H2084" s="4"/>
    </row>
    <row r="2085" spans="7:8" x14ac:dyDescent="0.3">
      <c r="G2085" s="4"/>
      <c r="H2085" s="4"/>
    </row>
    <row r="2086" spans="7:8" x14ac:dyDescent="0.3">
      <c r="G2086" s="4"/>
      <c r="H2086" s="4"/>
    </row>
    <row r="2087" spans="7:8" x14ac:dyDescent="0.3">
      <c r="G2087" s="4"/>
      <c r="H2087" s="4"/>
    </row>
    <row r="2088" spans="7:8" x14ac:dyDescent="0.3">
      <c r="G2088" s="4"/>
      <c r="H2088" s="4"/>
    </row>
    <row r="2089" spans="7:8" x14ac:dyDescent="0.3">
      <c r="G2089" s="4"/>
      <c r="H2089" s="4"/>
    </row>
    <row r="2090" spans="7:8" x14ac:dyDescent="0.3">
      <c r="G2090" s="4"/>
      <c r="H2090" s="4"/>
    </row>
    <row r="2091" spans="7:8" x14ac:dyDescent="0.3">
      <c r="G2091" s="4"/>
      <c r="H2091" s="4"/>
    </row>
    <row r="2092" spans="7:8" x14ac:dyDescent="0.3">
      <c r="G2092" s="4"/>
      <c r="H2092" s="4"/>
    </row>
    <row r="2093" spans="7:8" x14ac:dyDescent="0.3">
      <c r="G2093" s="4"/>
      <c r="H2093" s="4"/>
    </row>
    <row r="2094" spans="7:8" x14ac:dyDescent="0.3">
      <c r="G2094" s="4"/>
      <c r="H2094" s="4"/>
    </row>
    <row r="2095" spans="7:8" x14ac:dyDescent="0.3">
      <c r="G2095" s="4"/>
      <c r="H2095" s="4"/>
    </row>
    <row r="2096" spans="7:8" x14ac:dyDescent="0.3">
      <c r="G2096" s="4"/>
      <c r="H2096" s="4"/>
    </row>
    <row r="2097" spans="7:8" x14ac:dyDescent="0.3">
      <c r="G2097" s="4"/>
      <c r="H2097" s="4"/>
    </row>
    <row r="2098" spans="7:8" x14ac:dyDescent="0.3">
      <c r="G2098" s="4"/>
      <c r="H2098" s="4"/>
    </row>
    <row r="2099" spans="7:8" x14ac:dyDescent="0.3">
      <c r="G2099" s="4"/>
      <c r="H2099" s="4"/>
    </row>
    <row r="2100" spans="7:8" x14ac:dyDescent="0.3">
      <c r="G2100" s="4"/>
      <c r="H2100" s="4"/>
    </row>
    <row r="2101" spans="7:8" x14ac:dyDescent="0.3">
      <c r="G2101" s="4"/>
      <c r="H2101" s="4"/>
    </row>
    <row r="2102" spans="7:8" x14ac:dyDescent="0.3">
      <c r="G2102" s="4"/>
      <c r="H2102" s="4"/>
    </row>
    <row r="2103" spans="7:8" x14ac:dyDescent="0.3">
      <c r="G2103" s="4"/>
      <c r="H2103" s="4"/>
    </row>
    <row r="2104" spans="7:8" x14ac:dyDescent="0.3">
      <c r="G2104" s="4"/>
      <c r="H2104" s="4"/>
    </row>
    <row r="2105" spans="7:8" x14ac:dyDescent="0.3">
      <c r="G2105" s="4"/>
      <c r="H2105" s="4"/>
    </row>
    <row r="2106" spans="7:8" x14ac:dyDescent="0.3">
      <c r="G2106" s="4"/>
      <c r="H2106" s="4"/>
    </row>
    <row r="2107" spans="7:8" x14ac:dyDescent="0.3">
      <c r="G2107" s="4"/>
      <c r="H2107" s="4"/>
    </row>
    <row r="2108" spans="7:8" x14ac:dyDescent="0.3">
      <c r="G2108" s="4"/>
      <c r="H2108" s="4"/>
    </row>
    <row r="2109" spans="7:8" x14ac:dyDescent="0.3">
      <c r="G2109" s="4"/>
      <c r="H2109" s="4"/>
    </row>
    <row r="2110" spans="7:8" x14ac:dyDescent="0.3">
      <c r="G2110" s="4"/>
      <c r="H2110" s="4"/>
    </row>
    <row r="2111" spans="7:8" x14ac:dyDescent="0.3">
      <c r="G2111" s="4"/>
      <c r="H2111" s="4"/>
    </row>
    <row r="2112" spans="7:8" x14ac:dyDescent="0.3">
      <c r="G2112" s="4"/>
      <c r="H2112" s="4"/>
    </row>
    <row r="2113" spans="7:8" x14ac:dyDescent="0.3">
      <c r="G2113" s="4"/>
      <c r="H2113" s="4"/>
    </row>
    <row r="2114" spans="7:8" x14ac:dyDescent="0.3">
      <c r="G2114" s="4"/>
      <c r="H2114" s="4"/>
    </row>
    <row r="2115" spans="7:8" x14ac:dyDescent="0.3">
      <c r="G2115" s="4"/>
      <c r="H2115" s="4"/>
    </row>
    <row r="2116" spans="7:8" x14ac:dyDescent="0.3">
      <c r="G2116" s="4"/>
      <c r="H2116" s="4"/>
    </row>
    <row r="2117" spans="7:8" x14ac:dyDescent="0.3">
      <c r="G2117" s="4"/>
      <c r="H2117" s="4"/>
    </row>
    <row r="2118" spans="7:8" x14ac:dyDescent="0.3">
      <c r="G2118" s="4"/>
      <c r="H2118" s="4"/>
    </row>
    <row r="2119" spans="7:8" x14ac:dyDescent="0.3">
      <c r="G2119" s="4"/>
      <c r="H2119" s="4"/>
    </row>
    <row r="2120" spans="7:8" x14ac:dyDescent="0.3">
      <c r="G2120" s="4"/>
      <c r="H2120" s="4"/>
    </row>
    <row r="2121" spans="7:8" x14ac:dyDescent="0.3">
      <c r="G2121" s="4"/>
      <c r="H2121" s="4"/>
    </row>
    <row r="2122" spans="7:8" x14ac:dyDescent="0.3">
      <c r="G2122" s="4"/>
      <c r="H2122" s="4"/>
    </row>
    <row r="2123" spans="7:8" x14ac:dyDescent="0.3">
      <c r="G2123" s="4"/>
      <c r="H2123" s="4"/>
    </row>
    <row r="2124" spans="7:8" x14ac:dyDescent="0.3">
      <c r="G2124" s="4"/>
      <c r="H2124" s="4"/>
    </row>
    <row r="2125" spans="7:8" x14ac:dyDescent="0.3">
      <c r="G2125" s="4"/>
      <c r="H2125" s="4"/>
    </row>
    <row r="2126" spans="7:8" x14ac:dyDescent="0.3">
      <c r="G2126" s="4"/>
      <c r="H2126" s="4"/>
    </row>
    <row r="2127" spans="7:8" x14ac:dyDescent="0.3">
      <c r="G2127" s="4"/>
      <c r="H2127" s="4"/>
    </row>
    <row r="2128" spans="7:8" x14ac:dyDescent="0.3">
      <c r="G2128" s="4"/>
      <c r="H2128" s="4"/>
    </row>
    <row r="2129" spans="7:8" x14ac:dyDescent="0.3">
      <c r="G2129" s="4"/>
      <c r="H2129" s="4"/>
    </row>
    <row r="2130" spans="7:8" x14ac:dyDescent="0.3">
      <c r="G2130" s="4"/>
      <c r="H2130" s="4"/>
    </row>
    <row r="2131" spans="7:8" x14ac:dyDescent="0.3">
      <c r="G2131" s="4"/>
      <c r="H2131" s="4"/>
    </row>
    <row r="2132" spans="7:8" x14ac:dyDescent="0.3">
      <c r="G2132" s="4"/>
      <c r="H2132" s="4"/>
    </row>
    <row r="2133" spans="7:8" x14ac:dyDescent="0.3">
      <c r="G2133" s="4"/>
      <c r="H2133" s="4"/>
    </row>
    <row r="2134" spans="7:8" x14ac:dyDescent="0.3">
      <c r="G2134" s="4"/>
      <c r="H2134" s="4"/>
    </row>
    <row r="2135" spans="7:8" x14ac:dyDescent="0.3">
      <c r="G2135" s="4"/>
      <c r="H2135" s="4"/>
    </row>
    <row r="2136" spans="7:8" x14ac:dyDescent="0.3">
      <c r="G2136" s="4"/>
      <c r="H2136" s="4"/>
    </row>
    <row r="2137" spans="7:8" x14ac:dyDescent="0.3">
      <c r="G2137" s="4"/>
      <c r="H2137" s="4"/>
    </row>
    <row r="2138" spans="7:8" x14ac:dyDescent="0.3">
      <c r="G2138" s="4"/>
      <c r="H2138" s="4"/>
    </row>
    <row r="2139" spans="7:8" x14ac:dyDescent="0.3">
      <c r="G2139" s="4"/>
      <c r="H2139" s="4"/>
    </row>
    <row r="2140" spans="7:8" x14ac:dyDescent="0.3">
      <c r="G2140" s="4"/>
      <c r="H2140" s="4"/>
    </row>
    <row r="2141" spans="7:8" x14ac:dyDescent="0.3">
      <c r="G2141" s="4"/>
      <c r="H2141" s="4"/>
    </row>
    <row r="2142" spans="7:8" x14ac:dyDescent="0.3">
      <c r="G2142" s="4"/>
      <c r="H2142" s="4"/>
    </row>
    <row r="2143" spans="7:8" x14ac:dyDescent="0.3">
      <c r="G2143" s="4"/>
      <c r="H2143" s="4"/>
    </row>
    <row r="2144" spans="7:8" x14ac:dyDescent="0.3">
      <c r="G2144" s="4"/>
      <c r="H2144" s="4"/>
    </row>
    <row r="2145" spans="7:8" x14ac:dyDescent="0.3">
      <c r="G2145" s="4"/>
      <c r="H2145" s="4"/>
    </row>
    <row r="2146" spans="7:8" x14ac:dyDescent="0.3">
      <c r="G2146" s="4"/>
      <c r="H2146" s="4"/>
    </row>
    <row r="2147" spans="7:8" x14ac:dyDescent="0.3">
      <c r="G2147" s="4"/>
      <c r="H2147" s="4"/>
    </row>
    <row r="2148" spans="7:8" x14ac:dyDescent="0.3">
      <c r="G2148" s="4"/>
      <c r="H2148" s="4"/>
    </row>
    <row r="2149" spans="7:8" x14ac:dyDescent="0.3">
      <c r="G2149" s="4"/>
      <c r="H2149" s="4"/>
    </row>
    <row r="2150" spans="7:8" x14ac:dyDescent="0.3">
      <c r="G2150" s="4"/>
      <c r="H2150" s="4"/>
    </row>
    <row r="2151" spans="7:8" x14ac:dyDescent="0.3">
      <c r="G2151" s="4"/>
      <c r="H2151" s="4"/>
    </row>
    <row r="2152" spans="7:8" x14ac:dyDescent="0.3">
      <c r="G2152" s="4"/>
      <c r="H2152" s="4"/>
    </row>
    <row r="2153" spans="7:8" x14ac:dyDescent="0.3">
      <c r="G2153" s="4"/>
      <c r="H2153" s="4"/>
    </row>
    <row r="2154" spans="7:8" x14ac:dyDescent="0.3">
      <c r="G2154" s="4"/>
      <c r="H2154" s="4"/>
    </row>
    <row r="2155" spans="7:8" x14ac:dyDescent="0.3">
      <c r="G2155" s="4"/>
      <c r="H2155" s="4"/>
    </row>
    <row r="2156" spans="7:8" x14ac:dyDescent="0.3">
      <c r="G2156" s="4"/>
      <c r="H2156" s="4"/>
    </row>
    <row r="2157" spans="7:8" x14ac:dyDescent="0.3">
      <c r="G2157" s="4"/>
      <c r="H2157" s="4"/>
    </row>
    <row r="2158" spans="7:8" x14ac:dyDescent="0.3">
      <c r="G2158" s="4"/>
      <c r="H2158" s="4"/>
    </row>
    <row r="2159" spans="7:8" x14ac:dyDescent="0.3">
      <c r="G2159" s="4"/>
      <c r="H2159" s="4"/>
    </row>
    <row r="2160" spans="7:8" x14ac:dyDescent="0.3">
      <c r="G2160" s="4"/>
      <c r="H2160" s="4"/>
    </row>
    <row r="2161" spans="7:8" x14ac:dyDescent="0.3">
      <c r="G2161" s="4"/>
      <c r="H2161" s="4"/>
    </row>
    <row r="2162" spans="7:8" x14ac:dyDescent="0.3">
      <c r="G2162" s="4"/>
      <c r="H2162" s="4"/>
    </row>
    <row r="2163" spans="7:8" x14ac:dyDescent="0.3">
      <c r="G2163" s="4"/>
      <c r="H2163" s="4"/>
    </row>
    <row r="2164" spans="7:8" x14ac:dyDescent="0.3">
      <c r="G2164" s="4"/>
      <c r="H2164" s="4"/>
    </row>
    <row r="2165" spans="7:8" x14ac:dyDescent="0.3">
      <c r="G2165" s="4"/>
      <c r="H2165" s="4"/>
    </row>
    <row r="2166" spans="7:8" x14ac:dyDescent="0.3">
      <c r="G2166" s="4"/>
      <c r="H2166" s="4"/>
    </row>
    <row r="2167" spans="7:8" x14ac:dyDescent="0.3">
      <c r="G2167" s="4"/>
      <c r="H2167" s="4"/>
    </row>
    <row r="2168" spans="7:8" x14ac:dyDescent="0.3">
      <c r="G2168" s="4"/>
      <c r="H2168" s="4"/>
    </row>
    <row r="2169" spans="7:8" x14ac:dyDescent="0.3">
      <c r="G2169" s="4"/>
      <c r="H2169" s="4"/>
    </row>
    <row r="2170" spans="7:8" x14ac:dyDescent="0.3">
      <c r="G2170" s="4"/>
      <c r="H2170" s="4"/>
    </row>
    <row r="2171" spans="7:8" x14ac:dyDescent="0.3">
      <c r="G2171" s="4"/>
      <c r="H2171" s="4"/>
    </row>
    <row r="2172" spans="7:8" x14ac:dyDescent="0.3">
      <c r="G2172" s="4"/>
      <c r="H2172" s="4"/>
    </row>
    <row r="2173" spans="7:8" x14ac:dyDescent="0.3">
      <c r="G2173" s="4"/>
      <c r="H2173" s="4"/>
    </row>
    <row r="2174" spans="7:8" x14ac:dyDescent="0.3">
      <c r="G2174" s="4"/>
      <c r="H2174" s="4"/>
    </row>
    <row r="2175" spans="7:8" x14ac:dyDescent="0.3">
      <c r="G2175" s="4"/>
      <c r="H2175" s="4"/>
    </row>
    <row r="2176" spans="7:8" x14ac:dyDescent="0.3">
      <c r="G2176" s="4"/>
      <c r="H2176" s="4"/>
    </row>
    <row r="2177" spans="7:8" x14ac:dyDescent="0.3">
      <c r="G2177" s="4"/>
      <c r="H2177" s="4"/>
    </row>
    <row r="2178" spans="7:8" x14ac:dyDescent="0.3">
      <c r="G2178" s="4"/>
      <c r="H2178" s="4"/>
    </row>
    <row r="2179" spans="7:8" x14ac:dyDescent="0.3">
      <c r="G2179" s="4"/>
      <c r="H2179" s="4"/>
    </row>
    <row r="2180" spans="7:8" x14ac:dyDescent="0.3">
      <c r="G2180" s="4"/>
      <c r="H2180" s="4"/>
    </row>
    <row r="2181" spans="7:8" x14ac:dyDescent="0.3">
      <c r="G2181" s="4"/>
      <c r="H2181" s="4"/>
    </row>
    <row r="2182" spans="7:8" x14ac:dyDescent="0.3">
      <c r="G2182" s="4"/>
      <c r="H2182" s="4"/>
    </row>
    <row r="2183" spans="7:8" x14ac:dyDescent="0.3">
      <c r="G2183" s="4"/>
      <c r="H2183" s="4"/>
    </row>
    <row r="2184" spans="7:8" x14ac:dyDescent="0.3">
      <c r="G2184" s="4"/>
      <c r="H2184" s="4"/>
    </row>
    <row r="2185" spans="7:8" x14ac:dyDescent="0.3">
      <c r="G2185" s="4"/>
      <c r="H2185" s="4"/>
    </row>
    <row r="2186" spans="7:8" x14ac:dyDescent="0.3">
      <c r="G2186" s="4"/>
      <c r="H2186" s="4"/>
    </row>
    <row r="2187" spans="7:8" x14ac:dyDescent="0.3">
      <c r="G2187" s="4"/>
      <c r="H2187" s="4"/>
    </row>
    <row r="2188" spans="7:8" x14ac:dyDescent="0.3">
      <c r="G2188" s="4"/>
      <c r="H2188" s="4"/>
    </row>
    <row r="2189" spans="7:8" x14ac:dyDescent="0.3">
      <c r="G2189" s="4"/>
      <c r="H2189" s="4"/>
    </row>
    <row r="2190" spans="7:8" x14ac:dyDescent="0.3">
      <c r="G2190" s="4"/>
      <c r="H2190" s="4"/>
    </row>
    <row r="2191" spans="7:8" x14ac:dyDescent="0.3">
      <c r="G2191" s="4"/>
      <c r="H2191" s="4"/>
    </row>
    <row r="2192" spans="7:8" x14ac:dyDescent="0.3">
      <c r="G2192" s="4"/>
      <c r="H2192" s="4"/>
    </row>
    <row r="2193" spans="7:8" x14ac:dyDescent="0.3">
      <c r="G2193" s="4"/>
      <c r="H2193" s="4"/>
    </row>
    <row r="2194" spans="7:8" x14ac:dyDescent="0.3">
      <c r="G2194" s="4"/>
      <c r="H2194" s="4"/>
    </row>
    <row r="2195" spans="7:8" x14ac:dyDescent="0.3">
      <c r="G2195" s="4"/>
      <c r="H2195" s="4"/>
    </row>
    <row r="2196" spans="7:8" x14ac:dyDescent="0.3">
      <c r="G2196" s="4"/>
      <c r="H2196" s="4"/>
    </row>
    <row r="2197" spans="7:8" x14ac:dyDescent="0.3">
      <c r="G2197" s="4"/>
      <c r="H2197" s="4"/>
    </row>
    <row r="2198" spans="7:8" x14ac:dyDescent="0.3">
      <c r="G2198" s="4"/>
      <c r="H2198" s="4"/>
    </row>
    <row r="2199" spans="7:8" x14ac:dyDescent="0.3">
      <c r="G2199" s="4"/>
      <c r="H2199" s="4"/>
    </row>
    <row r="2200" spans="7:8" x14ac:dyDescent="0.3">
      <c r="G2200" s="4"/>
      <c r="H2200" s="4"/>
    </row>
    <row r="2201" spans="7:8" x14ac:dyDescent="0.3">
      <c r="G2201" s="4"/>
      <c r="H2201" s="4"/>
    </row>
    <row r="2202" spans="7:8" x14ac:dyDescent="0.3">
      <c r="G2202" s="4"/>
      <c r="H2202" s="4"/>
    </row>
    <row r="2203" spans="7:8" x14ac:dyDescent="0.3">
      <c r="G2203" s="4"/>
      <c r="H2203" s="4"/>
    </row>
    <row r="2204" spans="7:8" x14ac:dyDescent="0.3">
      <c r="G2204" s="4"/>
      <c r="H2204" s="4"/>
    </row>
    <row r="2205" spans="7:8" x14ac:dyDescent="0.3">
      <c r="G2205" s="4"/>
      <c r="H2205" s="4"/>
    </row>
    <row r="2206" spans="7:8" x14ac:dyDescent="0.3">
      <c r="G2206" s="4"/>
      <c r="H2206" s="4"/>
    </row>
    <row r="2207" spans="7:8" x14ac:dyDescent="0.3">
      <c r="G2207" s="4"/>
      <c r="H2207" s="4"/>
    </row>
    <row r="2208" spans="7:8" x14ac:dyDescent="0.3">
      <c r="G2208" s="4"/>
      <c r="H2208" s="4"/>
    </row>
    <row r="2209" spans="7:8" x14ac:dyDescent="0.3">
      <c r="G2209" s="4"/>
      <c r="H2209" s="4"/>
    </row>
    <row r="2210" spans="7:8" x14ac:dyDescent="0.3">
      <c r="G2210" s="4"/>
      <c r="H2210" s="4"/>
    </row>
    <row r="2211" spans="7:8" x14ac:dyDescent="0.3">
      <c r="G2211" s="4"/>
      <c r="H2211" s="4"/>
    </row>
    <row r="2212" spans="7:8" x14ac:dyDescent="0.3">
      <c r="G2212" s="4"/>
      <c r="H2212" s="4"/>
    </row>
    <row r="2213" spans="7:8" x14ac:dyDescent="0.3">
      <c r="G2213" s="4"/>
      <c r="H2213" s="4"/>
    </row>
    <row r="2214" spans="7:8" x14ac:dyDescent="0.3">
      <c r="G2214" s="4"/>
      <c r="H2214" s="4"/>
    </row>
    <row r="2215" spans="7:8" x14ac:dyDescent="0.3">
      <c r="G2215" s="4"/>
      <c r="H2215" s="4"/>
    </row>
    <row r="2216" spans="7:8" x14ac:dyDescent="0.3">
      <c r="G2216" s="4"/>
      <c r="H2216" s="4"/>
    </row>
    <row r="2217" spans="7:8" x14ac:dyDescent="0.3">
      <c r="G2217" s="4"/>
      <c r="H2217" s="4"/>
    </row>
    <row r="2218" spans="7:8" x14ac:dyDescent="0.3">
      <c r="G2218" s="4"/>
      <c r="H2218" s="4"/>
    </row>
    <row r="2219" spans="7:8" x14ac:dyDescent="0.3">
      <c r="G2219" s="4"/>
      <c r="H2219" s="4"/>
    </row>
    <row r="2220" spans="7:8" x14ac:dyDescent="0.3">
      <c r="G2220" s="4"/>
      <c r="H2220" s="4"/>
    </row>
    <row r="2221" spans="7:8" x14ac:dyDescent="0.3">
      <c r="G2221" s="4"/>
      <c r="H2221" s="4"/>
    </row>
    <row r="2222" spans="7:8" x14ac:dyDescent="0.3">
      <c r="G2222" s="4"/>
      <c r="H2222" s="4"/>
    </row>
    <row r="2223" spans="7:8" x14ac:dyDescent="0.3">
      <c r="G2223" s="4"/>
      <c r="H2223" s="4"/>
    </row>
    <row r="2224" spans="7:8" x14ac:dyDescent="0.3">
      <c r="G2224" s="4"/>
      <c r="H2224" s="4"/>
    </row>
    <row r="2225" spans="7:8" x14ac:dyDescent="0.3">
      <c r="G2225" s="4"/>
      <c r="H2225" s="4"/>
    </row>
    <row r="2226" spans="7:8" x14ac:dyDescent="0.3">
      <c r="G2226" s="4"/>
      <c r="H2226" s="4"/>
    </row>
    <row r="2227" spans="7:8" x14ac:dyDescent="0.3">
      <c r="G2227" s="4"/>
      <c r="H2227" s="4"/>
    </row>
    <row r="2228" spans="7:8" x14ac:dyDescent="0.3">
      <c r="G2228" s="4"/>
      <c r="H2228" s="4"/>
    </row>
    <row r="2229" spans="7:8" x14ac:dyDescent="0.3">
      <c r="G2229" s="4"/>
      <c r="H2229" s="4"/>
    </row>
    <row r="2230" spans="7:8" x14ac:dyDescent="0.3">
      <c r="G2230" s="4"/>
      <c r="H2230" s="4"/>
    </row>
    <row r="2231" spans="7:8" x14ac:dyDescent="0.3">
      <c r="G2231" s="4"/>
      <c r="H2231" s="4"/>
    </row>
    <row r="2232" spans="7:8" x14ac:dyDescent="0.3">
      <c r="G2232" s="4"/>
      <c r="H2232" s="4"/>
    </row>
    <row r="2233" spans="7:8" x14ac:dyDescent="0.3">
      <c r="G2233" s="4"/>
      <c r="H2233" s="4"/>
    </row>
    <row r="2234" spans="7:8" x14ac:dyDescent="0.3">
      <c r="G2234" s="4"/>
      <c r="H2234" s="4"/>
    </row>
    <row r="2235" spans="7:8" x14ac:dyDescent="0.3">
      <c r="G2235" s="4"/>
      <c r="H2235" s="4"/>
    </row>
    <row r="2236" spans="7:8" x14ac:dyDescent="0.3">
      <c r="G2236" s="4"/>
      <c r="H2236" s="4"/>
    </row>
    <row r="2237" spans="7:8" x14ac:dyDescent="0.3">
      <c r="G2237" s="4"/>
      <c r="H2237" s="4"/>
    </row>
    <row r="2238" spans="7:8" x14ac:dyDescent="0.3">
      <c r="G2238" s="4"/>
      <c r="H2238" s="4"/>
    </row>
    <row r="2239" spans="7:8" x14ac:dyDescent="0.3">
      <c r="G2239" s="4"/>
      <c r="H2239" s="4"/>
    </row>
    <row r="2240" spans="7:8" x14ac:dyDescent="0.3">
      <c r="G2240" s="4"/>
      <c r="H2240" s="4"/>
    </row>
    <row r="2241" spans="7:8" x14ac:dyDescent="0.3">
      <c r="G2241" s="4"/>
      <c r="H2241" s="4"/>
    </row>
    <row r="2242" spans="7:8" x14ac:dyDescent="0.3">
      <c r="G2242" s="4"/>
      <c r="H2242" s="4"/>
    </row>
    <row r="2243" spans="7:8" x14ac:dyDescent="0.3">
      <c r="G2243" s="4"/>
      <c r="H2243" s="4"/>
    </row>
    <row r="2244" spans="7:8" x14ac:dyDescent="0.3">
      <c r="G2244" s="4"/>
      <c r="H2244" s="4"/>
    </row>
    <row r="2245" spans="7:8" x14ac:dyDescent="0.3">
      <c r="G2245" s="4"/>
      <c r="H2245" s="4"/>
    </row>
    <row r="2246" spans="7:8" x14ac:dyDescent="0.3">
      <c r="G2246" s="4"/>
      <c r="H2246" s="4"/>
    </row>
    <row r="2247" spans="7:8" x14ac:dyDescent="0.3">
      <c r="G2247" s="4"/>
      <c r="H2247" s="4"/>
    </row>
    <row r="2248" spans="7:8" x14ac:dyDescent="0.3">
      <c r="G2248" s="4"/>
      <c r="H2248" s="4"/>
    </row>
    <row r="2249" spans="7:8" x14ac:dyDescent="0.3">
      <c r="G2249" s="4"/>
      <c r="H2249" s="4"/>
    </row>
    <row r="2250" spans="7:8" x14ac:dyDescent="0.3">
      <c r="G2250" s="4"/>
      <c r="H2250" s="4"/>
    </row>
    <row r="2251" spans="7:8" x14ac:dyDescent="0.3">
      <c r="G2251" s="4"/>
      <c r="H2251" s="4"/>
    </row>
    <row r="2252" spans="7:8" x14ac:dyDescent="0.3">
      <c r="G2252" s="4"/>
      <c r="H2252" s="4"/>
    </row>
    <row r="2253" spans="7:8" x14ac:dyDescent="0.3">
      <c r="G2253" s="4"/>
      <c r="H2253" s="4"/>
    </row>
    <row r="2254" spans="7:8" x14ac:dyDescent="0.3">
      <c r="G2254" s="4"/>
      <c r="H2254" s="4"/>
    </row>
    <row r="2255" spans="7:8" x14ac:dyDescent="0.3">
      <c r="G2255" s="4"/>
      <c r="H2255" s="4"/>
    </row>
    <row r="2256" spans="7:8" x14ac:dyDescent="0.3">
      <c r="G2256" s="4"/>
      <c r="H2256" s="4"/>
    </row>
    <row r="2257" spans="7:8" x14ac:dyDescent="0.3">
      <c r="G2257" s="4"/>
      <c r="H2257" s="4"/>
    </row>
    <row r="2258" spans="7:8" x14ac:dyDescent="0.3">
      <c r="G2258" s="4"/>
      <c r="H2258" s="4"/>
    </row>
    <row r="2259" spans="7:8" x14ac:dyDescent="0.3">
      <c r="G2259" s="4"/>
      <c r="H2259" s="4"/>
    </row>
    <row r="2260" spans="7:8" x14ac:dyDescent="0.3">
      <c r="G2260" s="4"/>
      <c r="H2260" s="4"/>
    </row>
    <row r="2261" spans="7:8" x14ac:dyDescent="0.3">
      <c r="G2261" s="4"/>
      <c r="H2261" s="4"/>
    </row>
    <row r="2262" spans="7:8" x14ac:dyDescent="0.3">
      <c r="G2262" s="4"/>
      <c r="H2262" s="4"/>
    </row>
    <row r="2263" spans="7:8" x14ac:dyDescent="0.3">
      <c r="G2263" s="4"/>
      <c r="H2263" s="4"/>
    </row>
    <row r="2264" spans="7:8" x14ac:dyDescent="0.3">
      <c r="G2264" s="4"/>
      <c r="H2264" s="4"/>
    </row>
    <row r="2265" spans="7:8" x14ac:dyDescent="0.3">
      <c r="G2265" s="4"/>
      <c r="H2265" s="4"/>
    </row>
    <row r="2266" spans="7:8" x14ac:dyDescent="0.3">
      <c r="G2266" s="4"/>
      <c r="H2266" s="4"/>
    </row>
    <row r="2267" spans="7:8" x14ac:dyDescent="0.3">
      <c r="G2267" s="4"/>
      <c r="H2267" s="4"/>
    </row>
    <row r="2268" spans="7:8" x14ac:dyDescent="0.3">
      <c r="G2268" s="4"/>
      <c r="H2268" s="4"/>
    </row>
    <row r="2269" spans="7:8" x14ac:dyDescent="0.3">
      <c r="G2269" s="4"/>
      <c r="H2269" s="4"/>
    </row>
    <row r="2270" spans="7:8" x14ac:dyDescent="0.3">
      <c r="G2270" s="4"/>
      <c r="H2270" s="4"/>
    </row>
    <row r="2271" spans="7:8" x14ac:dyDescent="0.3">
      <c r="G2271" s="4"/>
      <c r="H2271" s="4"/>
    </row>
    <row r="2272" spans="7:8" x14ac:dyDescent="0.3">
      <c r="G2272" s="4"/>
      <c r="H2272" s="4"/>
    </row>
    <row r="2273" spans="7:8" x14ac:dyDescent="0.3">
      <c r="G2273" s="4"/>
      <c r="H2273" s="4"/>
    </row>
    <row r="2274" spans="7:8" x14ac:dyDescent="0.3">
      <c r="G2274" s="4"/>
      <c r="H2274" s="4"/>
    </row>
    <row r="2275" spans="7:8" x14ac:dyDescent="0.3">
      <c r="G2275" s="4"/>
      <c r="H2275" s="4"/>
    </row>
    <row r="2276" spans="7:8" x14ac:dyDescent="0.3">
      <c r="G2276" s="4"/>
      <c r="H2276" s="4"/>
    </row>
    <row r="2277" spans="7:8" x14ac:dyDescent="0.3">
      <c r="G2277" s="4"/>
      <c r="H2277" s="4"/>
    </row>
    <row r="2278" spans="7:8" x14ac:dyDescent="0.3">
      <c r="G2278" s="4"/>
      <c r="H2278" s="4"/>
    </row>
    <row r="2279" spans="7:8" x14ac:dyDescent="0.3">
      <c r="G2279" s="4"/>
      <c r="H2279" s="4"/>
    </row>
    <row r="2280" spans="7:8" x14ac:dyDescent="0.3">
      <c r="G2280" s="4"/>
      <c r="H2280" s="4"/>
    </row>
    <row r="2281" spans="7:8" x14ac:dyDescent="0.3">
      <c r="G2281" s="4"/>
      <c r="H2281" s="4"/>
    </row>
    <row r="2282" spans="7:8" x14ac:dyDescent="0.3">
      <c r="G2282" s="4"/>
      <c r="H2282" s="4"/>
    </row>
    <row r="2283" spans="7:8" x14ac:dyDescent="0.3">
      <c r="G2283" s="4"/>
      <c r="H2283" s="4"/>
    </row>
    <row r="2284" spans="7:8" x14ac:dyDescent="0.3">
      <c r="G2284" s="4"/>
      <c r="H2284" s="4"/>
    </row>
    <row r="2285" spans="7:8" x14ac:dyDescent="0.3">
      <c r="G2285" s="4"/>
      <c r="H2285" s="4"/>
    </row>
    <row r="2286" spans="7:8" x14ac:dyDescent="0.3">
      <c r="G2286" s="4"/>
      <c r="H2286" s="4"/>
    </row>
    <row r="2287" spans="7:8" x14ac:dyDescent="0.3">
      <c r="G2287" s="4"/>
      <c r="H2287" s="4"/>
    </row>
    <row r="2288" spans="7:8" x14ac:dyDescent="0.3">
      <c r="G2288" s="4"/>
      <c r="H2288" s="4"/>
    </row>
    <row r="2289" spans="7:8" x14ac:dyDescent="0.3">
      <c r="G2289" s="4"/>
      <c r="H2289" s="4"/>
    </row>
    <row r="2290" spans="7:8" x14ac:dyDescent="0.3">
      <c r="G2290" s="4"/>
      <c r="H2290" s="4"/>
    </row>
    <row r="2291" spans="7:8" x14ac:dyDescent="0.3">
      <c r="G2291" s="4"/>
      <c r="H2291" s="4"/>
    </row>
    <row r="2292" spans="7:8" x14ac:dyDescent="0.3">
      <c r="G2292" s="4"/>
      <c r="H2292" s="4"/>
    </row>
    <row r="2293" spans="7:8" x14ac:dyDescent="0.3">
      <c r="G2293" s="4"/>
      <c r="H2293" s="4"/>
    </row>
    <row r="2294" spans="7:8" x14ac:dyDescent="0.3">
      <c r="G2294" s="4"/>
      <c r="H2294" s="4"/>
    </row>
    <row r="2295" spans="7:8" x14ac:dyDescent="0.3">
      <c r="G2295" s="4"/>
      <c r="H2295" s="4"/>
    </row>
    <row r="2296" spans="7:8" x14ac:dyDescent="0.3">
      <c r="G2296" s="4"/>
      <c r="H2296" s="4"/>
    </row>
    <row r="2297" spans="7:8" x14ac:dyDescent="0.3">
      <c r="G2297" s="4"/>
      <c r="H2297" s="4"/>
    </row>
    <row r="2298" spans="7:8" x14ac:dyDescent="0.3">
      <c r="G2298" s="4"/>
      <c r="H2298" s="4"/>
    </row>
    <row r="2299" spans="7:8" x14ac:dyDescent="0.3">
      <c r="G2299" s="4"/>
      <c r="H2299" s="4"/>
    </row>
    <row r="2300" spans="7:8" x14ac:dyDescent="0.3">
      <c r="G2300" s="4"/>
      <c r="H2300" s="4"/>
    </row>
    <row r="2301" spans="7:8" x14ac:dyDescent="0.3">
      <c r="G2301" s="4"/>
      <c r="H2301" s="4"/>
    </row>
    <row r="2302" spans="7:8" x14ac:dyDescent="0.3">
      <c r="G2302" s="4"/>
      <c r="H2302" s="4"/>
    </row>
    <row r="2303" spans="7:8" x14ac:dyDescent="0.3">
      <c r="G2303" s="4"/>
      <c r="H2303" s="4"/>
    </row>
    <row r="2304" spans="7:8" x14ac:dyDescent="0.3">
      <c r="G2304" s="4"/>
      <c r="H2304" s="4"/>
    </row>
    <row r="2305" spans="7:8" x14ac:dyDescent="0.3">
      <c r="G2305" s="4"/>
      <c r="H2305" s="4"/>
    </row>
    <row r="2306" spans="7:8" x14ac:dyDescent="0.3">
      <c r="G2306" s="4"/>
      <c r="H2306" s="4"/>
    </row>
    <row r="2307" spans="7:8" x14ac:dyDescent="0.3">
      <c r="G2307" s="4"/>
      <c r="H2307" s="4"/>
    </row>
    <row r="2308" spans="7:8" x14ac:dyDescent="0.3">
      <c r="G2308" s="4"/>
      <c r="H2308" s="4"/>
    </row>
    <row r="2309" spans="7:8" x14ac:dyDescent="0.3">
      <c r="G2309" s="4"/>
      <c r="H2309" s="4"/>
    </row>
    <row r="2310" spans="7:8" x14ac:dyDescent="0.3">
      <c r="G2310" s="4"/>
      <c r="H2310" s="4"/>
    </row>
    <row r="2311" spans="7:8" x14ac:dyDescent="0.3">
      <c r="G2311" s="4"/>
      <c r="H2311" s="4"/>
    </row>
    <row r="2312" spans="7:8" x14ac:dyDescent="0.3">
      <c r="G2312" s="4"/>
      <c r="H2312" s="4"/>
    </row>
    <row r="2313" spans="7:8" x14ac:dyDescent="0.3">
      <c r="G2313" s="4"/>
      <c r="H2313" s="4"/>
    </row>
    <row r="2314" spans="7:8" x14ac:dyDescent="0.3">
      <c r="G2314" s="4"/>
      <c r="H2314" s="4"/>
    </row>
    <row r="2315" spans="7:8" x14ac:dyDescent="0.3">
      <c r="G2315" s="4"/>
      <c r="H2315" s="4"/>
    </row>
    <row r="2316" spans="7:8" x14ac:dyDescent="0.3">
      <c r="G2316" s="4"/>
      <c r="H2316" s="4"/>
    </row>
    <row r="2317" spans="7:8" x14ac:dyDescent="0.3">
      <c r="G2317" s="4"/>
      <c r="H2317" s="4"/>
    </row>
    <row r="2318" spans="7:8" x14ac:dyDescent="0.3">
      <c r="G2318" s="4"/>
      <c r="H2318" s="4"/>
    </row>
    <row r="2319" spans="7:8" x14ac:dyDescent="0.3">
      <c r="G2319" s="4"/>
      <c r="H2319" s="4"/>
    </row>
    <row r="2320" spans="7:8" x14ac:dyDescent="0.3">
      <c r="G2320" s="4"/>
      <c r="H2320" s="4"/>
    </row>
    <row r="2321" spans="7:8" x14ac:dyDescent="0.3">
      <c r="G2321" s="4"/>
      <c r="H2321" s="4"/>
    </row>
    <row r="2322" spans="7:8" x14ac:dyDescent="0.3">
      <c r="G2322" s="4"/>
      <c r="H2322" s="4"/>
    </row>
    <row r="2323" spans="7:8" x14ac:dyDescent="0.3">
      <c r="G2323" s="4"/>
      <c r="H2323" s="4"/>
    </row>
    <row r="2324" spans="7:8" x14ac:dyDescent="0.3">
      <c r="G2324" s="4"/>
      <c r="H2324" s="4"/>
    </row>
    <row r="2325" spans="7:8" x14ac:dyDescent="0.3">
      <c r="G2325" s="4"/>
      <c r="H2325" s="4"/>
    </row>
    <row r="2326" spans="7:8" x14ac:dyDescent="0.3">
      <c r="G2326" s="4"/>
      <c r="H2326" s="4"/>
    </row>
    <row r="2327" spans="7:8" x14ac:dyDescent="0.3">
      <c r="G2327" s="4"/>
      <c r="H2327" s="4"/>
    </row>
    <row r="2328" spans="7:8" x14ac:dyDescent="0.3">
      <c r="G2328" s="4"/>
      <c r="H2328" s="4"/>
    </row>
    <row r="2329" spans="7:8" x14ac:dyDescent="0.3">
      <c r="G2329" s="4"/>
      <c r="H2329" s="4"/>
    </row>
    <row r="2330" spans="7:8" x14ac:dyDescent="0.3">
      <c r="G2330" s="4"/>
      <c r="H2330" s="4"/>
    </row>
    <row r="2331" spans="7:8" x14ac:dyDescent="0.3">
      <c r="G2331" s="4"/>
      <c r="H2331" s="4"/>
    </row>
    <row r="2332" spans="7:8" x14ac:dyDescent="0.3">
      <c r="G2332" s="4"/>
      <c r="H2332" s="4"/>
    </row>
    <row r="2333" spans="7:8" x14ac:dyDescent="0.3">
      <c r="G2333" s="4"/>
      <c r="H2333" s="4"/>
    </row>
    <row r="2334" spans="7:8" x14ac:dyDescent="0.3">
      <c r="G2334" s="4"/>
      <c r="H2334" s="4"/>
    </row>
    <row r="2335" spans="7:8" x14ac:dyDescent="0.3">
      <c r="G2335" s="4"/>
      <c r="H2335" s="4"/>
    </row>
    <row r="2336" spans="7:8" x14ac:dyDescent="0.3">
      <c r="G2336" s="4"/>
      <c r="H2336" s="4"/>
    </row>
    <row r="2337" spans="7:8" x14ac:dyDescent="0.3">
      <c r="G2337" s="4"/>
      <c r="H2337" s="4"/>
    </row>
    <row r="2338" spans="7:8" x14ac:dyDescent="0.3">
      <c r="G2338" s="4"/>
      <c r="H2338" s="4"/>
    </row>
    <row r="2339" spans="7:8" x14ac:dyDescent="0.3">
      <c r="G2339" s="4"/>
      <c r="H2339" s="4"/>
    </row>
    <row r="2340" spans="7:8" x14ac:dyDescent="0.3">
      <c r="G2340" s="4"/>
      <c r="H2340" s="4"/>
    </row>
    <row r="2341" spans="7:8" x14ac:dyDescent="0.3">
      <c r="G2341" s="4"/>
      <c r="H2341" s="4"/>
    </row>
    <row r="2342" spans="7:8" x14ac:dyDescent="0.3">
      <c r="G2342" s="4"/>
      <c r="H2342" s="4"/>
    </row>
    <row r="2343" spans="7:8" x14ac:dyDescent="0.3">
      <c r="G2343" s="4"/>
      <c r="H2343" s="4"/>
    </row>
    <row r="2344" spans="7:8" x14ac:dyDescent="0.3">
      <c r="G2344" s="4"/>
      <c r="H2344" s="4"/>
    </row>
    <row r="2345" spans="7:8" x14ac:dyDescent="0.3">
      <c r="G2345" s="4"/>
      <c r="H2345" s="4"/>
    </row>
    <row r="2346" spans="7:8" x14ac:dyDescent="0.3">
      <c r="G2346" s="4"/>
      <c r="H2346" s="4"/>
    </row>
    <row r="2347" spans="7:8" x14ac:dyDescent="0.3">
      <c r="G2347" s="4"/>
      <c r="H2347" s="4"/>
    </row>
    <row r="2348" spans="7:8" x14ac:dyDescent="0.3">
      <c r="G2348" s="4"/>
      <c r="H2348" s="4"/>
    </row>
    <row r="2349" spans="7:8" x14ac:dyDescent="0.3">
      <c r="G2349" s="4"/>
      <c r="H2349" s="4"/>
    </row>
    <row r="2350" spans="7:8" x14ac:dyDescent="0.3">
      <c r="G2350" s="4"/>
      <c r="H2350" s="4"/>
    </row>
    <row r="2351" spans="7:8" x14ac:dyDescent="0.3">
      <c r="G2351" s="4"/>
      <c r="H2351" s="4"/>
    </row>
    <row r="2352" spans="7:8" x14ac:dyDescent="0.3">
      <c r="G2352" s="4"/>
      <c r="H2352" s="4"/>
    </row>
    <row r="2353" spans="7:8" x14ac:dyDescent="0.3">
      <c r="G2353" s="4"/>
      <c r="H2353" s="4"/>
    </row>
    <row r="2354" spans="7:8" x14ac:dyDescent="0.3">
      <c r="G2354" s="4"/>
      <c r="H2354" s="4"/>
    </row>
    <row r="2355" spans="7:8" x14ac:dyDescent="0.3">
      <c r="G2355" s="4"/>
      <c r="H2355" s="4"/>
    </row>
    <row r="2356" spans="7:8" x14ac:dyDescent="0.3">
      <c r="G2356" s="4"/>
      <c r="H2356" s="4"/>
    </row>
    <row r="2357" spans="7:8" x14ac:dyDescent="0.3">
      <c r="G2357" s="4"/>
      <c r="H2357" s="4"/>
    </row>
    <row r="2358" spans="7:8" x14ac:dyDescent="0.3">
      <c r="G2358" s="4"/>
      <c r="H2358" s="4"/>
    </row>
    <row r="2359" spans="7:8" x14ac:dyDescent="0.3">
      <c r="G2359" s="4"/>
      <c r="H2359" s="4"/>
    </row>
    <row r="2360" spans="7:8" x14ac:dyDescent="0.3">
      <c r="G2360" s="4"/>
      <c r="H2360" s="4"/>
    </row>
    <row r="2361" spans="7:8" x14ac:dyDescent="0.3">
      <c r="G2361" s="4"/>
      <c r="H2361" s="4"/>
    </row>
    <row r="2362" spans="7:8" x14ac:dyDescent="0.3">
      <c r="G2362" s="4"/>
      <c r="H2362" s="4"/>
    </row>
    <row r="2363" spans="7:8" x14ac:dyDescent="0.3">
      <c r="G2363" s="4"/>
      <c r="H2363" s="4"/>
    </row>
    <row r="2364" spans="7:8" x14ac:dyDescent="0.3">
      <c r="G2364" s="4"/>
      <c r="H2364" s="4"/>
    </row>
    <row r="2365" spans="7:8" x14ac:dyDescent="0.3">
      <c r="G2365" s="4"/>
      <c r="H2365" s="4"/>
    </row>
    <row r="2366" spans="7:8" x14ac:dyDescent="0.3">
      <c r="G2366" s="4"/>
      <c r="H2366" s="4"/>
    </row>
    <row r="2367" spans="7:8" x14ac:dyDescent="0.3">
      <c r="G2367" s="4"/>
      <c r="H2367" s="4"/>
    </row>
    <row r="2368" spans="7:8" x14ac:dyDescent="0.3">
      <c r="G2368" s="4"/>
      <c r="H2368" s="4"/>
    </row>
    <row r="2369" spans="7:8" x14ac:dyDescent="0.3">
      <c r="G2369" s="4"/>
      <c r="H2369" s="4"/>
    </row>
    <row r="2370" spans="7:8" x14ac:dyDescent="0.3">
      <c r="G2370" s="4"/>
      <c r="H2370" s="4"/>
    </row>
    <row r="2371" spans="7:8" x14ac:dyDescent="0.3">
      <c r="G2371" s="4"/>
      <c r="H2371" s="4"/>
    </row>
    <row r="2372" spans="7:8" x14ac:dyDescent="0.3">
      <c r="G2372" s="4"/>
      <c r="H2372" s="4"/>
    </row>
    <row r="2373" spans="7:8" x14ac:dyDescent="0.3">
      <c r="G2373" s="4"/>
      <c r="H2373" s="4"/>
    </row>
    <row r="2374" spans="7:8" x14ac:dyDescent="0.3">
      <c r="G2374" s="4"/>
      <c r="H2374" s="4"/>
    </row>
    <row r="2375" spans="7:8" x14ac:dyDescent="0.3">
      <c r="G2375" s="4"/>
      <c r="H2375" s="4"/>
    </row>
    <row r="2376" spans="7:8" x14ac:dyDescent="0.3">
      <c r="G2376" s="4"/>
      <c r="H2376" s="4"/>
    </row>
    <row r="2377" spans="7:8" x14ac:dyDescent="0.3">
      <c r="G2377" s="4"/>
      <c r="H2377" s="4"/>
    </row>
    <row r="2378" spans="7:8" x14ac:dyDescent="0.3">
      <c r="G2378" s="4"/>
      <c r="H2378" s="4"/>
    </row>
    <row r="2379" spans="7:8" x14ac:dyDescent="0.3">
      <c r="G2379" s="4"/>
      <c r="H2379" s="4"/>
    </row>
    <row r="2380" spans="7:8" x14ac:dyDescent="0.3">
      <c r="G2380" s="4"/>
      <c r="H2380" s="4"/>
    </row>
    <row r="2381" spans="7:8" x14ac:dyDescent="0.3">
      <c r="G2381" s="4"/>
      <c r="H2381" s="4"/>
    </row>
    <row r="2382" spans="7:8" x14ac:dyDescent="0.3">
      <c r="G2382" s="4"/>
      <c r="H2382" s="4"/>
    </row>
    <row r="2383" spans="7:8" x14ac:dyDescent="0.3">
      <c r="G2383" s="4"/>
      <c r="H2383" s="4"/>
    </row>
    <row r="2384" spans="7:8" x14ac:dyDescent="0.3">
      <c r="G2384" s="4"/>
      <c r="H2384" s="4"/>
    </row>
    <row r="2385" spans="7:8" x14ac:dyDescent="0.3">
      <c r="G2385" s="4"/>
      <c r="H2385" s="4"/>
    </row>
    <row r="2386" spans="7:8" x14ac:dyDescent="0.3">
      <c r="G2386" s="4"/>
      <c r="H2386" s="4"/>
    </row>
    <row r="2387" spans="7:8" x14ac:dyDescent="0.3">
      <c r="G2387" s="4"/>
      <c r="H2387" s="4"/>
    </row>
    <row r="2388" spans="7:8" x14ac:dyDescent="0.3">
      <c r="G2388" s="4"/>
      <c r="H2388" s="4"/>
    </row>
    <row r="2389" spans="7:8" x14ac:dyDescent="0.3">
      <c r="G2389" s="4"/>
      <c r="H2389" s="4"/>
    </row>
    <row r="2390" spans="7:8" x14ac:dyDescent="0.3">
      <c r="G2390" s="4"/>
      <c r="H2390" s="4"/>
    </row>
    <row r="2391" spans="7:8" x14ac:dyDescent="0.3">
      <c r="G2391" s="4"/>
      <c r="H2391" s="4"/>
    </row>
    <row r="2392" spans="7:8" x14ac:dyDescent="0.3">
      <c r="G2392" s="4"/>
      <c r="H2392" s="4"/>
    </row>
    <row r="2393" spans="7:8" x14ac:dyDescent="0.3">
      <c r="G2393" s="4"/>
      <c r="H2393" s="4"/>
    </row>
    <row r="2394" spans="7:8" x14ac:dyDescent="0.3">
      <c r="G2394" s="4"/>
      <c r="H2394" s="4"/>
    </row>
    <row r="2395" spans="7:8" x14ac:dyDescent="0.3">
      <c r="G2395" s="4"/>
      <c r="H2395" s="4"/>
    </row>
    <row r="2396" spans="7:8" x14ac:dyDescent="0.3">
      <c r="G2396" s="4"/>
      <c r="H2396" s="4"/>
    </row>
    <row r="2397" spans="7:8" x14ac:dyDescent="0.3">
      <c r="G2397" s="4"/>
      <c r="H2397" s="4"/>
    </row>
    <row r="2398" spans="7:8" x14ac:dyDescent="0.3">
      <c r="G2398" s="4"/>
      <c r="H2398" s="4"/>
    </row>
    <row r="2399" spans="7:8" x14ac:dyDescent="0.3">
      <c r="G2399" s="4"/>
      <c r="H2399" s="4"/>
    </row>
    <row r="2400" spans="7:8" x14ac:dyDescent="0.3">
      <c r="G2400" s="4"/>
      <c r="H2400" s="4"/>
    </row>
    <row r="2401" spans="7:8" x14ac:dyDescent="0.3">
      <c r="G2401" s="4"/>
      <c r="H2401" s="4"/>
    </row>
    <row r="2402" spans="7:8" x14ac:dyDescent="0.3">
      <c r="G2402" s="4"/>
      <c r="H2402" s="4"/>
    </row>
    <row r="2403" spans="7:8" x14ac:dyDescent="0.3">
      <c r="G2403" s="4"/>
      <c r="H2403" s="4"/>
    </row>
    <row r="2404" spans="7:8" x14ac:dyDescent="0.3">
      <c r="G2404" s="4"/>
      <c r="H2404" s="4"/>
    </row>
    <row r="2405" spans="7:8" x14ac:dyDescent="0.3">
      <c r="G2405" s="4"/>
      <c r="H2405" s="4"/>
    </row>
    <row r="2406" spans="7:8" x14ac:dyDescent="0.3">
      <c r="G2406" s="4"/>
      <c r="H2406" s="4"/>
    </row>
    <row r="2407" spans="7:8" x14ac:dyDescent="0.3">
      <c r="G2407" s="4"/>
      <c r="H2407" s="4"/>
    </row>
    <row r="2408" spans="7:8" x14ac:dyDescent="0.3">
      <c r="G2408" s="4"/>
      <c r="H2408" s="4"/>
    </row>
    <row r="2409" spans="7:8" x14ac:dyDescent="0.3">
      <c r="G2409" s="4"/>
      <c r="H2409" s="4"/>
    </row>
    <row r="2410" spans="7:8" x14ac:dyDescent="0.3">
      <c r="G2410" s="4"/>
      <c r="H2410" s="4"/>
    </row>
    <row r="2411" spans="7:8" x14ac:dyDescent="0.3">
      <c r="G2411" s="4"/>
      <c r="H2411" s="4"/>
    </row>
    <row r="2412" spans="7:8" x14ac:dyDescent="0.3">
      <c r="G2412" s="4"/>
      <c r="H2412" s="4"/>
    </row>
    <row r="2413" spans="7:8" x14ac:dyDescent="0.3">
      <c r="G2413" s="4"/>
      <c r="H2413" s="4"/>
    </row>
    <row r="2414" spans="7:8" x14ac:dyDescent="0.3">
      <c r="G2414" s="4"/>
      <c r="H2414" s="4"/>
    </row>
    <row r="2415" spans="7:8" x14ac:dyDescent="0.3">
      <c r="G2415" s="4"/>
      <c r="H2415" s="4"/>
    </row>
    <row r="2416" spans="7:8" x14ac:dyDescent="0.3">
      <c r="G2416" s="4"/>
      <c r="H2416" s="4"/>
    </row>
    <row r="2417" spans="7:8" x14ac:dyDescent="0.3">
      <c r="G2417" s="4"/>
      <c r="H2417" s="4"/>
    </row>
    <row r="2418" spans="7:8" x14ac:dyDescent="0.3">
      <c r="G2418" s="4"/>
      <c r="H2418" s="4"/>
    </row>
    <row r="2419" spans="7:8" x14ac:dyDescent="0.3">
      <c r="G2419" s="4"/>
      <c r="H2419" s="4"/>
    </row>
    <row r="2420" spans="7:8" x14ac:dyDescent="0.3">
      <c r="G2420" s="4"/>
      <c r="H2420" s="4"/>
    </row>
    <row r="2421" spans="7:8" x14ac:dyDescent="0.3">
      <c r="G2421" s="4"/>
      <c r="H2421" s="4"/>
    </row>
    <row r="2422" spans="7:8" x14ac:dyDescent="0.3">
      <c r="G2422" s="4"/>
      <c r="H2422" s="4"/>
    </row>
    <row r="2423" spans="7:8" x14ac:dyDescent="0.3">
      <c r="G2423" s="4"/>
      <c r="H2423" s="4"/>
    </row>
    <row r="2424" spans="7:8" x14ac:dyDescent="0.3">
      <c r="G2424" s="4"/>
      <c r="H2424" s="4"/>
    </row>
    <row r="2425" spans="7:8" x14ac:dyDescent="0.3">
      <c r="G2425" s="4"/>
      <c r="H2425" s="4"/>
    </row>
    <row r="2426" spans="7:8" x14ac:dyDescent="0.3">
      <c r="G2426" s="4"/>
      <c r="H2426" s="4"/>
    </row>
    <row r="2427" spans="7:8" x14ac:dyDescent="0.3">
      <c r="G2427" s="4"/>
      <c r="H2427" s="4"/>
    </row>
    <row r="2428" spans="7:8" x14ac:dyDescent="0.3">
      <c r="G2428" s="4"/>
      <c r="H2428" s="4"/>
    </row>
    <row r="2429" spans="7:8" x14ac:dyDescent="0.3">
      <c r="G2429" s="4"/>
      <c r="H2429" s="4"/>
    </row>
    <row r="2430" spans="7:8" x14ac:dyDescent="0.3">
      <c r="G2430" s="4"/>
      <c r="H2430" s="4"/>
    </row>
    <row r="2431" spans="7:8" x14ac:dyDescent="0.3">
      <c r="G2431" s="4"/>
      <c r="H2431" s="4"/>
    </row>
    <row r="2432" spans="7:8" x14ac:dyDescent="0.3">
      <c r="G2432" s="4"/>
      <c r="H2432" s="4"/>
    </row>
    <row r="2433" spans="7:8" x14ac:dyDescent="0.3">
      <c r="G2433" s="4"/>
      <c r="H2433" s="4"/>
    </row>
    <row r="2434" spans="7:8" x14ac:dyDescent="0.3">
      <c r="G2434" s="4"/>
      <c r="H2434" s="4"/>
    </row>
    <row r="2435" spans="7:8" x14ac:dyDescent="0.3">
      <c r="G2435" s="4"/>
      <c r="H2435" s="4"/>
    </row>
    <row r="2436" spans="7:8" x14ac:dyDescent="0.3">
      <c r="G2436" s="4"/>
      <c r="H2436" s="4"/>
    </row>
    <row r="2437" spans="7:8" x14ac:dyDescent="0.3">
      <c r="G2437" s="4"/>
      <c r="H2437" s="4"/>
    </row>
    <row r="2438" spans="7:8" x14ac:dyDescent="0.3">
      <c r="G2438" s="4"/>
      <c r="H2438" s="4"/>
    </row>
    <row r="2439" spans="7:8" x14ac:dyDescent="0.3">
      <c r="G2439" s="4"/>
      <c r="H2439" s="4"/>
    </row>
    <row r="2440" spans="7:8" x14ac:dyDescent="0.3">
      <c r="G2440" s="4"/>
      <c r="H2440" s="4"/>
    </row>
    <row r="2441" spans="7:8" x14ac:dyDescent="0.3">
      <c r="G2441" s="4"/>
      <c r="H2441" s="4"/>
    </row>
    <row r="2442" spans="7:8" x14ac:dyDescent="0.3">
      <c r="G2442" s="4"/>
      <c r="H2442" s="4"/>
    </row>
    <row r="2443" spans="7:8" x14ac:dyDescent="0.3">
      <c r="G2443" s="4"/>
      <c r="H2443" s="4"/>
    </row>
    <row r="2444" spans="7:8" x14ac:dyDescent="0.3">
      <c r="G2444" s="4"/>
      <c r="H2444" s="4"/>
    </row>
    <row r="2445" spans="7:8" x14ac:dyDescent="0.3">
      <c r="G2445" s="4"/>
      <c r="H2445" s="4"/>
    </row>
    <row r="2446" spans="7:8" x14ac:dyDescent="0.3">
      <c r="G2446" s="4"/>
      <c r="H2446" s="4"/>
    </row>
    <row r="2447" spans="7:8" x14ac:dyDescent="0.3">
      <c r="G2447" s="4"/>
      <c r="H2447" s="4"/>
    </row>
    <row r="2448" spans="7:8" x14ac:dyDescent="0.3">
      <c r="G2448" s="4"/>
      <c r="H2448" s="4"/>
    </row>
    <row r="2449" spans="7:8" x14ac:dyDescent="0.3">
      <c r="G2449" s="4"/>
      <c r="H2449" s="4"/>
    </row>
    <row r="2450" spans="7:8" x14ac:dyDescent="0.3">
      <c r="G2450" s="4"/>
      <c r="H2450" s="4"/>
    </row>
    <row r="2451" spans="7:8" x14ac:dyDescent="0.3">
      <c r="G2451" s="4"/>
      <c r="H2451" s="4"/>
    </row>
    <row r="2452" spans="7:8" x14ac:dyDescent="0.3">
      <c r="G2452" s="4"/>
      <c r="H2452" s="4"/>
    </row>
    <row r="2453" spans="7:8" x14ac:dyDescent="0.3">
      <c r="G2453" s="4"/>
      <c r="H2453" s="4"/>
    </row>
    <row r="2454" spans="7:8" x14ac:dyDescent="0.3">
      <c r="G2454" s="4"/>
      <c r="H2454" s="4"/>
    </row>
    <row r="2455" spans="7:8" x14ac:dyDescent="0.3">
      <c r="G2455" s="4"/>
      <c r="H2455" s="4"/>
    </row>
    <row r="2456" spans="7:8" x14ac:dyDescent="0.3">
      <c r="G2456" s="4"/>
      <c r="H2456" s="4"/>
    </row>
    <row r="2457" spans="7:8" x14ac:dyDescent="0.3">
      <c r="G2457" s="4"/>
      <c r="H2457" s="4"/>
    </row>
    <row r="2458" spans="7:8" x14ac:dyDescent="0.3">
      <c r="G2458" s="4"/>
      <c r="H2458" s="4"/>
    </row>
    <row r="2459" spans="7:8" x14ac:dyDescent="0.3">
      <c r="G2459" s="4"/>
      <c r="H2459" s="4"/>
    </row>
    <row r="2460" spans="7:8" x14ac:dyDescent="0.3">
      <c r="G2460" s="4"/>
      <c r="H2460" s="4"/>
    </row>
    <row r="2461" spans="7:8" x14ac:dyDescent="0.3">
      <c r="G2461" s="4"/>
      <c r="H2461" s="4"/>
    </row>
    <row r="2462" spans="7:8" x14ac:dyDescent="0.3">
      <c r="G2462" s="4"/>
      <c r="H2462" s="4"/>
    </row>
    <row r="2463" spans="7:8" x14ac:dyDescent="0.3">
      <c r="G2463" s="4"/>
      <c r="H2463" s="4"/>
    </row>
    <row r="2464" spans="7:8" x14ac:dyDescent="0.3">
      <c r="G2464" s="4"/>
      <c r="H2464" s="4"/>
    </row>
    <row r="2465" spans="7:8" x14ac:dyDescent="0.3">
      <c r="G2465" s="4"/>
      <c r="H2465" s="4"/>
    </row>
    <row r="2466" spans="7:8" x14ac:dyDescent="0.3">
      <c r="G2466" s="4"/>
      <c r="H2466" s="4"/>
    </row>
    <row r="2467" spans="7:8" x14ac:dyDescent="0.3">
      <c r="G2467" s="4"/>
      <c r="H2467" s="4"/>
    </row>
    <row r="2468" spans="7:8" x14ac:dyDescent="0.3">
      <c r="G2468" s="4"/>
      <c r="H2468" s="4"/>
    </row>
    <row r="2469" spans="7:8" x14ac:dyDescent="0.3">
      <c r="G2469" s="4"/>
      <c r="H2469" s="4"/>
    </row>
    <row r="2470" spans="7:8" x14ac:dyDescent="0.3">
      <c r="G2470" s="4"/>
      <c r="H2470" s="4"/>
    </row>
    <row r="2471" spans="7:8" x14ac:dyDescent="0.3">
      <c r="G2471" s="4"/>
      <c r="H2471" s="4"/>
    </row>
    <row r="2472" spans="7:8" x14ac:dyDescent="0.3">
      <c r="G2472" s="4"/>
      <c r="H2472" s="4"/>
    </row>
    <row r="2473" spans="7:8" x14ac:dyDescent="0.3">
      <c r="G2473" s="4"/>
      <c r="H2473" s="4"/>
    </row>
    <row r="2474" spans="7:8" x14ac:dyDescent="0.3">
      <c r="G2474" s="4"/>
      <c r="H2474" s="4"/>
    </row>
    <row r="2475" spans="7:8" x14ac:dyDescent="0.3">
      <c r="G2475" s="4"/>
      <c r="H2475" s="4"/>
    </row>
    <row r="2476" spans="7:8" x14ac:dyDescent="0.3">
      <c r="G2476" s="4"/>
      <c r="H2476" s="4"/>
    </row>
    <row r="2477" spans="7:8" x14ac:dyDescent="0.3">
      <c r="G2477" s="4"/>
      <c r="H2477" s="4"/>
    </row>
    <row r="2478" spans="7:8" x14ac:dyDescent="0.3">
      <c r="G2478" s="4"/>
      <c r="H2478" s="4"/>
    </row>
    <row r="2479" spans="7:8" x14ac:dyDescent="0.3">
      <c r="G2479" s="4"/>
      <c r="H2479" s="4"/>
    </row>
    <row r="2480" spans="7:8" x14ac:dyDescent="0.3">
      <c r="G2480" s="4"/>
      <c r="H2480" s="4"/>
    </row>
    <row r="2481" spans="7:8" x14ac:dyDescent="0.3">
      <c r="G2481" s="4"/>
      <c r="H2481" s="4"/>
    </row>
    <row r="2482" spans="7:8" x14ac:dyDescent="0.3">
      <c r="G2482" s="4"/>
      <c r="H2482" s="4"/>
    </row>
    <row r="2483" spans="7:8" x14ac:dyDescent="0.3">
      <c r="G2483" s="4"/>
      <c r="H2483" s="4"/>
    </row>
    <row r="2484" spans="7:8" x14ac:dyDescent="0.3">
      <c r="G2484" s="4"/>
      <c r="H2484" s="4"/>
    </row>
    <row r="2485" spans="7:8" x14ac:dyDescent="0.3">
      <c r="G2485" s="4"/>
      <c r="H2485" s="4"/>
    </row>
    <row r="2486" spans="7:8" x14ac:dyDescent="0.3">
      <c r="G2486" s="4"/>
      <c r="H2486" s="4"/>
    </row>
    <row r="2487" spans="7:8" x14ac:dyDescent="0.3">
      <c r="G2487" s="4"/>
      <c r="H2487" s="4"/>
    </row>
    <row r="2488" spans="7:8" x14ac:dyDescent="0.3">
      <c r="G2488" s="4"/>
      <c r="H2488" s="4"/>
    </row>
    <row r="2489" spans="7:8" x14ac:dyDescent="0.3">
      <c r="G2489" s="4"/>
      <c r="H2489" s="4"/>
    </row>
    <row r="2490" spans="7:8" x14ac:dyDescent="0.3">
      <c r="G2490" s="4"/>
      <c r="H2490" s="4"/>
    </row>
    <row r="2491" spans="7:8" x14ac:dyDescent="0.3">
      <c r="G2491" s="4"/>
      <c r="H2491" s="4"/>
    </row>
    <row r="2492" spans="7:8" x14ac:dyDescent="0.3">
      <c r="G2492" s="4"/>
      <c r="H2492" s="4"/>
    </row>
    <row r="2493" spans="7:8" x14ac:dyDescent="0.3">
      <c r="G2493" s="4"/>
      <c r="H2493" s="4"/>
    </row>
    <row r="2494" spans="7:8" x14ac:dyDescent="0.3">
      <c r="G2494" s="4"/>
      <c r="H2494" s="4"/>
    </row>
    <row r="2495" spans="7:8" x14ac:dyDescent="0.3">
      <c r="G2495" s="4"/>
      <c r="H2495" s="4"/>
    </row>
    <row r="2496" spans="7:8" x14ac:dyDescent="0.3">
      <c r="G2496" s="4"/>
      <c r="H2496" s="4"/>
    </row>
    <row r="2497" spans="7:8" x14ac:dyDescent="0.3">
      <c r="G2497" s="4"/>
      <c r="H2497" s="4"/>
    </row>
    <row r="2498" spans="7:8" x14ac:dyDescent="0.3">
      <c r="G2498" s="4"/>
      <c r="H2498" s="4"/>
    </row>
    <row r="2499" spans="7:8" x14ac:dyDescent="0.3">
      <c r="G2499" s="4"/>
      <c r="H2499" s="4"/>
    </row>
    <row r="2500" spans="7:8" x14ac:dyDescent="0.3">
      <c r="G2500" s="4"/>
      <c r="H2500" s="4"/>
    </row>
    <row r="2501" spans="7:8" x14ac:dyDescent="0.3">
      <c r="G2501" s="4"/>
      <c r="H2501" s="4"/>
    </row>
    <row r="2502" spans="7:8" x14ac:dyDescent="0.3">
      <c r="G2502" s="4"/>
      <c r="H2502" s="4"/>
    </row>
    <row r="2503" spans="7:8" x14ac:dyDescent="0.3">
      <c r="G2503" s="4"/>
      <c r="H2503" s="4"/>
    </row>
    <row r="2504" spans="7:8" x14ac:dyDescent="0.3">
      <c r="G2504" s="4"/>
      <c r="H2504" s="4"/>
    </row>
    <row r="2505" spans="7:8" x14ac:dyDescent="0.3">
      <c r="G2505" s="4"/>
      <c r="H2505" s="4"/>
    </row>
    <row r="2506" spans="7:8" x14ac:dyDescent="0.3">
      <c r="G2506" s="4"/>
      <c r="H2506" s="4"/>
    </row>
    <row r="2507" spans="7:8" x14ac:dyDescent="0.3">
      <c r="G2507" s="4"/>
      <c r="H2507" s="4"/>
    </row>
    <row r="2508" spans="7:8" x14ac:dyDescent="0.3">
      <c r="G2508" s="4"/>
      <c r="H2508" s="4"/>
    </row>
    <row r="2509" spans="7:8" x14ac:dyDescent="0.3">
      <c r="G2509" s="4"/>
      <c r="H2509" s="4"/>
    </row>
    <row r="2510" spans="7:8" x14ac:dyDescent="0.3">
      <c r="G2510" s="4"/>
      <c r="H2510" s="4"/>
    </row>
    <row r="2511" spans="7:8" x14ac:dyDescent="0.3">
      <c r="G2511" s="4"/>
      <c r="H2511" s="4"/>
    </row>
    <row r="2512" spans="7:8" x14ac:dyDescent="0.3">
      <c r="G2512" s="4"/>
      <c r="H2512" s="4"/>
    </row>
    <row r="2513" spans="7:8" x14ac:dyDescent="0.3">
      <c r="G2513" s="4"/>
      <c r="H2513" s="4"/>
    </row>
    <row r="2514" spans="7:8" x14ac:dyDescent="0.3">
      <c r="G2514" s="4"/>
      <c r="H2514" s="4"/>
    </row>
    <row r="2515" spans="7:8" x14ac:dyDescent="0.3">
      <c r="G2515" s="4"/>
      <c r="H2515" s="4"/>
    </row>
    <row r="2516" spans="7:8" x14ac:dyDescent="0.3">
      <c r="G2516" s="4"/>
      <c r="H2516" s="4"/>
    </row>
    <row r="2517" spans="7:8" x14ac:dyDescent="0.3">
      <c r="G2517" s="4"/>
      <c r="H2517" s="4"/>
    </row>
    <row r="2518" spans="7:8" x14ac:dyDescent="0.3">
      <c r="G2518" s="4"/>
      <c r="H2518" s="4"/>
    </row>
    <row r="2519" spans="7:8" x14ac:dyDescent="0.3">
      <c r="G2519" s="4"/>
      <c r="H2519" s="4"/>
    </row>
    <row r="2520" spans="7:8" x14ac:dyDescent="0.3">
      <c r="G2520" s="4"/>
      <c r="H2520" s="4"/>
    </row>
    <row r="2521" spans="7:8" x14ac:dyDescent="0.3">
      <c r="G2521" s="4"/>
      <c r="H2521" s="4"/>
    </row>
    <row r="2522" spans="7:8" x14ac:dyDescent="0.3">
      <c r="G2522" s="4"/>
      <c r="H2522" s="4"/>
    </row>
    <row r="2523" spans="7:8" x14ac:dyDescent="0.3">
      <c r="G2523" s="4"/>
      <c r="H2523" s="4"/>
    </row>
    <row r="2524" spans="7:8" x14ac:dyDescent="0.3">
      <c r="G2524" s="4"/>
      <c r="H2524" s="4"/>
    </row>
    <row r="2525" spans="7:8" x14ac:dyDescent="0.3">
      <c r="G2525" s="4"/>
      <c r="H2525" s="4"/>
    </row>
    <row r="2526" spans="7:8" x14ac:dyDescent="0.3">
      <c r="G2526" s="4"/>
      <c r="H2526" s="4"/>
    </row>
    <row r="2527" spans="7:8" x14ac:dyDescent="0.3">
      <c r="G2527" s="4"/>
      <c r="H2527" s="4"/>
    </row>
    <row r="2528" spans="7:8" x14ac:dyDescent="0.3">
      <c r="G2528" s="4"/>
      <c r="H2528" s="4"/>
    </row>
    <row r="2529" spans="7:8" x14ac:dyDescent="0.3">
      <c r="G2529" s="4"/>
      <c r="H2529" s="4"/>
    </row>
    <row r="2530" spans="7:8" x14ac:dyDescent="0.3">
      <c r="G2530" s="4"/>
      <c r="H2530" s="4"/>
    </row>
    <row r="2531" spans="7:8" x14ac:dyDescent="0.3">
      <c r="G2531" s="4"/>
      <c r="H2531" s="4"/>
    </row>
    <row r="2532" spans="7:8" x14ac:dyDescent="0.3">
      <c r="G2532" s="4"/>
      <c r="H2532" s="4"/>
    </row>
    <row r="2533" spans="7:8" x14ac:dyDescent="0.3">
      <c r="G2533" s="4"/>
      <c r="H2533" s="4"/>
    </row>
    <row r="2534" spans="7:8" x14ac:dyDescent="0.3">
      <c r="G2534" s="4"/>
      <c r="H2534" s="4"/>
    </row>
    <row r="2535" spans="7:8" x14ac:dyDescent="0.3">
      <c r="G2535" s="4"/>
      <c r="H2535" s="4"/>
    </row>
    <row r="2536" spans="7:8" x14ac:dyDescent="0.3">
      <c r="G2536" s="4"/>
      <c r="H2536" s="4"/>
    </row>
    <row r="2537" spans="7:8" x14ac:dyDescent="0.3">
      <c r="G2537" s="4"/>
      <c r="H2537" s="4"/>
    </row>
    <row r="2538" spans="7:8" x14ac:dyDescent="0.3">
      <c r="G2538" s="4"/>
      <c r="H2538" s="4"/>
    </row>
    <row r="2539" spans="7:8" x14ac:dyDescent="0.3">
      <c r="G2539" s="4"/>
      <c r="H2539" s="4"/>
    </row>
    <row r="2540" spans="7:8" x14ac:dyDescent="0.3">
      <c r="G2540" s="4"/>
      <c r="H2540" s="4"/>
    </row>
    <row r="2541" spans="7:8" x14ac:dyDescent="0.3">
      <c r="G2541" s="4"/>
      <c r="H2541" s="4"/>
    </row>
    <row r="2542" spans="7:8" x14ac:dyDescent="0.3">
      <c r="G2542" s="4"/>
      <c r="H2542" s="4"/>
    </row>
    <row r="2543" spans="7:8" x14ac:dyDescent="0.3">
      <c r="G2543" s="4"/>
      <c r="H2543" s="4"/>
    </row>
    <row r="2544" spans="7:8" x14ac:dyDescent="0.3">
      <c r="G2544" s="4"/>
      <c r="H2544" s="4"/>
    </row>
    <row r="2545" spans="7:8" x14ac:dyDescent="0.3">
      <c r="G2545" s="4"/>
      <c r="H2545" s="4"/>
    </row>
    <row r="2546" spans="7:8" x14ac:dyDescent="0.3">
      <c r="G2546" s="4"/>
      <c r="H2546" s="4"/>
    </row>
    <row r="2547" spans="7:8" x14ac:dyDescent="0.3">
      <c r="G2547" s="4"/>
      <c r="H2547" s="4"/>
    </row>
    <row r="2548" spans="7:8" x14ac:dyDescent="0.3">
      <c r="G2548" s="4"/>
      <c r="H2548" s="4"/>
    </row>
    <row r="2549" spans="7:8" x14ac:dyDescent="0.3">
      <c r="G2549" s="4"/>
      <c r="H2549" s="4"/>
    </row>
    <row r="2550" spans="7:8" x14ac:dyDescent="0.3">
      <c r="G2550" s="4"/>
      <c r="H2550" s="4"/>
    </row>
    <row r="2551" spans="7:8" x14ac:dyDescent="0.3">
      <c r="G2551" s="4"/>
      <c r="H2551" s="4"/>
    </row>
    <row r="2552" spans="7:8" x14ac:dyDescent="0.3">
      <c r="G2552" s="4"/>
      <c r="H2552" s="4"/>
    </row>
    <row r="2553" spans="7:8" x14ac:dyDescent="0.3">
      <c r="G2553" s="4"/>
      <c r="H2553" s="4"/>
    </row>
    <row r="2554" spans="7:8" x14ac:dyDescent="0.3">
      <c r="G2554" s="4"/>
      <c r="H2554" s="4"/>
    </row>
    <row r="2555" spans="7:8" x14ac:dyDescent="0.3">
      <c r="G2555" s="4"/>
      <c r="H2555" s="4"/>
    </row>
    <row r="2556" spans="7:8" x14ac:dyDescent="0.3">
      <c r="G2556" s="4"/>
      <c r="H2556" s="4"/>
    </row>
    <row r="2557" spans="7:8" x14ac:dyDescent="0.3">
      <c r="G2557" s="4"/>
      <c r="H2557" s="4"/>
    </row>
    <row r="2558" spans="7:8" x14ac:dyDescent="0.3">
      <c r="G2558" s="4"/>
      <c r="H2558" s="4"/>
    </row>
    <row r="2559" spans="7:8" x14ac:dyDescent="0.3">
      <c r="G2559" s="4"/>
      <c r="H2559" s="4"/>
    </row>
    <row r="2560" spans="7:8" x14ac:dyDescent="0.3">
      <c r="G2560" s="4"/>
      <c r="H2560" s="4"/>
    </row>
    <row r="2561" spans="7:8" x14ac:dyDescent="0.3">
      <c r="G2561" s="4"/>
      <c r="H2561" s="4"/>
    </row>
    <row r="2562" spans="7:8" x14ac:dyDescent="0.3">
      <c r="G2562" s="4"/>
      <c r="H2562" s="4"/>
    </row>
    <row r="2563" spans="7:8" x14ac:dyDescent="0.3">
      <c r="G2563" s="4"/>
      <c r="H2563" s="4"/>
    </row>
    <row r="2564" spans="7:8" x14ac:dyDescent="0.3">
      <c r="G2564" s="4"/>
      <c r="H2564" s="4"/>
    </row>
    <row r="2565" spans="7:8" x14ac:dyDescent="0.3">
      <c r="G2565" s="4"/>
      <c r="H2565" s="4"/>
    </row>
    <row r="2566" spans="7:8" x14ac:dyDescent="0.3">
      <c r="G2566" s="4"/>
      <c r="H2566" s="4"/>
    </row>
    <row r="2567" spans="7:8" x14ac:dyDescent="0.3">
      <c r="G2567" s="4"/>
      <c r="H2567" s="4"/>
    </row>
    <row r="2568" spans="7:8" x14ac:dyDescent="0.3">
      <c r="G2568" s="4"/>
      <c r="H2568" s="4"/>
    </row>
    <row r="2569" spans="7:8" x14ac:dyDescent="0.3">
      <c r="G2569" s="4"/>
      <c r="H2569" s="4"/>
    </row>
    <row r="2570" spans="7:8" x14ac:dyDescent="0.3">
      <c r="G2570" s="4"/>
      <c r="H2570" s="4"/>
    </row>
    <row r="2571" spans="7:8" x14ac:dyDescent="0.3">
      <c r="G2571" s="4"/>
      <c r="H2571" s="4"/>
    </row>
    <row r="2572" spans="7:8" x14ac:dyDescent="0.3">
      <c r="G2572" s="4"/>
      <c r="H2572" s="4"/>
    </row>
    <row r="2573" spans="7:8" x14ac:dyDescent="0.3">
      <c r="G2573" s="4"/>
      <c r="H2573" s="4"/>
    </row>
    <row r="2574" spans="7:8" x14ac:dyDescent="0.3">
      <c r="G2574" s="4"/>
      <c r="H2574" s="4"/>
    </row>
    <row r="2575" spans="7:8" x14ac:dyDescent="0.3">
      <c r="G2575" s="4"/>
      <c r="H2575" s="4"/>
    </row>
    <row r="2576" spans="7:8" x14ac:dyDescent="0.3">
      <c r="G2576" s="4"/>
      <c r="H2576" s="4"/>
    </row>
    <row r="2577" spans="7:8" x14ac:dyDescent="0.3">
      <c r="G2577" s="4"/>
      <c r="H2577" s="4"/>
    </row>
    <row r="2578" spans="7:8" x14ac:dyDescent="0.3">
      <c r="G2578" s="4"/>
      <c r="H2578" s="4"/>
    </row>
    <row r="2579" spans="7:8" x14ac:dyDescent="0.3">
      <c r="G2579" s="4"/>
      <c r="H2579" s="4"/>
    </row>
    <row r="2580" spans="7:8" x14ac:dyDescent="0.3">
      <c r="G2580" s="4"/>
      <c r="H2580" s="4"/>
    </row>
    <row r="2581" spans="7:8" x14ac:dyDescent="0.3">
      <c r="G2581" s="4"/>
      <c r="H2581" s="4"/>
    </row>
    <row r="2582" spans="7:8" x14ac:dyDescent="0.3">
      <c r="G2582" s="4"/>
      <c r="H2582" s="4"/>
    </row>
    <row r="2583" spans="7:8" x14ac:dyDescent="0.3">
      <c r="G2583" s="4"/>
      <c r="H2583" s="4"/>
    </row>
    <row r="2584" spans="7:8" x14ac:dyDescent="0.3">
      <c r="G2584" s="4"/>
      <c r="H2584" s="4"/>
    </row>
    <row r="2585" spans="7:8" x14ac:dyDescent="0.3">
      <c r="G2585" s="4"/>
      <c r="H2585" s="4"/>
    </row>
    <row r="2586" spans="7:8" x14ac:dyDescent="0.3">
      <c r="G2586" s="4"/>
      <c r="H2586" s="4"/>
    </row>
    <row r="2587" spans="7:8" x14ac:dyDescent="0.3">
      <c r="G2587" s="4"/>
      <c r="H2587" s="4"/>
    </row>
    <row r="2588" spans="7:8" x14ac:dyDescent="0.3">
      <c r="G2588" s="4"/>
      <c r="H2588" s="4"/>
    </row>
    <row r="2589" spans="7:8" x14ac:dyDescent="0.3">
      <c r="G2589" s="4"/>
      <c r="H2589" s="4"/>
    </row>
    <row r="2590" spans="7:8" x14ac:dyDescent="0.3">
      <c r="G2590" s="4"/>
      <c r="H2590" s="4"/>
    </row>
    <row r="2591" spans="7:8" x14ac:dyDescent="0.3">
      <c r="G2591" s="4"/>
      <c r="H2591" s="4"/>
    </row>
    <row r="2592" spans="7:8" x14ac:dyDescent="0.3">
      <c r="G2592" s="4"/>
      <c r="H2592" s="4"/>
    </row>
    <row r="2593" spans="7:8" x14ac:dyDescent="0.3">
      <c r="G2593" s="4"/>
      <c r="H2593" s="4"/>
    </row>
    <row r="2594" spans="7:8" x14ac:dyDescent="0.3">
      <c r="G2594" s="4"/>
      <c r="H2594" s="4"/>
    </row>
    <row r="2595" spans="7:8" x14ac:dyDescent="0.3">
      <c r="G2595" s="4"/>
      <c r="H2595" s="4"/>
    </row>
    <row r="2596" spans="7:8" x14ac:dyDescent="0.3">
      <c r="G2596" s="4"/>
      <c r="H2596" s="4"/>
    </row>
    <row r="2597" spans="7:8" x14ac:dyDescent="0.3">
      <c r="G2597" s="4"/>
      <c r="H2597" s="4"/>
    </row>
    <row r="2598" spans="7:8" x14ac:dyDescent="0.3">
      <c r="G2598" s="4"/>
      <c r="H2598" s="4"/>
    </row>
    <row r="2599" spans="7:8" x14ac:dyDescent="0.3">
      <c r="G2599" s="4"/>
      <c r="H2599" s="4"/>
    </row>
    <row r="2600" spans="7:8" x14ac:dyDescent="0.3">
      <c r="G2600" s="4"/>
      <c r="H2600" s="4"/>
    </row>
    <row r="2601" spans="7:8" x14ac:dyDescent="0.3">
      <c r="G2601" s="4"/>
      <c r="H2601" s="4"/>
    </row>
    <row r="2602" spans="7:8" x14ac:dyDescent="0.3">
      <c r="G2602" s="4"/>
      <c r="H2602" s="4"/>
    </row>
    <row r="2603" spans="7:8" x14ac:dyDescent="0.3">
      <c r="G2603" s="4"/>
      <c r="H2603" s="4"/>
    </row>
    <row r="2604" spans="7:8" x14ac:dyDescent="0.3">
      <c r="G2604" s="4"/>
      <c r="H2604" s="4"/>
    </row>
    <row r="2605" spans="7:8" x14ac:dyDescent="0.3">
      <c r="G2605" s="4"/>
      <c r="H2605" s="4"/>
    </row>
    <row r="2606" spans="7:8" x14ac:dyDescent="0.3">
      <c r="G2606" s="4"/>
      <c r="H2606" s="4"/>
    </row>
    <row r="2607" spans="7:8" x14ac:dyDescent="0.3">
      <c r="G2607" s="4"/>
      <c r="H2607" s="4"/>
    </row>
    <row r="2608" spans="7:8" x14ac:dyDescent="0.3">
      <c r="G2608" s="4"/>
      <c r="H2608" s="4"/>
    </row>
    <row r="2609" spans="7:8" x14ac:dyDescent="0.3">
      <c r="G2609" s="4"/>
      <c r="H2609" s="4"/>
    </row>
    <row r="2610" spans="7:8" x14ac:dyDescent="0.3">
      <c r="G2610" s="4"/>
      <c r="H2610" s="4"/>
    </row>
    <row r="2611" spans="7:8" x14ac:dyDescent="0.3">
      <c r="G2611" s="4"/>
      <c r="H2611" s="4"/>
    </row>
    <row r="2612" spans="7:8" x14ac:dyDescent="0.3">
      <c r="G2612" s="4"/>
      <c r="H2612" s="4"/>
    </row>
    <row r="2613" spans="7:8" x14ac:dyDescent="0.3">
      <c r="G2613" s="4"/>
      <c r="H2613" s="4"/>
    </row>
    <row r="2614" spans="7:8" x14ac:dyDescent="0.3">
      <c r="G2614" s="4"/>
      <c r="H2614" s="4"/>
    </row>
    <row r="2615" spans="7:8" x14ac:dyDescent="0.3">
      <c r="G2615" s="4"/>
      <c r="H2615" s="4"/>
    </row>
    <row r="2616" spans="7:8" x14ac:dyDescent="0.3">
      <c r="G2616" s="4"/>
      <c r="H2616" s="4"/>
    </row>
    <row r="2617" spans="7:8" x14ac:dyDescent="0.3">
      <c r="G2617" s="4"/>
      <c r="H2617" s="4"/>
    </row>
    <row r="2618" spans="7:8" x14ac:dyDescent="0.3">
      <c r="G2618" s="4"/>
      <c r="H2618" s="4"/>
    </row>
    <row r="2619" spans="7:8" x14ac:dyDescent="0.3">
      <c r="G2619" s="4"/>
      <c r="H2619" s="4"/>
    </row>
    <row r="2620" spans="7:8" x14ac:dyDescent="0.3">
      <c r="G2620" s="4"/>
      <c r="H2620" s="4"/>
    </row>
    <row r="2621" spans="7:8" x14ac:dyDescent="0.3">
      <c r="G2621" s="4"/>
      <c r="H2621" s="4"/>
    </row>
    <row r="2622" spans="7:8" x14ac:dyDescent="0.3">
      <c r="G2622" s="4"/>
      <c r="H2622" s="4"/>
    </row>
    <row r="2623" spans="7:8" x14ac:dyDescent="0.3">
      <c r="G2623" s="4"/>
      <c r="H2623" s="4"/>
    </row>
    <row r="2624" spans="7:8" x14ac:dyDescent="0.3">
      <c r="G2624" s="4"/>
      <c r="H2624" s="4"/>
    </row>
    <row r="2625" spans="7:8" x14ac:dyDescent="0.3">
      <c r="G2625" s="4"/>
      <c r="H2625" s="4"/>
    </row>
    <row r="2626" spans="7:8" x14ac:dyDescent="0.3">
      <c r="G2626" s="4"/>
      <c r="H2626" s="4"/>
    </row>
    <row r="2627" spans="7:8" x14ac:dyDescent="0.3">
      <c r="G2627" s="4"/>
      <c r="H2627" s="4"/>
    </row>
    <row r="2628" spans="7:8" x14ac:dyDescent="0.3">
      <c r="G2628" s="4"/>
      <c r="H2628" s="4"/>
    </row>
    <row r="2629" spans="7:8" x14ac:dyDescent="0.3">
      <c r="G2629" s="4"/>
      <c r="H2629" s="4"/>
    </row>
    <row r="2630" spans="7:8" x14ac:dyDescent="0.3">
      <c r="G2630" s="4"/>
      <c r="H2630" s="4"/>
    </row>
    <row r="2631" spans="7:8" x14ac:dyDescent="0.3">
      <c r="G2631" s="4"/>
      <c r="H2631" s="4"/>
    </row>
    <row r="2632" spans="7:8" x14ac:dyDescent="0.3">
      <c r="G2632" s="4"/>
      <c r="H2632" s="4"/>
    </row>
    <row r="2633" spans="7:8" x14ac:dyDescent="0.3">
      <c r="G2633" s="4"/>
      <c r="H2633" s="4"/>
    </row>
    <row r="2634" spans="7:8" x14ac:dyDescent="0.3">
      <c r="G2634" s="4"/>
      <c r="H2634" s="4"/>
    </row>
    <row r="2635" spans="7:8" x14ac:dyDescent="0.3">
      <c r="G2635" s="4"/>
      <c r="H2635" s="4"/>
    </row>
    <row r="2636" spans="7:8" x14ac:dyDescent="0.3">
      <c r="G2636" s="4"/>
      <c r="H2636" s="4"/>
    </row>
    <row r="2637" spans="7:8" x14ac:dyDescent="0.3">
      <c r="G2637" s="4"/>
      <c r="H2637" s="4"/>
    </row>
    <row r="2638" spans="7:8" x14ac:dyDescent="0.3">
      <c r="G2638" s="4"/>
      <c r="H2638" s="4"/>
    </row>
    <row r="2639" spans="7:8" x14ac:dyDescent="0.3">
      <c r="G2639" s="4"/>
      <c r="H2639" s="4"/>
    </row>
    <row r="2640" spans="7:8" x14ac:dyDescent="0.3">
      <c r="G2640" s="4"/>
      <c r="H2640" s="4"/>
    </row>
    <row r="2641" spans="7:8" x14ac:dyDescent="0.3">
      <c r="G2641" s="4"/>
      <c r="H2641" s="4"/>
    </row>
    <row r="2642" spans="7:8" x14ac:dyDescent="0.3">
      <c r="G2642" s="4"/>
      <c r="H2642" s="4"/>
    </row>
    <row r="2643" spans="7:8" x14ac:dyDescent="0.3">
      <c r="G2643" s="4"/>
      <c r="H2643" s="4"/>
    </row>
    <row r="2644" spans="7:8" x14ac:dyDescent="0.3">
      <c r="G2644" s="4"/>
      <c r="H2644" s="4"/>
    </row>
    <row r="2645" spans="7:8" x14ac:dyDescent="0.3">
      <c r="G2645" s="4"/>
      <c r="H2645" s="4"/>
    </row>
    <row r="2646" spans="7:8" x14ac:dyDescent="0.3">
      <c r="G2646" s="4"/>
      <c r="H2646" s="4"/>
    </row>
    <row r="2647" spans="7:8" x14ac:dyDescent="0.3">
      <c r="G2647" s="4"/>
      <c r="H2647" s="4"/>
    </row>
    <row r="2648" spans="7:8" x14ac:dyDescent="0.3">
      <c r="G2648" s="4"/>
      <c r="H2648" s="4"/>
    </row>
    <row r="2649" spans="7:8" x14ac:dyDescent="0.3">
      <c r="G2649" s="4"/>
      <c r="H2649" s="4"/>
    </row>
    <row r="2650" spans="7:8" x14ac:dyDescent="0.3">
      <c r="G2650" s="4"/>
      <c r="H2650" s="4"/>
    </row>
    <row r="2651" spans="7:8" x14ac:dyDescent="0.3">
      <c r="G2651" s="4"/>
      <c r="H2651" s="4"/>
    </row>
    <row r="2652" spans="7:8" x14ac:dyDescent="0.3">
      <c r="G2652" s="4"/>
      <c r="H2652" s="4"/>
    </row>
    <row r="2653" spans="7:8" x14ac:dyDescent="0.3">
      <c r="G2653" s="4"/>
      <c r="H2653" s="4"/>
    </row>
    <row r="2654" spans="7:8" x14ac:dyDescent="0.3">
      <c r="G2654" s="4"/>
      <c r="H2654" s="4"/>
    </row>
    <row r="2655" spans="7:8" x14ac:dyDescent="0.3">
      <c r="G2655" s="4"/>
      <c r="H2655" s="4"/>
    </row>
    <row r="2656" spans="7:8" x14ac:dyDescent="0.3">
      <c r="G2656" s="4"/>
      <c r="H2656" s="4"/>
    </row>
    <row r="2657" spans="7:8" x14ac:dyDescent="0.3">
      <c r="G2657" s="4"/>
      <c r="H2657" s="4"/>
    </row>
    <row r="2658" spans="7:8" x14ac:dyDescent="0.3">
      <c r="G2658" s="4"/>
      <c r="H2658" s="4"/>
    </row>
    <row r="2659" spans="7:8" x14ac:dyDescent="0.3">
      <c r="G2659" s="4"/>
      <c r="H2659" s="4"/>
    </row>
    <row r="2660" spans="7:8" x14ac:dyDescent="0.3">
      <c r="G2660" s="4"/>
      <c r="H2660" s="4"/>
    </row>
    <row r="2661" spans="7:8" x14ac:dyDescent="0.3">
      <c r="G2661" s="4"/>
      <c r="H2661" s="4"/>
    </row>
    <row r="2662" spans="7:8" x14ac:dyDescent="0.3">
      <c r="G2662" s="4"/>
      <c r="H2662" s="4"/>
    </row>
    <row r="2663" spans="7:8" x14ac:dyDescent="0.3">
      <c r="G2663" s="4"/>
      <c r="H2663" s="4"/>
    </row>
    <row r="2664" spans="7:8" x14ac:dyDescent="0.3">
      <c r="G2664" s="4"/>
      <c r="H2664" s="4"/>
    </row>
    <row r="2665" spans="7:8" x14ac:dyDescent="0.3">
      <c r="G2665" s="4"/>
      <c r="H2665" s="4"/>
    </row>
    <row r="2666" spans="7:8" x14ac:dyDescent="0.3">
      <c r="G2666" s="4"/>
      <c r="H2666" s="4"/>
    </row>
    <row r="2667" spans="7:8" x14ac:dyDescent="0.3">
      <c r="G2667" s="4"/>
      <c r="H2667" s="4"/>
    </row>
    <row r="2668" spans="7:8" x14ac:dyDescent="0.3">
      <c r="G2668" s="4"/>
      <c r="H2668" s="4"/>
    </row>
    <row r="2669" spans="7:8" x14ac:dyDescent="0.3">
      <c r="G2669" s="4"/>
      <c r="H2669" s="4"/>
    </row>
    <row r="2670" spans="7:8" x14ac:dyDescent="0.3">
      <c r="G2670" s="4"/>
      <c r="H2670" s="4"/>
    </row>
    <row r="2671" spans="7:8" x14ac:dyDescent="0.3">
      <c r="G2671" s="4"/>
      <c r="H2671" s="4"/>
    </row>
    <row r="2672" spans="7:8" x14ac:dyDescent="0.3">
      <c r="G2672" s="4"/>
      <c r="H2672" s="4"/>
    </row>
    <row r="2673" spans="7:8" x14ac:dyDescent="0.3">
      <c r="G2673" s="4"/>
      <c r="H2673" s="4"/>
    </row>
    <row r="2674" spans="7:8" x14ac:dyDescent="0.3">
      <c r="G2674" s="4"/>
      <c r="H2674" s="4"/>
    </row>
    <row r="2675" spans="7:8" x14ac:dyDescent="0.3">
      <c r="G2675" s="4"/>
      <c r="H2675" s="4"/>
    </row>
    <row r="2676" spans="7:8" x14ac:dyDescent="0.3">
      <c r="G2676" s="4"/>
      <c r="H2676" s="4"/>
    </row>
    <row r="2677" spans="7:8" x14ac:dyDescent="0.3">
      <c r="G2677" s="4"/>
      <c r="H2677" s="4"/>
    </row>
    <row r="2678" spans="7:8" x14ac:dyDescent="0.3">
      <c r="G2678" s="4"/>
      <c r="H2678" s="4"/>
    </row>
    <row r="2679" spans="7:8" x14ac:dyDescent="0.3">
      <c r="G2679" s="4"/>
      <c r="H2679" s="4"/>
    </row>
    <row r="2680" spans="7:8" x14ac:dyDescent="0.3">
      <c r="G2680" s="4"/>
      <c r="H2680" s="4"/>
    </row>
    <row r="2681" spans="7:8" x14ac:dyDescent="0.3">
      <c r="G2681" s="4"/>
      <c r="H2681" s="4"/>
    </row>
    <row r="2682" spans="7:8" x14ac:dyDescent="0.3">
      <c r="G2682" s="4"/>
      <c r="H2682" s="4"/>
    </row>
    <row r="2683" spans="7:8" x14ac:dyDescent="0.3">
      <c r="G2683" s="4"/>
      <c r="H2683" s="4"/>
    </row>
    <row r="2684" spans="7:8" x14ac:dyDescent="0.3">
      <c r="G2684" s="4"/>
      <c r="H2684" s="4"/>
    </row>
    <row r="2685" spans="7:8" x14ac:dyDescent="0.3">
      <c r="G2685" s="4"/>
      <c r="H2685" s="4"/>
    </row>
    <row r="2686" spans="7:8" x14ac:dyDescent="0.3">
      <c r="G2686" s="4"/>
      <c r="H2686" s="4"/>
    </row>
    <row r="2687" spans="7:8" x14ac:dyDescent="0.3">
      <c r="G2687" s="4"/>
      <c r="H2687" s="4"/>
    </row>
    <row r="2688" spans="7:8" x14ac:dyDescent="0.3">
      <c r="G2688" s="4"/>
      <c r="H2688" s="4"/>
    </row>
    <row r="2689" spans="7:8" x14ac:dyDescent="0.3">
      <c r="G2689" s="4"/>
      <c r="H2689" s="4"/>
    </row>
    <row r="2690" spans="7:8" x14ac:dyDescent="0.3">
      <c r="G2690" s="4"/>
      <c r="H2690" s="4"/>
    </row>
    <row r="2691" spans="7:8" x14ac:dyDescent="0.3">
      <c r="G2691" s="4"/>
      <c r="H2691" s="4"/>
    </row>
    <row r="2692" spans="7:8" x14ac:dyDescent="0.3">
      <c r="G2692" s="4"/>
      <c r="H2692" s="4"/>
    </row>
    <row r="2693" spans="7:8" x14ac:dyDescent="0.3">
      <c r="G2693" s="4"/>
      <c r="H2693" s="4"/>
    </row>
    <row r="2694" spans="7:8" x14ac:dyDescent="0.3">
      <c r="G2694" s="4"/>
      <c r="H2694" s="4"/>
    </row>
    <row r="2695" spans="7:8" x14ac:dyDescent="0.3">
      <c r="G2695" s="4"/>
      <c r="H2695" s="4"/>
    </row>
    <row r="2696" spans="7:8" x14ac:dyDescent="0.3">
      <c r="G2696" s="4"/>
      <c r="H2696" s="4"/>
    </row>
    <row r="2697" spans="7:8" x14ac:dyDescent="0.3">
      <c r="G2697" s="4"/>
      <c r="H2697" s="4"/>
    </row>
    <row r="2698" spans="7:8" x14ac:dyDescent="0.3">
      <c r="G2698" s="4"/>
      <c r="H2698" s="4"/>
    </row>
    <row r="2699" spans="7:8" x14ac:dyDescent="0.3">
      <c r="G2699" s="4"/>
      <c r="H2699" s="4"/>
    </row>
    <row r="2700" spans="7:8" x14ac:dyDescent="0.3">
      <c r="G2700" s="4"/>
      <c r="H2700" s="4"/>
    </row>
    <row r="2701" spans="7:8" x14ac:dyDescent="0.3">
      <c r="G2701" s="4"/>
      <c r="H2701" s="4"/>
    </row>
    <row r="2702" spans="7:8" x14ac:dyDescent="0.3">
      <c r="G2702" s="4"/>
      <c r="H2702" s="4"/>
    </row>
    <row r="2703" spans="7:8" x14ac:dyDescent="0.3">
      <c r="G2703" s="4"/>
      <c r="H2703" s="4"/>
    </row>
    <row r="2704" spans="7:8" x14ac:dyDescent="0.3">
      <c r="G2704" s="4"/>
      <c r="H2704" s="4"/>
    </row>
    <row r="2705" spans="7:8" x14ac:dyDescent="0.3">
      <c r="G2705" s="4"/>
      <c r="H2705" s="4"/>
    </row>
    <row r="2706" spans="7:8" x14ac:dyDescent="0.3">
      <c r="G2706" s="4"/>
      <c r="H2706" s="4"/>
    </row>
    <row r="2707" spans="7:8" x14ac:dyDescent="0.3">
      <c r="G2707" s="4"/>
      <c r="H2707" s="4"/>
    </row>
    <row r="2708" spans="7:8" x14ac:dyDescent="0.3">
      <c r="G2708" s="4"/>
      <c r="H2708" s="4"/>
    </row>
    <row r="2709" spans="7:8" x14ac:dyDescent="0.3">
      <c r="G2709" s="4"/>
      <c r="H2709" s="4"/>
    </row>
    <row r="2710" spans="7:8" x14ac:dyDescent="0.3">
      <c r="G2710" s="4"/>
      <c r="H2710" s="4"/>
    </row>
    <row r="2711" spans="7:8" x14ac:dyDescent="0.3">
      <c r="G2711" s="4"/>
      <c r="H2711" s="4"/>
    </row>
    <row r="2712" spans="7:8" x14ac:dyDescent="0.3">
      <c r="G2712" s="4"/>
      <c r="H2712" s="4"/>
    </row>
    <row r="2713" spans="7:8" x14ac:dyDescent="0.3">
      <c r="G2713" s="4"/>
      <c r="H2713" s="4"/>
    </row>
    <row r="2714" spans="7:8" x14ac:dyDescent="0.3">
      <c r="G2714" s="4"/>
      <c r="H2714" s="4"/>
    </row>
    <row r="2715" spans="7:8" x14ac:dyDescent="0.3">
      <c r="G2715" s="4"/>
      <c r="H2715" s="4"/>
    </row>
    <row r="2716" spans="7:8" x14ac:dyDescent="0.3">
      <c r="G2716" s="4"/>
      <c r="H2716" s="4"/>
    </row>
    <row r="2717" spans="7:8" x14ac:dyDescent="0.3">
      <c r="G2717" s="4"/>
      <c r="H2717" s="4"/>
    </row>
    <row r="2718" spans="7:8" x14ac:dyDescent="0.3">
      <c r="G2718" s="4"/>
      <c r="H2718" s="4"/>
    </row>
    <row r="2719" spans="7:8" x14ac:dyDescent="0.3">
      <c r="G2719" s="4"/>
      <c r="H2719" s="4"/>
    </row>
    <row r="2720" spans="7:8" x14ac:dyDescent="0.3">
      <c r="G2720" s="4"/>
      <c r="H2720" s="4"/>
    </row>
    <row r="2721" spans="7:8" x14ac:dyDescent="0.3">
      <c r="G2721" s="4"/>
      <c r="H2721" s="4"/>
    </row>
    <row r="2722" spans="7:8" x14ac:dyDescent="0.3">
      <c r="G2722" s="4"/>
      <c r="H2722" s="4"/>
    </row>
    <row r="2723" spans="7:8" x14ac:dyDescent="0.3">
      <c r="G2723" s="4"/>
      <c r="H2723" s="4"/>
    </row>
    <row r="2724" spans="7:8" x14ac:dyDescent="0.3">
      <c r="G2724" s="4"/>
      <c r="H2724" s="4"/>
    </row>
    <row r="2725" spans="7:8" x14ac:dyDescent="0.3">
      <c r="G2725" s="4"/>
      <c r="H2725" s="4"/>
    </row>
    <row r="2726" spans="7:8" x14ac:dyDescent="0.3">
      <c r="G2726" s="4"/>
      <c r="H2726" s="4"/>
    </row>
    <row r="2727" spans="7:8" x14ac:dyDescent="0.3">
      <c r="G2727" s="4"/>
      <c r="H2727" s="4"/>
    </row>
    <row r="2728" spans="7:8" x14ac:dyDescent="0.3">
      <c r="G2728" s="4"/>
      <c r="H2728" s="4"/>
    </row>
    <row r="2729" spans="7:8" x14ac:dyDescent="0.3">
      <c r="G2729" s="4"/>
      <c r="H2729" s="4"/>
    </row>
    <row r="2730" spans="7:8" x14ac:dyDescent="0.3">
      <c r="G2730" s="4"/>
      <c r="H2730" s="4"/>
    </row>
    <row r="2731" spans="7:8" x14ac:dyDescent="0.3">
      <c r="G2731" s="4"/>
      <c r="H2731" s="4"/>
    </row>
    <row r="2732" spans="7:8" x14ac:dyDescent="0.3">
      <c r="G2732" s="4"/>
      <c r="H2732" s="4"/>
    </row>
    <row r="2733" spans="7:8" x14ac:dyDescent="0.3">
      <c r="G2733" s="4"/>
      <c r="H2733" s="4"/>
    </row>
    <row r="2734" spans="7:8" x14ac:dyDescent="0.3">
      <c r="G2734" s="4"/>
      <c r="H2734" s="4"/>
    </row>
    <row r="2735" spans="7:8" x14ac:dyDescent="0.3">
      <c r="G2735" s="4"/>
      <c r="H2735" s="4"/>
    </row>
    <row r="2736" spans="7:8" x14ac:dyDescent="0.3">
      <c r="G2736" s="4"/>
      <c r="H2736" s="4"/>
    </row>
    <row r="2737" spans="7:8" x14ac:dyDescent="0.3">
      <c r="G2737" s="4"/>
      <c r="H2737" s="4"/>
    </row>
    <row r="2738" spans="7:8" x14ac:dyDescent="0.3">
      <c r="G2738" s="4"/>
      <c r="H2738" s="4"/>
    </row>
    <row r="2739" spans="7:8" x14ac:dyDescent="0.3">
      <c r="G2739" s="4"/>
      <c r="H2739" s="4"/>
    </row>
    <row r="2740" spans="7:8" x14ac:dyDescent="0.3">
      <c r="G2740" s="4"/>
      <c r="H2740" s="4"/>
    </row>
    <row r="2741" spans="7:8" x14ac:dyDescent="0.3">
      <c r="G2741" s="4"/>
      <c r="H2741" s="4"/>
    </row>
    <row r="2742" spans="7:8" x14ac:dyDescent="0.3">
      <c r="G2742" s="4"/>
      <c r="H2742" s="4"/>
    </row>
    <row r="2743" spans="7:8" x14ac:dyDescent="0.3">
      <c r="G2743" s="4"/>
      <c r="H2743" s="4"/>
    </row>
    <row r="2744" spans="7:8" x14ac:dyDescent="0.3">
      <c r="G2744" s="4"/>
      <c r="H2744" s="4"/>
    </row>
    <row r="2745" spans="7:8" x14ac:dyDescent="0.3">
      <c r="G2745" s="4"/>
      <c r="H2745" s="4"/>
    </row>
    <row r="2746" spans="7:8" x14ac:dyDescent="0.3">
      <c r="G2746" s="4"/>
      <c r="H2746" s="4"/>
    </row>
    <row r="2747" spans="7:8" x14ac:dyDescent="0.3">
      <c r="G2747" s="4"/>
      <c r="H2747" s="4"/>
    </row>
    <row r="2748" spans="7:8" x14ac:dyDescent="0.3">
      <c r="G2748" s="4"/>
      <c r="H2748" s="4"/>
    </row>
    <row r="2749" spans="7:8" x14ac:dyDescent="0.3">
      <c r="G2749" s="4"/>
      <c r="H2749" s="4"/>
    </row>
    <row r="2750" spans="7:8" x14ac:dyDescent="0.3">
      <c r="G2750" s="4"/>
      <c r="H2750" s="4"/>
    </row>
    <row r="2751" spans="7:8" x14ac:dyDescent="0.3">
      <c r="G2751" s="4"/>
      <c r="H2751" s="4"/>
    </row>
    <row r="2752" spans="7:8" x14ac:dyDescent="0.3">
      <c r="G2752" s="4"/>
      <c r="H2752" s="4"/>
    </row>
    <row r="2753" spans="7:8" x14ac:dyDescent="0.3">
      <c r="G2753" s="4"/>
      <c r="H2753" s="4"/>
    </row>
    <row r="2754" spans="7:8" x14ac:dyDescent="0.3">
      <c r="G2754" s="4"/>
      <c r="H2754" s="4"/>
    </row>
    <row r="2755" spans="7:8" x14ac:dyDescent="0.3">
      <c r="G2755" s="4"/>
      <c r="H2755" s="4"/>
    </row>
    <row r="2756" spans="7:8" x14ac:dyDescent="0.3">
      <c r="G2756" s="4"/>
      <c r="H2756" s="4"/>
    </row>
    <row r="2757" spans="7:8" x14ac:dyDescent="0.3">
      <c r="G2757" s="4"/>
      <c r="H2757" s="4"/>
    </row>
    <row r="2758" spans="7:8" x14ac:dyDescent="0.3">
      <c r="G2758" s="4"/>
      <c r="H2758" s="4"/>
    </row>
    <row r="2759" spans="7:8" x14ac:dyDescent="0.3">
      <c r="G2759" s="4"/>
      <c r="H2759" s="4"/>
    </row>
    <row r="2760" spans="7:8" x14ac:dyDescent="0.3">
      <c r="G2760" s="4"/>
      <c r="H2760" s="4"/>
    </row>
    <row r="2761" spans="7:8" x14ac:dyDescent="0.3">
      <c r="G2761" s="4"/>
      <c r="H2761" s="4"/>
    </row>
    <row r="2762" spans="7:8" x14ac:dyDescent="0.3">
      <c r="G2762" s="4"/>
      <c r="H2762" s="4"/>
    </row>
    <row r="2763" spans="7:8" x14ac:dyDescent="0.3">
      <c r="G2763" s="4"/>
      <c r="H2763" s="4"/>
    </row>
    <row r="2764" spans="7:8" x14ac:dyDescent="0.3">
      <c r="G2764" s="4"/>
      <c r="H2764" s="4"/>
    </row>
    <row r="2765" spans="7:8" x14ac:dyDescent="0.3">
      <c r="G2765" s="4"/>
      <c r="H2765" s="4"/>
    </row>
    <row r="2766" spans="7:8" x14ac:dyDescent="0.3">
      <c r="G2766" s="4"/>
      <c r="H2766" s="4"/>
    </row>
    <row r="2767" spans="7:8" x14ac:dyDescent="0.3">
      <c r="G2767" s="4"/>
      <c r="H2767" s="4"/>
    </row>
    <row r="2768" spans="7:8" x14ac:dyDescent="0.3">
      <c r="G2768" s="4"/>
      <c r="H2768" s="4"/>
    </row>
    <row r="2769" spans="7:8" x14ac:dyDescent="0.3">
      <c r="G2769" s="4"/>
      <c r="H2769" s="4"/>
    </row>
    <row r="2770" spans="7:8" x14ac:dyDescent="0.3">
      <c r="G2770" s="4"/>
      <c r="H2770" s="4"/>
    </row>
    <row r="2771" spans="7:8" x14ac:dyDescent="0.3">
      <c r="G2771" s="4"/>
      <c r="H2771" s="4"/>
    </row>
    <row r="2772" spans="7:8" x14ac:dyDescent="0.3">
      <c r="G2772" s="4"/>
      <c r="H2772" s="4"/>
    </row>
    <row r="2773" spans="7:8" x14ac:dyDescent="0.3">
      <c r="G2773" s="4"/>
      <c r="H2773" s="4"/>
    </row>
    <row r="2774" spans="7:8" x14ac:dyDescent="0.3">
      <c r="G2774" s="4"/>
      <c r="H2774" s="4"/>
    </row>
    <row r="2775" spans="7:8" x14ac:dyDescent="0.3">
      <c r="G2775" s="4"/>
      <c r="H2775" s="4"/>
    </row>
    <row r="2776" spans="7:8" x14ac:dyDescent="0.3">
      <c r="G2776" s="4"/>
      <c r="H2776" s="4"/>
    </row>
    <row r="2777" spans="7:8" x14ac:dyDescent="0.3">
      <c r="G2777" s="4"/>
      <c r="H2777" s="4"/>
    </row>
    <row r="2778" spans="7:8" x14ac:dyDescent="0.3">
      <c r="G2778" s="4"/>
      <c r="H2778" s="4"/>
    </row>
    <row r="2779" spans="7:8" x14ac:dyDescent="0.3">
      <c r="G2779" s="4"/>
      <c r="H2779" s="4"/>
    </row>
    <row r="2780" spans="7:8" x14ac:dyDescent="0.3">
      <c r="G2780" s="4"/>
      <c r="H2780" s="4"/>
    </row>
    <row r="2781" spans="7:8" x14ac:dyDescent="0.3">
      <c r="G2781" s="4"/>
      <c r="H2781" s="4"/>
    </row>
    <row r="2782" spans="7:8" x14ac:dyDescent="0.3">
      <c r="G2782" s="4"/>
      <c r="H2782" s="4"/>
    </row>
    <row r="2783" spans="7:8" x14ac:dyDescent="0.3">
      <c r="G2783" s="4"/>
      <c r="H2783" s="4"/>
    </row>
    <row r="2784" spans="7:8" x14ac:dyDescent="0.3">
      <c r="G2784" s="4"/>
      <c r="H2784" s="4"/>
    </row>
    <row r="2785" spans="7:8" x14ac:dyDescent="0.3">
      <c r="G2785" s="4"/>
      <c r="H2785" s="4"/>
    </row>
    <row r="2786" spans="7:8" x14ac:dyDescent="0.3">
      <c r="G2786" s="4"/>
      <c r="H2786" s="4"/>
    </row>
    <row r="2787" spans="7:8" x14ac:dyDescent="0.3">
      <c r="G2787" s="4"/>
      <c r="H2787" s="4"/>
    </row>
    <row r="2788" spans="7:8" x14ac:dyDescent="0.3">
      <c r="G2788" s="4"/>
      <c r="H2788" s="4"/>
    </row>
    <row r="2789" spans="7:8" x14ac:dyDescent="0.3">
      <c r="G2789" s="4"/>
      <c r="H2789" s="4"/>
    </row>
    <row r="2790" spans="7:8" x14ac:dyDescent="0.3">
      <c r="G2790" s="4"/>
      <c r="H2790" s="4"/>
    </row>
    <row r="2791" spans="7:8" x14ac:dyDescent="0.3">
      <c r="G2791" s="4"/>
      <c r="H2791" s="4"/>
    </row>
    <row r="2792" spans="7:8" x14ac:dyDescent="0.3">
      <c r="G2792" s="4"/>
      <c r="H2792" s="4"/>
    </row>
    <row r="2793" spans="7:8" x14ac:dyDescent="0.3">
      <c r="G2793" s="4"/>
      <c r="H2793" s="4"/>
    </row>
    <row r="2794" spans="7:8" x14ac:dyDescent="0.3">
      <c r="G2794" s="4"/>
      <c r="H2794" s="4"/>
    </row>
    <row r="2795" spans="7:8" x14ac:dyDescent="0.3">
      <c r="G2795" s="4"/>
      <c r="H2795" s="4"/>
    </row>
    <row r="2796" spans="7:8" x14ac:dyDescent="0.3">
      <c r="G2796" s="4"/>
      <c r="H2796" s="4"/>
    </row>
    <row r="2797" spans="7:8" x14ac:dyDescent="0.3">
      <c r="G2797" s="4"/>
      <c r="H2797" s="4"/>
    </row>
    <row r="2798" spans="7:8" x14ac:dyDescent="0.3">
      <c r="G2798" s="4"/>
      <c r="H2798" s="4"/>
    </row>
    <row r="2799" spans="7:8" x14ac:dyDescent="0.3">
      <c r="G2799" s="4"/>
      <c r="H2799" s="4"/>
    </row>
    <row r="2800" spans="7:8" x14ac:dyDescent="0.3">
      <c r="G2800" s="4"/>
      <c r="H2800" s="4"/>
    </row>
    <row r="2801" spans="7:8" x14ac:dyDescent="0.3">
      <c r="G2801" s="4"/>
      <c r="H2801" s="4"/>
    </row>
    <row r="2802" spans="7:8" x14ac:dyDescent="0.3">
      <c r="G2802" s="4"/>
      <c r="H2802" s="4"/>
    </row>
    <row r="2803" spans="7:8" x14ac:dyDescent="0.3">
      <c r="G2803" s="4"/>
      <c r="H2803" s="4"/>
    </row>
    <row r="2804" spans="7:8" x14ac:dyDescent="0.3">
      <c r="G2804" s="4"/>
      <c r="H2804" s="4"/>
    </row>
    <row r="2805" spans="7:8" x14ac:dyDescent="0.3">
      <c r="G2805" s="4"/>
      <c r="H2805" s="4"/>
    </row>
    <row r="2806" spans="7:8" x14ac:dyDescent="0.3">
      <c r="G2806" s="4"/>
      <c r="H2806" s="4"/>
    </row>
    <row r="2807" spans="7:8" x14ac:dyDescent="0.3">
      <c r="G2807" s="4"/>
      <c r="H2807" s="4"/>
    </row>
    <row r="2808" spans="7:8" x14ac:dyDescent="0.3">
      <c r="G2808" s="4"/>
      <c r="H2808" s="4"/>
    </row>
    <row r="2809" spans="7:8" x14ac:dyDescent="0.3">
      <c r="G2809" s="4"/>
      <c r="H2809" s="4"/>
    </row>
    <row r="2810" spans="7:8" x14ac:dyDescent="0.3">
      <c r="G2810" s="4"/>
      <c r="H2810" s="4"/>
    </row>
    <row r="2811" spans="7:8" x14ac:dyDescent="0.3">
      <c r="G2811" s="4"/>
      <c r="H2811" s="4"/>
    </row>
    <row r="2812" spans="7:8" x14ac:dyDescent="0.3">
      <c r="G2812" s="4"/>
      <c r="H2812" s="4"/>
    </row>
    <row r="2813" spans="7:8" x14ac:dyDescent="0.3">
      <c r="G2813" s="4"/>
      <c r="H2813" s="4"/>
    </row>
    <row r="2814" spans="7:8" x14ac:dyDescent="0.3">
      <c r="G2814" s="4"/>
      <c r="H2814" s="4"/>
    </row>
    <row r="2815" spans="7:8" x14ac:dyDescent="0.3">
      <c r="G2815" s="4"/>
      <c r="H2815" s="4"/>
    </row>
    <row r="2816" spans="7:8" x14ac:dyDescent="0.3">
      <c r="G2816" s="4"/>
      <c r="H2816" s="4"/>
    </row>
    <row r="2817" spans="7:8" x14ac:dyDescent="0.3">
      <c r="G2817" s="4"/>
      <c r="H2817" s="4"/>
    </row>
    <row r="2818" spans="7:8" x14ac:dyDescent="0.3">
      <c r="G2818" s="4"/>
      <c r="H2818" s="4"/>
    </row>
    <row r="2819" spans="7:8" x14ac:dyDescent="0.3">
      <c r="G2819" s="4"/>
      <c r="H2819" s="4"/>
    </row>
    <row r="2820" spans="7:8" x14ac:dyDescent="0.3">
      <c r="G2820" s="4"/>
      <c r="H2820" s="4"/>
    </row>
    <row r="2821" spans="7:8" x14ac:dyDescent="0.3">
      <c r="G2821" s="4"/>
      <c r="H2821" s="4"/>
    </row>
    <row r="2822" spans="7:8" x14ac:dyDescent="0.3">
      <c r="G2822" s="4"/>
      <c r="H2822" s="4"/>
    </row>
    <row r="2823" spans="7:8" x14ac:dyDescent="0.3">
      <c r="G2823" s="4"/>
      <c r="H2823" s="4"/>
    </row>
    <row r="2824" spans="7:8" x14ac:dyDescent="0.3">
      <c r="G2824" s="4"/>
      <c r="H2824" s="4"/>
    </row>
    <row r="2825" spans="7:8" x14ac:dyDescent="0.3">
      <c r="G2825" s="4"/>
      <c r="H2825" s="4"/>
    </row>
    <row r="2826" spans="7:8" x14ac:dyDescent="0.3">
      <c r="G2826" s="4"/>
      <c r="H2826" s="4"/>
    </row>
    <row r="2827" spans="7:8" x14ac:dyDescent="0.3">
      <c r="G2827" s="4"/>
      <c r="H2827" s="4"/>
    </row>
    <row r="2828" spans="7:8" x14ac:dyDescent="0.3">
      <c r="G2828" s="4"/>
      <c r="H2828" s="4"/>
    </row>
    <row r="2829" spans="7:8" x14ac:dyDescent="0.3">
      <c r="G2829" s="4"/>
      <c r="H2829" s="4"/>
    </row>
    <row r="2830" spans="7:8" x14ac:dyDescent="0.3">
      <c r="G2830" s="4"/>
      <c r="H2830" s="4"/>
    </row>
    <row r="2831" spans="7:8" x14ac:dyDescent="0.3">
      <c r="G2831" s="4"/>
      <c r="H2831" s="4"/>
    </row>
    <row r="2832" spans="7:8" x14ac:dyDescent="0.3">
      <c r="G2832" s="4"/>
      <c r="H2832" s="4"/>
    </row>
    <row r="2833" spans="7:8" x14ac:dyDescent="0.3">
      <c r="G2833" s="4"/>
      <c r="H2833" s="4"/>
    </row>
    <row r="2834" spans="7:8" x14ac:dyDescent="0.3">
      <c r="G2834" s="4"/>
      <c r="H2834" s="4"/>
    </row>
    <row r="2835" spans="7:8" x14ac:dyDescent="0.3">
      <c r="G2835" s="4"/>
      <c r="H2835" s="4"/>
    </row>
    <row r="2836" spans="7:8" x14ac:dyDescent="0.3">
      <c r="G2836" s="4"/>
      <c r="H2836" s="4"/>
    </row>
    <row r="2837" spans="7:8" x14ac:dyDescent="0.3">
      <c r="G2837" s="4"/>
      <c r="H2837" s="4"/>
    </row>
    <row r="2838" spans="7:8" x14ac:dyDescent="0.3">
      <c r="G2838" s="4"/>
      <c r="H2838" s="4"/>
    </row>
    <row r="2839" spans="7:8" x14ac:dyDescent="0.3">
      <c r="G2839" s="4"/>
      <c r="H2839" s="4"/>
    </row>
    <row r="2840" spans="7:8" x14ac:dyDescent="0.3">
      <c r="G2840" s="4"/>
      <c r="H2840" s="4"/>
    </row>
    <row r="2841" spans="7:8" x14ac:dyDescent="0.3">
      <c r="G2841" s="4"/>
      <c r="H2841" s="4"/>
    </row>
    <row r="2842" spans="7:8" x14ac:dyDescent="0.3">
      <c r="G2842" s="4"/>
      <c r="H2842" s="4"/>
    </row>
    <row r="2843" spans="7:8" x14ac:dyDescent="0.3">
      <c r="G2843" s="4"/>
      <c r="H2843" s="4"/>
    </row>
    <row r="2844" spans="7:8" x14ac:dyDescent="0.3">
      <c r="G2844" s="4"/>
      <c r="H2844" s="4"/>
    </row>
    <row r="2845" spans="7:8" x14ac:dyDescent="0.3">
      <c r="G2845" s="4"/>
      <c r="H2845" s="4"/>
    </row>
    <row r="2846" spans="7:8" x14ac:dyDescent="0.3">
      <c r="G2846" s="4"/>
      <c r="H2846" s="4"/>
    </row>
    <row r="2847" spans="7:8" x14ac:dyDescent="0.3">
      <c r="G2847" s="4"/>
      <c r="H2847" s="4"/>
    </row>
    <row r="2848" spans="7:8" x14ac:dyDescent="0.3">
      <c r="G2848" s="4"/>
      <c r="H2848" s="4"/>
    </row>
    <row r="2849" spans="7:8" x14ac:dyDescent="0.3">
      <c r="G2849" s="4"/>
      <c r="H2849" s="4"/>
    </row>
    <row r="2850" spans="7:8" x14ac:dyDescent="0.3">
      <c r="G2850" s="4"/>
      <c r="H2850" s="4"/>
    </row>
    <row r="2851" spans="7:8" x14ac:dyDescent="0.3">
      <c r="G2851" s="4"/>
      <c r="H2851" s="4"/>
    </row>
    <row r="2852" spans="7:8" x14ac:dyDescent="0.3">
      <c r="G2852" s="4"/>
      <c r="H2852" s="4"/>
    </row>
    <row r="2853" spans="7:8" x14ac:dyDescent="0.3">
      <c r="G2853" s="4"/>
      <c r="H2853" s="4"/>
    </row>
    <row r="2854" spans="7:8" x14ac:dyDescent="0.3">
      <c r="G2854" s="4"/>
      <c r="H2854" s="4"/>
    </row>
    <row r="2855" spans="7:8" x14ac:dyDescent="0.3">
      <c r="G2855" s="4"/>
      <c r="H2855" s="4"/>
    </row>
    <row r="2856" spans="7:8" x14ac:dyDescent="0.3">
      <c r="G2856" s="4"/>
      <c r="H2856" s="4"/>
    </row>
    <row r="2857" spans="7:8" x14ac:dyDescent="0.3">
      <c r="G2857" s="4"/>
      <c r="H2857" s="4"/>
    </row>
    <row r="2858" spans="7:8" x14ac:dyDescent="0.3">
      <c r="G2858" s="4"/>
      <c r="H2858" s="4"/>
    </row>
    <row r="2859" spans="7:8" x14ac:dyDescent="0.3">
      <c r="G2859" s="4"/>
      <c r="H2859" s="4"/>
    </row>
    <row r="2860" spans="7:8" x14ac:dyDescent="0.3">
      <c r="G2860" s="4"/>
      <c r="H2860" s="4"/>
    </row>
    <row r="2861" spans="7:8" x14ac:dyDescent="0.3">
      <c r="G2861" s="4"/>
      <c r="H2861" s="4"/>
    </row>
    <row r="2862" spans="7:8" x14ac:dyDescent="0.3">
      <c r="G2862" s="4"/>
      <c r="H2862" s="4"/>
    </row>
    <row r="2863" spans="7:8" x14ac:dyDescent="0.3">
      <c r="G2863" s="4"/>
      <c r="H2863" s="4"/>
    </row>
    <row r="2864" spans="7:8" x14ac:dyDescent="0.3">
      <c r="G2864" s="4"/>
      <c r="H2864" s="4"/>
    </row>
    <row r="2865" spans="7:8" x14ac:dyDescent="0.3">
      <c r="G2865" s="4"/>
      <c r="H2865" s="4"/>
    </row>
    <row r="2866" spans="7:8" x14ac:dyDescent="0.3">
      <c r="G2866" s="4"/>
      <c r="H2866" s="4"/>
    </row>
    <row r="2867" spans="7:8" x14ac:dyDescent="0.3">
      <c r="G2867" s="4"/>
      <c r="H2867" s="4"/>
    </row>
    <row r="2868" spans="7:8" x14ac:dyDescent="0.3">
      <c r="G2868" s="4"/>
      <c r="H2868" s="4"/>
    </row>
    <row r="2869" spans="7:8" x14ac:dyDescent="0.3">
      <c r="G2869" s="4"/>
      <c r="H2869" s="4"/>
    </row>
    <row r="2870" spans="7:8" x14ac:dyDescent="0.3">
      <c r="G2870" s="4"/>
      <c r="H2870" s="4"/>
    </row>
    <row r="2871" spans="7:8" x14ac:dyDescent="0.3">
      <c r="G2871" s="4"/>
      <c r="H2871" s="4"/>
    </row>
    <row r="2872" spans="7:8" x14ac:dyDescent="0.3">
      <c r="G2872" s="4"/>
      <c r="H2872" s="4"/>
    </row>
    <row r="2873" spans="7:8" x14ac:dyDescent="0.3">
      <c r="G2873" s="4"/>
      <c r="H2873" s="4"/>
    </row>
    <row r="2874" spans="7:8" x14ac:dyDescent="0.3">
      <c r="G2874" s="4"/>
      <c r="H2874" s="4"/>
    </row>
    <row r="2875" spans="7:8" x14ac:dyDescent="0.3">
      <c r="G2875" s="4"/>
      <c r="H2875" s="4"/>
    </row>
    <row r="2876" spans="7:8" x14ac:dyDescent="0.3">
      <c r="G2876" s="4"/>
      <c r="H2876" s="4"/>
    </row>
    <row r="2877" spans="7:8" x14ac:dyDescent="0.3">
      <c r="G2877" s="4"/>
      <c r="H2877" s="4"/>
    </row>
    <row r="2878" spans="7:8" x14ac:dyDescent="0.3">
      <c r="G2878" s="4"/>
      <c r="H2878" s="4"/>
    </row>
    <row r="2879" spans="7:8" x14ac:dyDescent="0.3">
      <c r="G2879" s="4"/>
      <c r="H2879" s="4"/>
    </row>
    <row r="2880" spans="7:8" x14ac:dyDescent="0.3">
      <c r="G2880" s="4"/>
      <c r="H2880" s="4"/>
    </row>
    <row r="2881" spans="7:8" x14ac:dyDescent="0.3">
      <c r="G2881" s="4"/>
      <c r="H2881" s="4"/>
    </row>
    <row r="2882" spans="7:8" x14ac:dyDescent="0.3">
      <c r="G2882" s="4"/>
      <c r="H2882" s="4"/>
    </row>
    <row r="2883" spans="7:8" x14ac:dyDescent="0.3">
      <c r="G2883" s="4"/>
      <c r="H2883" s="4"/>
    </row>
    <row r="2884" spans="7:8" x14ac:dyDescent="0.3">
      <c r="G2884" s="4"/>
      <c r="H2884" s="4"/>
    </row>
    <row r="2885" spans="7:8" x14ac:dyDescent="0.3">
      <c r="G2885" s="4"/>
      <c r="H2885" s="4"/>
    </row>
    <row r="2886" spans="7:8" x14ac:dyDescent="0.3">
      <c r="G2886" s="4"/>
      <c r="H2886" s="4"/>
    </row>
    <row r="2887" spans="7:8" x14ac:dyDescent="0.3">
      <c r="G2887" s="4"/>
      <c r="H2887" s="4"/>
    </row>
    <row r="2888" spans="7:8" x14ac:dyDescent="0.3">
      <c r="G2888" s="4"/>
      <c r="H2888" s="4"/>
    </row>
    <row r="2889" spans="7:8" x14ac:dyDescent="0.3">
      <c r="G2889" s="4"/>
      <c r="H2889" s="4"/>
    </row>
    <row r="2890" spans="7:8" x14ac:dyDescent="0.3">
      <c r="G2890" s="4"/>
      <c r="H2890" s="4"/>
    </row>
    <row r="2891" spans="7:8" x14ac:dyDescent="0.3">
      <c r="G2891" s="4"/>
      <c r="H2891" s="4"/>
    </row>
    <row r="2892" spans="7:8" x14ac:dyDescent="0.3">
      <c r="G2892" s="4"/>
      <c r="H2892" s="4"/>
    </row>
    <row r="2893" spans="7:8" x14ac:dyDescent="0.3">
      <c r="G2893" s="4"/>
      <c r="H2893" s="4"/>
    </row>
    <row r="2894" spans="7:8" x14ac:dyDescent="0.3">
      <c r="G2894" s="4"/>
      <c r="H2894" s="4"/>
    </row>
    <row r="2895" spans="7:8" x14ac:dyDescent="0.3">
      <c r="G2895" s="4"/>
      <c r="H2895" s="4"/>
    </row>
    <row r="2896" spans="7:8" x14ac:dyDescent="0.3">
      <c r="G2896" s="4"/>
      <c r="H2896" s="4"/>
    </row>
    <row r="2897" spans="7:8" x14ac:dyDescent="0.3">
      <c r="G2897" s="4"/>
      <c r="H2897" s="4"/>
    </row>
    <row r="2898" spans="7:8" x14ac:dyDescent="0.3">
      <c r="G2898" s="4"/>
      <c r="H2898" s="4"/>
    </row>
    <row r="2899" spans="7:8" x14ac:dyDescent="0.3">
      <c r="G2899" s="4"/>
      <c r="H2899" s="4"/>
    </row>
    <row r="2900" spans="7:8" x14ac:dyDescent="0.3">
      <c r="G2900" s="4"/>
      <c r="H2900" s="4"/>
    </row>
    <row r="2901" spans="7:8" x14ac:dyDescent="0.3">
      <c r="G2901" s="4"/>
      <c r="H2901" s="4"/>
    </row>
    <row r="2902" spans="7:8" x14ac:dyDescent="0.3">
      <c r="G2902" s="4"/>
      <c r="H2902" s="4"/>
    </row>
    <row r="2903" spans="7:8" x14ac:dyDescent="0.3">
      <c r="G2903" s="4"/>
      <c r="H2903" s="4"/>
    </row>
    <row r="2904" spans="7:8" x14ac:dyDescent="0.3">
      <c r="G2904" s="4"/>
      <c r="H2904" s="4"/>
    </row>
    <row r="2905" spans="7:8" x14ac:dyDescent="0.3">
      <c r="G2905" s="4"/>
      <c r="H2905" s="4"/>
    </row>
    <row r="2906" spans="7:8" x14ac:dyDescent="0.3">
      <c r="G2906" s="4"/>
      <c r="H2906" s="4"/>
    </row>
    <row r="2907" spans="7:8" x14ac:dyDescent="0.3">
      <c r="G2907" s="4"/>
      <c r="H2907" s="4"/>
    </row>
    <row r="2908" spans="7:8" x14ac:dyDescent="0.3">
      <c r="G2908" s="4"/>
      <c r="H2908" s="4"/>
    </row>
    <row r="2909" spans="7:8" x14ac:dyDescent="0.3">
      <c r="G2909" s="4"/>
      <c r="H2909" s="4"/>
    </row>
    <row r="2910" spans="7:8" x14ac:dyDescent="0.3">
      <c r="G2910" s="4"/>
      <c r="H2910" s="4"/>
    </row>
    <row r="2911" spans="7:8" x14ac:dyDescent="0.3">
      <c r="G2911" s="4"/>
      <c r="H2911" s="4"/>
    </row>
    <row r="2912" spans="7:8" x14ac:dyDescent="0.3">
      <c r="G2912" s="4"/>
      <c r="H2912" s="4"/>
    </row>
    <row r="2913" spans="7:8" x14ac:dyDescent="0.3">
      <c r="G2913" s="4"/>
      <c r="H2913" s="4"/>
    </row>
    <row r="2914" spans="7:8" x14ac:dyDescent="0.3">
      <c r="G2914" s="4"/>
      <c r="H2914" s="4"/>
    </row>
    <row r="2915" spans="7:8" x14ac:dyDescent="0.3">
      <c r="G2915" s="4"/>
      <c r="H2915" s="4"/>
    </row>
    <row r="2916" spans="7:8" x14ac:dyDescent="0.3">
      <c r="G2916" s="4"/>
      <c r="H2916" s="4"/>
    </row>
    <row r="2917" spans="7:8" x14ac:dyDescent="0.3">
      <c r="G2917" s="4"/>
      <c r="H2917" s="4"/>
    </row>
    <row r="2918" spans="7:8" x14ac:dyDescent="0.3">
      <c r="G2918" s="4"/>
      <c r="H2918" s="4"/>
    </row>
    <row r="2919" spans="7:8" x14ac:dyDescent="0.3">
      <c r="G2919" s="4"/>
      <c r="H2919" s="4"/>
    </row>
    <row r="2920" spans="7:8" x14ac:dyDescent="0.3">
      <c r="G2920" s="4"/>
      <c r="H2920" s="4"/>
    </row>
    <row r="2921" spans="7:8" x14ac:dyDescent="0.3">
      <c r="G2921" s="4"/>
      <c r="H2921" s="4"/>
    </row>
    <row r="2922" spans="7:8" x14ac:dyDescent="0.3">
      <c r="G2922" s="4"/>
      <c r="H2922" s="4"/>
    </row>
    <row r="2923" spans="7:8" x14ac:dyDescent="0.3">
      <c r="G2923" s="4"/>
      <c r="H2923" s="4"/>
    </row>
    <row r="2924" spans="7:8" x14ac:dyDescent="0.3">
      <c r="G2924" s="4"/>
      <c r="H2924" s="4"/>
    </row>
    <row r="2925" spans="7:8" x14ac:dyDescent="0.3">
      <c r="G2925" s="4"/>
      <c r="H2925" s="4"/>
    </row>
    <row r="2926" spans="7:8" x14ac:dyDescent="0.3">
      <c r="G2926" s="4"/>
      <c r="H2926" s="4"/>
    </row>
    <row r="2927" spans="7:8" x14ac:dyDescent="0.3">
      <c r="G2927" s="4"/>
      <c r="H2927" s="4"/>
    </row>
    <row r="2928" spans="7:8" x14ac:dyDescent="0.3">
      <c r="G2928" s="4"/>
      <c r="H2928" s="4"/>
    </row>
    <row r="2929" spans="7:8" x14ac:dyDescent="0.3">
      <c r="G2929" s="4"/>
      <c r="H2929" s="4"/>
    </row>
    <row r="2930" spans="7:8" x14ac:dyDescent="0.3">
      <c r="G2930" s="4"/>
      <c r="H2930" s="4"/>
    </row>
    <row r="2931" spans="7:8" x14ac:dyDescent="0.3">
      <c r="G2931" s="4"/>
      <c r="H2931" s="4"/>
    </row>
    <row r="2932" spans="7:8" x14ac:dyDescent="0.3">
      <c r="G2932" s="4"/>
      <c r="H2932" s="4"/>
    </row>
    <row r="2933" spans="7:8" x14ac:dyDescent="0.3">
      <c r="G2933" s="4"/>
      <c r="H2933" s="4"/>
    </row>
    <row r="2934" spans="7:8" x14ac:dyDescent="0.3">
      <c r="G2934" s="4"/>
      <c r="H2934" s="4"/>
    </row>
    <row r="2935" spans="7:8" x14ac:dyDescent="0.3">
      <c r="G2935" s="4"/>
      <c r="H2935" s="4"/>
    </row>
    <row r="2936" spans="7:8" x14ac:dyDescent="0.3">
      <c r="G2936" s="4"/>
      <c r="H2936" s="4"/>
    </row>
    <row r="2937" spans="7:8" x14ac:dyDescent="0.3">
      <c r="G2937" s="4"/>
      <c r="H2937" s="4"/>
    </row>
    <row r="2938" spans="7:8" x14ac:dyDescent="0.3">
      <c r="G2938" s="4"/>
      <c r="H2938" s="4"/>
    </row>
    <row r="2939" spans="7:8" x14ac:dyDescent="0.3">
      <c r="G2939" s="4"/>
      <c r="H2939" s="4"/>
    </row>
    <row r="2940" spans="7:8" x14ac:dyDescent="0.3">
      <c r="G2940" s="4"/>
      <c r="H2940" s="4"/>
    </row>
    <row r="2941" spans="7:8" x14ac:dyDescent="0.3">
      <c r="G2941" s="4"/>
      <c r="H2941" s="4"/>
    </row>
    <row r="2942" spans="7:8" x14ac:dyDescent="0.3">
      <c r="G2942" s="4"/>
      <c r="H2942" s="4"/>
    </row>
    <row r="2943" spans="7:8" x14ac:dyDescent="0.3">
      <c r="G2943" s="4"/>
      <c r="H2943" s="4"/>
    </row>
    <row r="2944" spans="7:8" x14ac:dyDescent="0.3">
      <c r="G2944" s="4"/>
      <c r="H2944" s="4"/>
    </row>
    <row r="2945" spans="7:8" x14ac:dyDescent="0.3">
      <c r="G2945" s="4"/>
      <c r="H2945" s="4"/>
    </row>
    <row r="2946" spans="7:8" x14ac:dyDescent="0.3">
      <c r="G2946" s="4"/>
      <c r="H2946" s="4"/>
    </row>
    <row r="2947" spans="7:8" x14ac:dyDescent="0.3">
      <c r="G2947" s="4"/>
      <c r="H2947" s="4"/>
    </row>
    <row r="2948" spans="7:8" x14ac:dyDescent="0.3">
      <c r="G2948" s="4"/>
      <c r="H2948" s="4"/>
    </row>
    <row r="2949" spans="7:8" x14ac:dyDescent="0.3">
      <c r="G2949" s="4"/>
      <c r="H2949" s="4"/>
    </row>
    <row r="2950" spans="7:8" x14ac:dyDescent="0.3">
      <c r="G2950" s="4"/>
      <c r="H2950" s="4"/>
    </row>
    <row r="2951" spans="7:8" x14ac:dyDescent="0.3">
      <c r="G2951" s="4"/>
      <c r="H2951" s="4"/>
    </row>
    <row r="2952" spans="7:8" x14ac:dyDescent="0.3">
      <c r="G2952" s="4"/>
      <c r="H2952" s="4"/>
    </row>
    <row r="2953" spans="7:8" x14ac:dyDescent="0.3">
      <c r="G2953" s="4"/>
      <c r="H2953" s="4"/>
    </row>
    <row r="2954" spans="7:8" x14ac:dyDescent="0.3">
      <c r="G2954" s="4"/>
      <c r="H2954" s="4"/>
    </row>
    <row r="2955" spans="7:8" x14ac:dyDescent="0.3">
      <c r="G2955" s="4"/>
      <c r="H2955" s="4"/>
    </row>
    <row r="2956" spans="7:8" x14ac:dyDescent="0.3">
      <c r="G2956" s="4"/>
      <c r="H2956" s="4"/>
    </row>
    <row r="2957" spans="7:8" x14ac:dyDescent="0.3">
      <c r="G2957" s="4"/>
      <c r="H2957" s="4"/>
    </row>
    <row r="2958" spans="7:8" x14ac:dyDescent="0.3">
      <c r="G2958" s="4"/>
      <c r="H2958" s="4"/>
    </row>
    <row r="2959" spans="7:8" x14ac:dyDescent="0.3">
      <c r="G2959" s="4"/>
      <c r="H2959" s="4"/>
    </row>
    <row r="2960" spans="7:8" x14ac:dyDescent="0.3">
      <c r="G2960" s="4"/>
      <c r="H2960" s="4"/>
    </row>
    <row r="2961" spans="7:8" x14ac:dyDescent="0.3">
      <c r="G2961" s="4"/>
      <c r="H2961" s="4"/>
    </row>
    <row r="2962" spans="7:8" x14ac:dyDescent="0.3">
      <c r="G2962" s="4"/>
      <c r="H2962" s="4"/>
    </row>
    <row r="2963" spans="7:8" x14ac:dyDescent="0.3">
      <c r="G2963" s="4"/>
      <c r="H2963" s="4"/>
    </row>
    <row r="2964" spans="7:8" x14ac:dyDescent="0.3">
      <c r="G2964" s="4"/>
      <c r="H2964" s="4"/>
    </row>
    <row r="2965" spans="7:8" x14ac:dyDescent="0.3">
      <c r="G2965" s="4"/>
      <c r="H2965" s="4"/>
    </row>
    <row r="2966" spans="7:8" x14ac:dyDescent="0.3">
      <c r="G2966" s="4"/>
      <c r="H2966" s="4"/>
    </row>
    <row r="2967" spans="7:8" x14ac:dyDescent="0.3">
      <c r="G2967" s="4"/>
      <c r="H2967" s="4"/>
    </row>
    <row r="2968" spans="7:8" x14ac:dyDescent="0.3">
      <c r="G2968" s="4"/>
      <c r="H2968" s="4"/>
    </row>
    <row r="2969" spans="7:8" x14ac:dyDescent="0.3">
      <c r="G2969" s="4"/>
      <c r="H2969" s="4"/>
    </row>
    <row r="2970" spans="7:8" x14ac:dyDescent="0.3">
      <c r="G2970" s="4"/>
      <c r="H2970" s="4"/>
    </row>
    <row r="2971" spans="7:8" x14ac:dyDescent="0.3">
      <c r="G2971" s="4"/>
      <c r="H2971" s="4"/>
    </row>
    <row r="2972" spans="7:8" x14ac:dyDescent="0.3">
      <c r="G2972" s="4"/>
      <c r="H2972" s="4"/>
    </row>
    <row r="2973" spans="7:8" x14ac:dyDescent="0.3">
      <c r="G2973" s="4"/>
      <c r="H2973" s="4"/>
    </row>
    <row r="2974" spans="7:8" x14ac:dyDescent="0.3">
      <c r="G2974" s="4"/>
      <c r="H2974" s="4"/>
    </row>
    <row r="2975" spans="7:8" x14ac:dyDescent="0.3">
      <c r="G2975" s="4"/>
      <c r="H2975" s="4"/>
    </row>
    <row r="2976" spans="7:8" x14ac:dyDescent="0.3">
      <c r="G2976" s="4"/>
      <c r="H2976" s="4"/>
    </row>
    <row r="2977" spans="7:8" x14ac:dyDescent="0.3">
      <c r="G2977" s="4"/>
      <c r="H2977" s="4"/>
    </row>
    <row r="2978" spans="7:8" x14ac:dyDescent="0.3">
      <c r="G2978" s="4"/>
      <c r="H2978" s="4"/>
    </row>
    <row r="2979" spans="7:8" x14ac:dyDescent="0.3">
      <c r="G2979" s="4"/>
      <c r="H2979" s="4"/>
    </row>
    <row r="2980" spans="7:8" x14ac:dyDescent="0.3">
      <c r="G2980" s="4"/>
      <c r="H2980" s="4"/>
    </row>
    <row r="2981" spans="7:8" x14ac:dyDescent="0.3">
      <c r="G2981" s="4"/>
      <c r="H2981" s="4"/>
    </row>
    <row r="2982" spans="7:8" x14ac:dyDescent="0.3">
      <c r="G2982" s="4"/>
      <c r="H2982" s="4"/>
    </row>
    <row r="2983" spans="7:8" x14ac:dyDescent="0.3">
      <c r="G2983" s="4"/>
      <c r="H2983" s="4"/>
    </row>
    <row r="2984" spans="7:8" x14ac:dyDescent="0.3">
      <c r="G2984" s="4"/>
      <c r="H2984" s="4"/>
    </row>
    <row r="2985" spans="7:8" x14ac:dyDescent="0.3">
      <c r="G2985" s="4"/>
      <c r="H2985" s="4"/>
    </row>
    <row r="2986" spans="7:8" x14ac:dyDescent="0.3">
      <c r="G2986" s="4"/>
      <c r="H2986" s="4"/>
    </row>
    <row r="2987" spans="7:8" x14ac:dyDescent="0.3">
      <c r="G2987" s="4"/>
      <c r="H2987" s="4"/>
    </row>
    <row r="2988" spans="7:8" x14ac:dyDescent="0.3">
      <c r="G2988" s="4"/>
      <c r="H2988" s="4"/>
    </row>
    <row r="2989" spans="7:8" x14ac:dyDescent="0.3">
      <c r="G2989" s="4"/>
      <c r="H2989" s="4"/>
    </row>
    <row r="2990" spans="7:8" x14ac:dyDescent="0.3">
      <c r="G2990" s="4"/>
      <c r="H2990" s="4"/>
    </row>
    <row r="2991" spans="7:8" x14ac:dyDescent="0.3">
      <c r="G2991" s="4"/>
      <c r="H2991" s="4"/>
    </row>
    <row r="2992" spans="7:8" x14ac:dyDescent="0.3">
      <c r="G2992" s="4"/>
      <c r="H2992" s="4"/>
    </row>
    <row r="2993" spans="7:8" x14ac:dyDescent="0.3">
      <c r="G2993" s="4"/>
      <c r="H2993" s="4"/>
    </row>
    <row r="2994" spans="7:8" x14ac:dyDescent="0.3">
      <c r="G2994" s="4"/>
      <c r="H2994" s="4"/>
    </row>
    <row r="2995" spans="7:8" x14ac:dyDescent="0.3">
      <c r="G2995" s="4"/>
      <c r="H2995" s="4"/>
    </row>
    <row r="2996" spans="7:8" x14ac:dyDescent="0.3">
      <c r="G2996" s="4"/>
      <c r="H2996" s="4"/>
    </row>
    <row r="2997" spans="7:8" x14ac:dyDescent="0.3">
      <c r="G2997" s="4"/>
      <c r="H2997" s="4"/>
    </row>
    <row r="2998" spans="7:8" x14ac:dyDescent="0.3">
      <c r="G2998" s="4"/>
      <c r="H2998" s="4"/>
    </row>
    <row r="2999" spans="7:8" x14ac:dyDescent="0.3">
      <c r="G2999" s="4"/>
      <c r="H2999" s="4"/>
    </row>
    <row r="3000" spans="7:8" x14ac:dyDescent="0.3">
      <c r="G3000" s="4"/>
      <c r="H3000" s="4"/>
    </row>
    <row r="3001" spans="7:8" x14ac:dyDescent="0.3">
      <c r="G3001" s="4"/>
      <c r="H3001" s="4"/>
    </row>
    <row r="3002" spans="7:8" x14ac:dyDescent="0.3">
      <c r="G3002" s="4"/>
      <c r="H3002" s="4"/>
    </row>
    <row r="3003" spans="7:8" x14ac:dyDescent="0.3">
      <c r="G3003" s="4"/>
      <c r="H3003" s="4"/>
    </row>
    <row r="3004" spans="7:8" x14ac:dyDescent="0.3">
      <c r="G3004" s="4"/>
      <c r="H3004" s="4"/>
    </row>
    <row r="3005" spans="7:8" x14ac:dyDescent="0.3">
      <c r="G3005" s="4"/>
      <c r="H3005" s="4"/>
    </row>
    <row r="3006" spans="7:8" x14ac:dyDescent="0.3">
      <c r="G3006" s="4"/>
      <c r="H3006" s="4"/>
    </row>
    <row r="3007" spans="7:8" x14ac:dyDescent="0.3">
      <c r="G3007" s="4"/>
      <c r="H3007" s="4"/>
    </row>
    <row r="3008" spans="7:8" x14ac:dyDescent="0.3">
      <c r="G3008" s="4"/>
      <c r="H3008" s="4"/>
    </row>
    <row r="3009" spans="7:8" x14ac:dyDescent="0.3">
      <c r="G3009" s="4"/>
      <c r="H3009" s="4"/>
    </row>
    <row r="3010" spans="7:8" x14ac:dyDescent="0.3">
      <c r="G3010" s="4"/>
      <c r="H3010" s="4"/>
    </row>
    <row r="3011" spans="7:8" x14ac:dyDescent="0.3">
      <c r="G3011" s="4"/>
      <c r="H3011" s="4"/>
    </row>
    <row r="3012" spans="7:8" x14ac:dyDescent="0.3">
      <c r="G3012" s="4"/>
      <c r="H3012" s="4"/>
    </row>
    <row r="3013" spans="7:8" x14ac:dyDescent="0.3">
      <c r="G3013" s="4"/>
      <c r="H3013" s="4"/>
    </row>
    <row r="3014" spans="7:8" x14ac:dyDescent="0.3">
      <c r="G3014" s="4"/>
      <c r="H3014" s="4"/>
    </row>
    <row r="3015" spans="7:8" x14ac:dyDescent="0.3">
      <c r="G3015" s="4"/>
      <c r="H3015" s="4"/>
    </row>
    <row r="3016" spans="7:8" x14ac:dyDescent="0.3">
      <c r="G3016" s="4"/>
      <c r="H3016" s="4"/>
    </row>
    <row r="3017" spans="7:8" x14ac:dyDescent="0.3">
      <c r="G3017" s="4"/>
      <c r="H3017" s="4"/>
    </row>
    <row r="3018" spans="7:8" x14ac:dyDescent="0.3">
      <c r="G3018" s="4"/>
      <c r="H3018" s="4"/>
    </row>
    <row r="3019" spans="7:8" x14ac:dyDescent="0.3">
      <c r="G3019" s="4"/>
      <c r="H3019" s="4"/>
    </row>
    <row r="3020" spans="7:8" x14ac:dyDescent="0.3">
      <c r="G3020" s="4"/>
      <c r="H3020" s="4"/>
    </row>
    <row r="3021" spans="7:8" x14ac:dyDescent="0.3">
      <c r="G3021" s="4"/>
      <c r="H3021" s="4"/>
    </row>
    <row r="3022" spans="7:8" x14ac:dyDescent="0.3">
      <c r="G3022" s="4"/>
      <c r="H3022" s="4"/>
    </row>
    <row r="3023" spans="7:8" x14ac:dyDescent="0.3">
      <c r="G3023" s="4"/>
      <c r="H3023" s="4"/>
    </row>
    <row r="3024" spans="7:8" x14ac:dyDescent="0.3">
      <c r="G3024" s="4"/>
      <c r="H3024" s="4"/>
    </row>
    <row r="3025" spans="7:8" x14ac:dyDescent="0.3">
      <c r="G3025" s="4"/>
      <c r="H3025" s="4"/>
    </row>
    <row r="3026" spans="7:8" x14ac:dyDescent="0.3">
      <c r="G3026" s="4"/>
      <c r="H3026" s="4"/>
    </row>
    <row r="3027" spans="7:8" x14ac:dyDescent="0.3">
      <c r="G3027" s="4"/>
      <c r="H3027" s="4"/>
    </row>
    <row r="3028" spans="7:8" x14ac:dyDescent="0.3">
      <c r="G3028" s="4"/>
      <c r="H3028" s="4"/>
    </row>
    <row r="3029" spans="7:8" x14ac:dyDescent="0.3">
      <c r="G3029" s="4"/>
      <c r="H3029" s="4"/>
    </row>
    <row r="3030" spans="7:8" x14ac:dyDescent="0.3">
      <c r="G3030" s="4"/>
      <c r="H3030" s="4"/>
    </row>
    <row r="3031" spans="7:8" x14ac:dyDescent="0.3">
      <c r="G3031" s="4"/>
      <c r="H3031" s="4"/>
    </row>
    <row r="3032" spans="7:8" x14ac:dyDescent="0.3">
      <c r="G3032" s="4"/>
      <c r="H3032" s="4"/>
    </row>
    <row r="3033" spans="7:8" x14ac:dyDescent="0.3">
      <c r="G3033" s="4"/>
      <c r="H3033" s="4"/>
    </row>
    <row r="3034" spans="7:8" x14ac:dyDescent="0.3">
      <c r="G3034" s="4"/>
      <c r="H3034" s="4"/>
    </row>
    <row r="3035" spans="7:8" x14ac:dyDescent="0.3">
      <c r="G3035" s="4"/>
      <c r="H3035" s="4"/>
    </row>
    <row r="3036" spans="7:8" x14ac:dyDescent="0.3">
      <c r="G3036" s="4"/>
      <c r="H3036" s="4"/>
    </row>
    <row r="3037" spans="7:8" x14ac:dyDescent="0.3">
      <c r="G3037" s="4"/>
      <c r="H3037" s="4"/>
    </row>
    <row r="3038" spans="7:8" x14ac:dyDescent="0.3">
      <c r="G3038" s="4"/>
      <c r="H3038" s="4"/>
    </row>
    <row r="3039" spans="7:8" x14ac:dyDescent="0.3">
      <c r="G3039" s="4"/>
      <c r="H3039" s="4"/>
    </row>
    <row r="3040" spans="7:8" x14ac:dyDescent="0.3">
      <c r="G3040" s="4"/>
      <c r="H3040" s="4"/>
    </row>
    <row r="3041" spans="7:8" x14ac:dyDescent="0.3">
      <c r="G3041" s="4"/>
      <c r="H3041" s="4"/>
    </row>
    <row r="3042" spans="7:8" x14ac:dyDescent="0.3">
      <c r="G3042" s="4"/>
      <c r="H3042" s="4"/>
    </row>
    <row r="3043" spans="7:8" x14ac:dyDescent="0.3">
      <c r="G3043" s="4"/>
      <c r="H3043" s="4"/>
    </row>
    <row r="3044" spans="7:8" x14ac:dyDescent="0.3">
      <c r="G3044" s="4"/>
      <c r="H3044" s="4"/>
    </row>
    <row r="3045" spans="7:8" x14ac:dyDescent="0.3">
      <c r="G3045" s="4"/>
      <c r="H3045" s="4"/>
    </row>
    <row r="3046" spans="7:8" x14ac:dyDescent="0.3">
      <c r="G3046" s="4"/>
      <c r="H3046" s="4"/>
    </row>
    <row r="3047" spans="7:8" x14ac:dyDescent="0.3">
      <c r="G3047" s="4"/>
      <c r="H3047" s="4"/>
    </row>
    <row r="3048" spans="7:8" x14ac:dyDescent="0.3">
      <c r="G3048" s="4"/>
      <c r="H3048" s="4"/>
    </row>
    <row r="3049" spans="7:8" x14ac:dyDescent="0.3">
      <c r="G3049" s="4"/>
      <c r="H3049" s="4"/>
    </row>
    <row r="3050" spans="7:8" x14ac:dyDescent="0.3">
      <c r="G3050" s="4"/>
      <c r="H3050" s="4"/>
    </row>
    <row r="3051" spans="7:8" x14ac:dyDescent="0.3">
      <c r="G3051" s="4"/>
      <c r="H3051" s="4"/>
    </row>
    <row r="3052" spans="7:8" x14ac:dyDescent="0.3">
      <c r="G3052" s="4"/>
      <c r="H3052" s="4"/>
    </row>
    <row r="3053" spans="7:8" x14ac:dyDescent="0.3">
      <c r="G3053" s="4"/>
      <c r="H3053" s="4"/>
    </row>
    <row r="3054" spans="7:8" x14ac:dyDescent="0.3">
      <c r="G3054" s="4"/>
      <c r="H3054" s="4"/>
    </row>
    <row r="3055" spans="7:8" x14ac:dyDescent="0.3">
      <c r="G3055" s="4"/>
      <c r="H3055" s="4"/>
    </row>
    <row r="3056" spans="7:8" x14ac:dyDescent="0.3">
      <c r="G3056" s="4"/>
      <c r="H3056" s="4"/>
    </row>
    <row r="3057" spans="7:8" x14ac:dyDescent="0.3">
      <c r="G3057" s="4"/>
      <c r="H3057" s="4"/>
    </row>
    <row r="3058" spans="7:8" x14ac:dyDescent="0.3">
      <c r="G3058" s="4"/>
      <c r="H3058" s="4"/>
    </row>
    <row r="3059" spans="7:8" x14ac:dyDescent="0.3">
      <c r="G3059" s="4"/>
      <c r="H3059" s="4"/>
    </row>
    <row r="3060" spans="7:8" x14ac:dyDescent="0.3">
      <c r="G3060" s="4"/>
      <c r="H3060" s="4"/>
    </row>
    <row r="3061" spans="7:8" x14ac:dyDescent="0.3">
      <c r="G3061" s="4"/>
      <c r="H3061" s="4"/>
    </row>
    <row r="3062" spans="7:8" x14ac:dyDescent="0.3">
      <c r="G3062" s="4"/>
      <c r="H3062" s="4"/>
    </row>
    <row r="3063" spans="7:8" x14ac:dyDescent="0.3">
      <c r="G3063" s="4"/>
      <c r="H3063" s="4"/>
    </row>
    <row r="3064" spans="7:8" x14ac:dyDescent="0.3">
      <c r="G3064" s="4"/>
      <c r="H3064" s="4"/>
    </row>
    <row r="3065" spans="7:8" x14ac:dyDescent="0.3">
      <c r="G3065" s="4"/>
      <c r="H3065" s="4"/>
    </row>
    <row r="3066" spans="7:8" x14ac:dyDescent="0.3">
      <c r="G3066" s="4"/>
      <c r="H3066" s="4"/>
    </row>
    <row r="3067" spans="7:8" x14ac:dyDescent="0.3">
      <c r="G3067" s="4"/>
      <c r="H3067" s="4"/>
    </row>
    <row r="3068" spans="7:8" x14ac:dyDescent="0.3">
      <c r="G3068" s="4"/>
      <c r="H3068" s="4"/>
    </row>
    <row r="3069" spans="7:8" x14ac:dyDescent="0.3">
      <c r="G3069" s="4"/>
      <c r="H3069" s="4"/>
    </row>
    <row r="3070" spans="7:8" x14ac:dyDescent="0.3">
      <c r="G3070" s="4"/>
      <c r="H3070" s="4"/>
    </row>
    <row r="3071" spans="7:8" x14ac:dyDescent="0.3">
      <c r="G3071" s="4"/>
      <c r="H3071" s="4"/>
    </row>
    <row r="3072" spans="7:8" x14ac:dyDescent="0.3">
      <c r="G3072" s="4"/>
      <c r="H3072" s="4"/>
    </row>
    <row r="3073" spans="7:8" x14ac:dyDescent="0.3">
      <c r="G3073" s="4"/>
      <c r="H3073" s="4"/>
    </row>
    <row r="3074" spans="7:8" x14ac:dyDescent="0.3">
      <c r="G3074" s="4"/>
      <c r="H3074" s="4"/>
    </row>
    <row r="3075" spans="7:8" x14ac:dyDescent="0.3">
      <c r="G3075" s="4"/>
      <c r="H3075" s="4"/>
    </row>
    <row r="3076" spans="7:8" x14ac:dyDescent="0.3">
      <c r="G3076" s="4"/>
      <c r="H3076" s="4"/>
    </row>
    <row r="3077" spans="7:8" x14ac:dyDescent="0.3">
      <c r="G3077" s="4"/>
      <c r="H3077" s="4"/>
    </row>
    <row r="3078" spans="7:8" x14ac:dyDescent="0.3">
      <c r="G3078" s="4"/>
      <c r="H3078" s="4"/>
    </row>
    <row r="3079" spans="7:8" x14ac:dyDescent="0.3">
      <c r="G3079" s="4"/>
      <c r="H3079" s="4"/>
    </row>
    <row r="3080" spans="7:8" x14ac:dyDescent="0.3">
      <c r="G3080" s="4"/>
      <c r="H3080" s="4"/>
    </row>
    <row r="3081" spans="7:8" x14ac:dyDescent="0.3">
      <c r="G3081" s="4"/>
      <c r="H3081" s="4"/>
    </row>
    <row r="3082" spans="7:8" x14ac:dyDescent="0.3">
      <c r="G3082" s="4"/>
      <c r="H3082" s="4"/>
    </row>
    <row r="3083" spans="7:8" x14ac:dyDescent="0.3">
      <c r="G3083" s="4"/>
      <c r="H3083" s="4"/>
    </row>
    <row r="3084" spans="7:8" x14ac:dyDescent="0.3">
      <c r="G3084" s="4"/>
      <c r="H3084" s="4"/>
    </row>
    <row r="3085" spans="7:8" x14ac:dyDescent="0.3">
      <c r="G3085" s="4"/>
      <c r="H3085" s="4"/>
    </row>
    <row r="3086" spans="7:8" x14ac:dyDescent="0.3">
      <c r="G3086" s="4"/>
      <c r="H3086" s="4"/>
    </row>
    <row r="3087" spans="7:8" x14ac:dyDescent="0.3">
      <c r="G3087" s="4"/>
      <c r="H3087" s="4"/>
    </row>
    <row r="3088" spans="7:8" x14ac:dyDescent="0.3">
      <c r="G3088" s="4"/>
      <c r="H3088" s="4"/>
    </row>
    <row r="3089" spans="7:8" x14ac:dyDescent="0.3">
      <c r="G3089" s="4"/>
      <c r="H3089" s="4"/>
    </row>
    <row r="3090" spans="7:8" x14ac:dyDescent="0.3">
      <c r="G3090" s="4"/>
      <c r="H3090" s="4"/>
    </row>
    <row r="3091" spans="7:8" x14ac:dyDescent="0.3">
      <c r="G3091" s="4"/>
      <c r="H3091" s="4"/>
    </row>
    <row r="3092" spans="7:8" x14ac:dyDescent="0.3">
      <c r="G3092" s="4"/>
      <c r="H3092" s="4"/>
    </row>
    <row r="3093" spans="7:8" x14ac:dyDescent="0.3">
      <c r="G3093" s="4"/>
      <c r="H3093" s="4"/>
    </row>
    <row r="3094" spans="7:8" x14ac:dyDescent="0.3">
      <c r="G3094" s="4"/>
      <c r="H3094" s="4"/>
    </row>
    <row r="3095" spans="7:8" x14ac:dyDescent="0.3">
      <c r="G3095" s="4"/>
      <c r="H3095" s="4"/>
    </row>
    <row r="3096" spans="7:8" x14ac:dyDescent="0.3">
      <c r="G3096" s="4"/>
      <c r="H3096" s="4"/>
    </row>
    <row r="3097" spans="7:8" x14ac:dyDescent="0.3">
      <c r="G3097" s="4"/>
      <c r="H3097" s="4"/>
    </row>
    <row r="3098" spans="7:8" x14ac:dyDescent="0.3">
      <c r="G3098" s="4"/>
      <c r="H3098" s="4"/>
    </row>
    <row r="3099" spans="7:8" x14ac:dyDescent="0.3">
      <c r="G3099" s="4"/>
      <c r="H3099" s="4"/>
    </row>
    <row r="3100" spans="7:8" x14ac:dyDescent="0.3">
      <c r="G3100" s="4"/>
      <c r="H3100" s="4"/>
    </row>
    <row r="3101" spans="7:8" x14ac:dyDescent="0.3">
      <c r="G3101" s="4"/>
      <c r="H3101" s="4"/>
    </row>
    <row r="3102" spans="7:8" x14ac:dyDescent="0.3">
      <c r="G3102" s="4"/>
      <c r="H3102" s="4"/>
    </row>
    <row r="3103" spans="7:8" x14ac:dyDescent="0.3">
      <c r="G3103" s="4"/>
      <c r="H3103" s="4"/>
    </row>
    <row r="3104" spans="7:8" x14ac:dyDescent="0.3">
      <c r="G3104" s="4"/>
      <c r="H3104" s="4"/>
    </row>
    <row r="3105" spans="7:8" x14ac:dyDescent="0.3">
      <c r="G3105" s="4"/>
      <c r="H3105" s="4"/>
    </row>
    <row r="3106" spans="7:8" x14ac:dyDescent="0.3">
      <c r="G3106" s="4"/>
      <c r="H3106" s="4"/>
    </row>
    <row r="3107" spans="7:8" x14ac:dyDescent="0.3">
      <c r="G3107" s="4"/>
      <c r="H3107" s="4"/>
    </row>
    <row r="3108" spans="7:8" x14ac:dyDescent="0.3">
      <c r="G3108" s="4"/>
      <c r="H3108" s="4"/>
    </row>
    <row r="3109" spans="7:8" x14ac:dyDescent="0.3">
      <c r="G3109" s="4"/>
      <c r="H3109" s="4"/>
    </row>
    <row r="3110" spans="7:8" x14ac:dyDescent="0.3">
      <c r="G3110" s="4"/>
      <c r="H3110" s="4"/>
    </row>
    <row r="3111" spans="7:8" x14ac:dyDescent="0.3">
      <c r="G3111" s="4"/>
      <c r="H3111" s="4"/>
    </row>
    <row r="3112" spans="7:8" x14ac:dyDescent="0.3">
      <c r="G3112" s="4"/>
      <c r="H3112" s="4"/>
    </row>
    <row r="3113" spans="7:8" x14ac:dyDescent="0.3">
      <c r="G3113" s="4"/>
      <c r="H3113" s="4"/>
    </row>
    <row r="3114" spans="7:8" x14ac:dyDescent="0.3">
      <c r="G3114" s="4"/>
      <c r="H3114" s="4"/>
    </row>
    <row r="3115" spans="7:8" x14ac:dyDescent="0.3">
      <c r="G3115" s="4"/>
      <c r="H3115" s="4"/>
    </row>
    <row r="3116" spans="7:8" x14ac:dyDescent="0.3">
      <c r="G3116" s="4"/>
      <c r="H3116" s="4"/>
    </row>
    <row r="3117" spans="7:8" x14ac:dyDescent="0.3">
      <c r="G3117" s="4"/>
      <c r="H3117" s="4"/>
    </row>
    <row r="3118" spans="7:8" x14ac:dyDescent="0.3">
      <c r="G3118" s="4"/>
      <c r="H3118" s="4"/>
    </row>
    <row r="3119" spans="7:8" x14ac:dyDescent="0.3">
      <c r="G3119" s="4"/>
      <c r="H3119" s="4"/>
    </row>
    <row r="3120" spans="7:8" x14ac:dyDescent="0.3">
      <c r="G3120" s="4"/>
      <c r="H3120" s="4"/>
    </row>
    <row r="3121" spans="7:8" x14ac:dyDescent="0.3">
      <c r="G3121" s="4"/>
      <c r="H3121" s="4"/>
    </row>
    <row r="3122" spans="7:8" x14ac:dyDescent="0.3">
      <c r="G3122" s="4"/>
      <c r="H3122" s="4"/>
    </row>
    <row r="3123" spans="7:8" x14ac:dyDescent="0.3">
      <c r="G3123" s="4"/>
      <c r="H3123" s="4"/>
    </row>
    <row r="3124" spans="7:8" x14ac:dyDescent="0.3">
      <c r="G3124" s="4"/>
      <c r="H3124" s="4"/>
    </row>
    <row r="3125" spans="7:8" x14ac:dyDescent="0.3">
      <c r="G3125" s="4"/>
      <c r="H3125" s="4"/>
    </row>
    <row r="3126" spans="7:8" x14ac:dyDescent="0.3">
      <c r="G3126" s="4"/>
      <c r="H3126" s="4"/>
    </row>
    <row r="3127" spans="7:8" x14ac:dyDescent="0.3">
      <c r="G3127" s="4"/>
      <c r="H3127" s="4"/>
    </row>
    <row r="3128" spans="7:8" x14ac:dyDescent="0.3">
      <c r="G3128" s="4"/>
      <c r="H3128" s="4"/>
    </row>
    <row r="3129" spans="7:8" x14ac:dyDescent="0.3">
      <c r="G3129" s="4"/>
      <c r="H3129" s="4"/>
    </row>
    <row r="3130" spans="7:8" x14ac:dyDescent="0.3">
      <c r="G3130" s="4"/>
      <c r="H3130" s="4"/>
    </row>
    <row r="3131" spans="7:8" x14ac:dyDescent="0.3">
      <c r="G3131" s="4"/>
      <c r="H3131" s="4"/>
    </row>
    <row r="3132" spans="7:8" x14ac:dyDescent="0.3">
      <c r="G3132" s="4"/>
      <c r="H3132" s="4"/>
    </row>
    <row r="3133" spans="7:8" x14ac:dyDescent="0.3">
      <c r="G3133" s="4"/>
      <c r="H3133" s="4"/>
    </row>
    <row r="3134" spans="7:8" x14ac:dyDescent="0.3">
      <c r="G3134" s="4"/>
      <c r="H3134" s="4"/>
    </row>
    <row r="3135" spans="7:8" x14ac:dyDescent="0.3">
      <c r="G3135" s="4"/>
      <c r="H3135" s="4"/>
    </row>
    <row r="3136" spans="7:8" x14ac:dyDescent="0.3">
      <c r="G3136" s="4"/>
      <c r="H3136" s="4"/>
    </row>
    <row r="3137" spans="7:8" x14ac:dyDescent="0.3">
      <c r="G3137" s="4"/>
      <c r="H3137" s="4"/>
    </row>
    <row r="3138" spans="7:8" x14ac:dyDescent="0.3">
      <c r="G3138" s="4"/>
      <c r="H3138" s="4"/>
    </row>
    <row r="3139" spans="7:8" x14ac:dyDescent="0.3">
      <c r="G3139" s="4"/>
      <c r="H3139" s="4"/>
    </row>
    <row r="3140" spans="7:8" x14ac:dyDescent="0.3">
      <c r="G3140" s="4"/>
      <c r="H3140" s="4"/>
    </row>
    <row r="3141" spans="7:8" x14ac:dyDescent="0.3">
      <c r="G3141" s="4"/>
      <c r="H3141" s="4"/>
    </row>
    <row r="3142" spans="7:8" x14ac:dyDescent="0.3">
      <c r="G3142" s="4"/>
      <c r="H3142" s="4"/>
    </row>
    <row r="3143" spans="7:8" x14ac:dyDescent="0.3">
      <c r="G3143" s="4"/>
      <c r="H3143" s="4"/>
    </row>
    <row r="3144" spans="7:8" x14ac:dyDescent="0.3">
      <c r="G3144" s="4"/>
      <c r="H3144" s="4"/>
    </row>
    <row r="3145" spans="7:8" x14ac:dyDescent="0.3">
      <c r="G3145" s="4"/>
      <c r="H3145" s="4"/>
    </row>
    <row r="3146" spans="7:8" x14ac:dyDescent="0.3">
      <c r="G3146" s="4"/>
      <c r="H3146" s="4"/>
    </row>
    <row r="3147" spans="7:8" x14ac:dyDescent="0.3">
      <c r="G3147" s="4"/>
      <c r="H3147" s="4"/>
    </row>
    <row r="3148" spans="7:8" x14ac:dyDescent="0.3">
      <c r="G3148" s="4"/>
      <c r="H3148" s="4"/>
    </row>
    <row r="3149" spans="7:8" x14ac:dyDescent="0.3">
      <c r="G3149" s="4"/>
      <c r="H3149" s="4"/>
    </row>
    <row r="3150" spans="7:8" x14ac:dyDescent="0.3">
      <c r="G3150" s="4"/>
      <c r="H3150" s="4"/>
    </row>
    <row r="3151" spans="7:8" x14ac:dyDescent="0.3">
      <c r="G3151" s="4"/>
      <c r="H3151" s="4"/>
    </row>
    <row r="3152" spans="7:8" x14ac:dyDescent="0.3">
      <c r="G3152" s="4"/>
      <c r="H3152" s="4"/>
    </row>
    <row r="3153" spans="7:8" x14ac:dyDescent="0.3">
      <c r="G3153" s="4"/>
      <c r="H3153" s="4"/>
    </row>
    <row r="3154" spans="7:8" x14ac:dyDescent="0.3">
      <c r="G3154" s="4"/>
      <c r="H3154" s="4"/>
    </row>
    <row r="3155" spans="7:8" x14ac:dyDescent="0.3">
      <c r="G3155" s="4"/>
      <c r="H3155" s="4"/>
    </row>
    <row r="3156" spans="7:8" x14ac:dyDescent="0.3">
      <c r="G3156" s="4"/>
      <c r="H3156" s="4"/>
    </row>
    <row r="3157" spans="7:8" x14ac:dyDescent="0.3">
      <c r="G3157" s="4"/>
      <c r="H3157" s="4"/>
    </row>
    <row r="3158" spans="7:8" x14ac:dyDescent="0.3">
      <c r="G3158" s="4"/>
      <c r="H3158" s="4"/>
    </row>
    <row r="3159" spans="7:8" x14ac:dyDescent="0.3">
      <c r="G3159" s="4"/>
      <c r="H3159" s="4"/>
    </row>
    <row r="3160" spans="7:8" x14ac:dyDescent="0.3">
      <c r="G3160" s="4"/>
      <c r="H3160" s="4"/>
    </row>
    <row r="3161" spans="7:8" x14ac:dyDescent="0.3">
      <c r="G3161" s="4"/>
      <c r="H3161" s="4"/>
    </row>
    <row r="3162" spans="7:8" x14ac:dyDescent="0.3">
      <c r="G3162" s="4"/>
      <c r="H3162" s="4"/>
    </row>
    <row r="3163" spans="7:8" x14ac:dyDescent="0.3">
      <c r="G3163" s="4"/>
      <c r="H3163" s="4"/>
    </row>
    <row r="3164" spans="7:8" x14ac:dyDescent="0.3">
      <c r="G3164" s="4"/>
      <c r="H3164" s="4"/>
    </row>
    <row r="3165" spans="7:8" x14ac:dyDescent="0.3">
      <c r="G3165" s="4"/>
      <c r="H3165" s="4"/>
    </row>
    <row r="3166" spans="7:8" x14ac:dyDescent="0.3">
      <c r="G3166" s="4"/>
      <c r="H3166" s="4"/>
    </row>
    <row r="3167" spans="7:8" x14ac:dyDescent="0.3">
      <c r="G3167" s="4"/>
      <c r="H3167" s="4"/>
    </row>
    <row r="3168" spans="7:8" x14ac:dyDescent="0.3">
      <c r="G3168" s="4"/>
      <c r="H3168" s="4"/>
    </row>
    <row r="3169" spans="7:8" x14ac:dyDescent="0.3">
      <c r="G3169" s="4"/>
      <c r="H3169" s="4"/>
    </row>
    <row r="3170" spans="7:8" x14ac:dyDescent="0.3">
      <c r="G3170" s="4"/>
      <c r="H3170" s="4"/>
    </row>
    <row r="3171" spans="7:8" x14ac:dyDescent="0.3">
      <c r="G3171" s="4"/>
      <c r="H3171" s="4"/>
    </row>
    <row r="3172" spans="7:8" x14ac:dyDescent="0.3">
      <c r="G3172" s="4"/>
      <c r="H3172" s="4"/>
    </row>
    <row r="3173" spans="7:8" x14ac:dyDescent="0.3">
      <c r="G3173" s="4"/>
      <c r="H3173" s="4"/>
    </row>
    <row r="3174" spans="7:8" x14ac:dyDescent="0.3">
      <c r="G3174" s="4"/>
      <c r="H3174" s="4"/>
    </row>
    <row r="3175" spans="7:8" x14ac:dyDescent="0.3">
      <c r="G3175" s="4"/>
      <c r="H3175" s="4"/>
    </row>
    <row r="3176" spans="7:8" x14ac:dyDescent="0.3">
      <c r="G3176" s="4"/>
      <c r="H3176" s="4"/>
    </row>
    <row r="3177" spans="7:8" x14ac:dyDescent="0.3">
      <c r="G3177" s="4"/>
      <c r="H3177" s="4"/>
    </row>
    <row r="3178" spans="7:8" x14ac:dyDescent="0.3">
      <c r="G3178" s="4"/>
      <c r="H3178" s="4"/>
    </row>
    <row r="3179" spans="7:8" x14ac:dyDescent="0.3">
      <c r="G3179" s="4"/>
      <c r="H3179" s="4"/>
    </row>
    <row r="3180" spans="7:8" x14ac:dyDescent="0.3">
      <c r="G3180" s="4"/>
      <c r="H3180" s="4"/>
    </row>
    <row r="3181" spans="7:8" x14ac:dyDescent="0.3">
      <c r="G3181" s="4"/>
      <c r="H3181" s="4"/>
    </row>
    <row r="3182" spans="7:8" x14ac:dyDescent="0.3">
      <c r="G3182" s="4"/>
      <c r="H3182" s="4"/>
    </row>
    <row r="3183" spans="7:8" x14ac:dyDescent="0.3">
      <c r="G3183" s="4"/>
      <c r="H3183" s="4"/>
    </row>
    <row r="3184" spans="7:8" x14ac:dyDescent="0.3">
      <c r="G3184" s="4"/>
      <c r="H3184" s="4"/>
    </row>
    <row r="3185" spans="7:8" x14ac:dyDescent="0.3">
      <c r="G3185" s="4"/>
      <c r="H3185" s="4"/>
    </row>
    <row r="3186" spans="7:8" x14ac:dyDescent="0.3">
      <c r="G3186" s="4"/>
      <c r="H3186" s="4"/>
    </row>
    <row r="3187" spans="7:8" x14ac:dyDescent="0.3">
      <c r="G3187" s="4"/>
      <c r="H3187" s="4"/>
    </row>
    <row r="3188" spans="7:8" x14ac:dyDescent="0.3">
      <c r="G3188" s="4"/>
      <c r="H3188" s="4"/>
    </row>
    <row r="3189" spans="7:8" x14ac:dyDescent="0.3">
      <c r="G3189" s="4"/>
      <c r="H3189" s="4"/>
    </row>
    <row r="3190" spans="7:8" x14ac:dyDescent="0.3">
      <c r="G3190" s="4"/>
      <c r="H3190" s="4"/>
    </row>
    <row r="3191" spans="7:8" x14ac:dyDescent="0.3">
      <c r="G3191" s="4"/>
      <c r="H3191" s="4"/>
    </row>
    <row r="3192" spans="7:8" x14ac:dyDescent="0.3">
      <c r="G3192" s="4"/>
      <c r="H3192" s="4"/>
    </row>
    <row r="3193" spans="7:8" x14ac:dyDescent="0.3">
      <c r="G3193" s="4"/>
      <c r="H3193" s="4"/>
    </row>
    <row r="3194" spans="7:8" x14ac:dyDescent="0.3">
      <c r="G3194" s="4"/>
      <c r="H3194" s="4"/>
    </row>
    <row r="3195" spans="7:8" x14ac:dyDescent="0.3">
      <c r="G3195" s="4"/>
      <c r="H3195" s="4"/>
    </row>
    <row r="3196" spans="7:8" x14ac:dyDescent="0.3">
      <c r="G3196" s="4"/>
      <c r="H3196" s="4"/>
    </row>
    <row r="3197" spans="7:8" x14ac:dyDescent="0.3">
      <c r="G3197" s="4"/>
      <c r="H3197" s="4"/>
    </row>
    <row r="3198" spans="7:8" x14ac:dyDescent="0.3">
      <c r="G3198" s="4"/>
      <c r="H3198" s="4"/>
    </row>
    <row r="3199" spans="7:8" x14ac:dyDescent="0.3">
      <c r="G3199" s="4"/>
      <c r="H3199" s="4"/>
    </row>
    <row r="3200" spans="7:8" x14ac:dyDescent="0.3">
      <c r="G3200" s="4"/>
      <c r="H3200" s="4"/>
    </row>
    <row r="3201" spans="7:8" x14ac:dyDescent="0.3">
      <c r="G3201" s="4"/>
      <c r="H3201" s="4"/>
    </row>
    <row r="3202" spans="7:8" x14ac:dyDescent="0.3">
      <c r="G3202" s="4"/>
      <c r="H3202" s="4"/>
    </row>
    <row r="3203" spans="7:8" x14ac:dyDescent="0.3">
      <c r="G3203" s="4"/>
      <c r="H3203" s="4"/>
    </row>
    <row r="3204" spans="7:8" x14ac:dyDescent="0.3">
      <c r="G3204" s="4"/>
      <c r="H3204" s="4"/>
    </row>
    <row r="3205" spans="7:8" x14ac:dyDescent="0.3">
      <c r="G3205" s="4"/>
      <c r="H3205" s="4"/>
    </row>
    <row r="3206" spans="7:8" x14ac:dyDescent="0.3">
      <c r="G3206" s="4"/>
      <c r="H3206" s="4"/>
    </row>
    <row r="3207" spans="7:8" x14ac:dyDescent="0.3">
      <c r="G3207" s="4"/>
      <c r="H3207" s="4"/>
    </row>
    <row r="3208" spans="7:8" x14ac:dyDescent="0.3">
      <c r="G3208" s="4"/>
      <c r="H3208" s="4"/>
    </row>
    <row r="3209" spans="7:8" x14ac:dyDescent="0.3">
      <c r="G3209" s="4"/>
      <c r="H3209" s="4"/>
    </row>
    <row r="3210" spans="7:8" x14ac:dyDescent="0.3">
      <c r="G3210" s="4"/>
      <c r="H3210" s="4"/>
    </row>
    <row r="3211" spans="7:8" x14ac:dyDescent="0.3">
      <c r="G3211" s="4"/>
      <c r="H3211" s="4"/>
    </row>
    <row r="3212" spans="7:8" x14ac:dyDescent="0.3">
      <c r="G3212" s="4"/>
      <c r="H3212" s="4"/>
    </row>
    <row r="3213" spans="7:8" x14ac:dyDescent="0.3">
      <c r="G3213" s="4"/>
      <c r="H3213" s="4"/>
    </row>
    <row r="3214" spans="7:8" x14ac:dyDescent="0.3">
      <c r="G3214" s="4"/>
      <c r="H3214" s="4"/>
    </row>
    <row r="3215" spans="7:8" x14ac:dyDescent="0.3">
      <c r="G3215" s="4"/>
      <c r="H3215" s="4"/>
    </row>
    <row r="3216" spans="7:8" x14ac:dyDescent="0.3">
      <c r="G3216" s="4"/>
      <c r="H3216" s="4"/>
    </row>
    <row r="3217" spans="7:8" x14ac:dyDescent="0.3">
      <c r="G3217" s="4"/>
      <c r="H3217" s="4"/>
    </row>
    <row r="3218" spans="7:8" x14ac:dyDescent="0.3">
      <c r="G3218" s="4"/>
      <c r="H3218" s="4"/>
    </row>
    <row r="3219" spans="7:8" x14ac:dyDescent="0.3">
      <c r="G3219" s="4"/>
      <c r="H3219" s="4"/>
    </row>
    <row r="3220" spans="7:8" x14ac:dyDescent="0.3">
      <c r="G3220" s="4"/>
      <c r="H3220" s="4"/>
    </row>
    <row r="3221" spans="7:8" x14ac:dyDescent="0.3">
      <c r="G3221" s="4"/>
      <c r="H3221" s="4"/>
    </row>
    <row r="3222" spans="7:8" x14ac:dyDescent="0.3">
      <c r="G3222" s="4"/>
      <c r="H3222" s="4"/>
    </row>
    <row r="3223" spans="7:8" x14ac:dyDescent="0.3">
      <c r="G3223" s="4"/>
      <c r="H3223" s="4"/>
    </row>
    <row r="3224" spans="7:8" x14ac:dyDescent="0.3">
      <c r="G3224" s="4"/>
      <c r="H3224" s="4"/>
    </row>
    <row r="3225" spans="7:8" x14ac:dyDescent="0.3">
      <c r="G3225" s="4"/>
      <c r="H3225" s="4"/>
    </row>
    <row r="3226" spans="7:8" x14ac:dyDescent="0.3">
      <c r="G3226" s="4"/>
      <c r="H3226" s="4"/>
    </row>
    <row r="3227" spans="7:8" x14ac:dyDescent="0.3">
      <c r="G3227" s="4"/>
      <c r="H3227" s="4"/>
    </row>
    <row r="3228" spans="7:8" x14ac:dyDescent="0.3">
      <c r="G3228" s="4"/>
      <c r="H3228" s="4"/>
    </row>
    <row r="3229" spans="7:8" x14ac:dyDescent="0.3">
      <c r="G3229" s="4"/>
      <c r="H3229" s="4"/>
    </row>
    <row r="3230" spans="7:8" x14ac:dyDescent="0.3">
      <c r="G3230" s="4"/>
      <c r="H3230" s="4"/>
    </row>
    <row r="3231" spans="7:8" x14ac:dyDescent="0.3">
      <c r="G3231" s="4"/>
      <c r="H3231" s="4"/>
    </row>
    <row r="3232" spans="7:8" x14ac:dyDescent="0.3">
      <c r="G3232" s="4"/>
      <c r="H3232" s="4"/>
    </row>
    <row r="3233" spans="7:8" x14ac:dyDescent="0.3">
      <c r="G3233" s="4"/>
      <c r="H3233" s="4"/>
    </row>
    <row r="3234" spans="7:8" x14ac:dyDescent="0.3">
      <c r="G3234" s="4"/>
      <c r="H3234" s="4"/>
    </row>
    <row r="3235" spans="7:8" x14ac:dyDescent="0.3">
      <c r="G3235" s="4"/>
      <c r="H3235" s="4"/>
    </row>
    <row r="3236" spans="7:8" x14ac:dyDescent="0.3">
      <c r="G3236" s="4"/>
      <c r="H3236" s="4"/>
    </row>
    <row r="3237" spans="7:8" x14ac:dyDescent="0.3">
      <c r="G3237" s="4"/>
      <c r="H3237" s="4"/>
    </row>
    <row r="3238" spans="7:8" x14ac:dyDescent="0.3">
      <c r="G3238" s="4"/>
      <c r="H3238" s="4"/>
    </row>
    <row r="3239" spans="7:8" x14ac:dyDescent="0.3">
      <c r="G3239" s="4"/>
      <c r="H3239" s="4"/>
    </row>
    <row r="3240" spans="7:8" x14ac:dyDescent="0.3">
      <c r="G3240" s="4"/>
      <c r="H3240" s="4"/>
    </row>
    <row r="3241" spans="7:8" x14ac:dyDescent="0.3">
      <c r="G3241" s="4"/>
      <c r="H3241" s="4"/>
    </row>
    <row r="3242" spans="7:8" x14ac:dyDescent="0.3">
      <c r="G3242" s="4"/>
      <c r="H3242" s="4"/>
    </row>
    <row r="3243" spans="7:8" x14ac:dyDescent="0.3">
      <c r="G3243" s="4"/>
      <c r="H3243" s="4"/>
    </row>
    <row r="3244" spans="7:8" x14ac:dyDescent="0.3">
      <c r="G3244" s="4"/>
      <c r="H3244" s="4"/>
    </row>
    <row r="3245" spans="7:8" x14ac:dyDescent="0.3">
      <c r="G3245" s="4"/>
      <c r="H3245" s="4"/>
    </row>
    <row r="3246" spans="7:8" x14ac:dyDescent="0.3">
      <c r="G3246" s="4"/>
      <c r="H3246" s="4"/>
    </row>
    <row r="3247" spans="7:8" x14ac:dyDescent="0.3">
      <c r="G3247" s="4"/>
      <c r="H3247" s="4"/>
    </row>
    <row r="3248" spans="7:8" x14ac:dyDescent="0.3">
      <c r="G3248" s="4"/>
      <c r="H3248" s="4"/>
    </row>
    <row r="3249" spans="7:8" x14ac:dyDescent="0.3">
      <c r="G3249" s="4"/>
      <c r="H3249" s="4"/>
    </row>
    <row r="3250" spans="7:8" x14ac:dyDescent="0.3">
      <c r="G3250" s="4"/>
      <c r="H3250" s="4"/>
    </row>
    <row r="3251" spans="7:8" x14ac:dyDescent="0.3">
      <c r="G3251" s="4"/>
      <c r="H3251" s="4"/>
    </row>
    <row r="3252" spans="7:8" x14ac:dyDescent="0.3">
      <c r="G3252" s="4"/>
      <c r="H3252" s="4"/>
    </row>
    <row r="3253" spans="7:8" x14ac:dyDescent="0.3">
      <c r="G3253" s="4"/>
      <c r="H3253" s="4"/>
    </row>
    <row r="3254" spans="7:8" x14ac:dyDescent="0.3">
      <c r="G3254" s="4"/>
      <c r="H3254" s="4"/>
    </row>
    <row r="3255" spans="7:8" x14ac:dyDescent="0.3">
      <c r="G3255" s="4"/>
      <c r="H3255" s="4"/>
    </row>
    <row r="3256" spans="7:8" x14ac:dyDescent="0.3">
      <c r="G3256" s="4"/>
      <c r="H3256" s="4"/>
    </row>
    <row r="3257" spans="7:8" x14ac:dyDescent="0.3">
      <c r="G3257" s="4"/>
      <c r="H3257" s="4"/>
    </row>
    <row r="3258" spans="7:8" x14ac:dyDescent="0.3">
      <c r="G3258" s="4"/>
      <c r="H3258" s="4"/>
    </row>
    <row r="3259" spans="7:8" x14ac:dyDescent="0.3">
      <c r="G3259" s="4"/>
      <c r="H3259" s="4"/>
    </row>
    <row r="3260" spans="7:8" x14ac:dyDescent="0.3">
      <c r="G3260" s="4"/>
      <c r="H3260" s="4"/>
    </row>
    <row r="3261" spans="7:8" x14ac:dyDescent="0.3">
      <c r="G3261" s="4"/>
      <c r="H3261" s="4"/>
    </row>
    <row r="3262" spans="7:8" x14ac:dyDescent="0.3">
      <c r="G3262" s="4"/>
      <c r="H3262" s="4"/>
    </row>
    <row r="3263" spans="7:8" x14ac:dyDescent="0.3">
      <c r="G3263" s="4"/>
      <c r="H3263" s="4"/>
    </row>
    <row r="3264" spans="7:8" x14ac:dyDescent="0.3">
      <c r="G3264" s="4"/>
      <c r="H3264" s="4"/>
    </row>
    <row r="3265" spans="7:8" x14ac:dyDescent="0.3">
      <c r="G3265" s="4"/>
      <c r="H3265" s="4"/>
    </row>
    <row r="3266" spans="7:8" x14ac:dyDescent="0.3">
      <c r="G3266" s="4"/>
      <c r="H3266" s="4"/>
    </row>
    <row r="3267" spans="7:8" x14ac:dyDescent="0.3">
      <c r="G3267" s="4"/>
      <c r="H3267" s="4"/>
    </row>
    <row r="3268" spans="7:8" x14ac:dyDescent="0.3">
      <c r="G3268" s="4"/>
      <c r="H3268" s="4"/>
    </row>
    <row r="3269" spans="7:8" x14ac:dyDescent="0.3">
      <c r="G3269" s="4"/>
      <c r="H3269" s="4"/>
    </row>
    <row r="3270" spans="7:8" x14ac:dyDescent="0.3">
      <c r="G3270" s="4"/>
      <c r="H3270" s="4"/>
    </row>
    <row r="3271" spans="7:8" x14ac:dyDescent="0.3">
      <c r="G3271" s="4"/>
      <c r="H3271" s="4"/>
    </row>
    <row r="3272" spans="7:8" x14ac:dyDescent="0.3">
      <c r="G3272" s="4"/>
      <c r="H3272" s="4"/>
    </row>
    <row r="3273" spans="7:8" x14ac:dyDescent="0.3">
      <c r="G3273" s="4"/>
      <c r="H3273" s="4"/>
    </row>
    <row r="3274" spans="7:8" x14ac:dyDescent="0.3">
      <c r="G3274" s="4"/>
      <c r="H3274" s="4"/>
    </row>
    <row r="3275" spans="7:8" x14ac:dyDescent="0.3">
      <c r="G3275" s="4"/>
      <c r="H3275" s="4"/>
    </row>
    <row r="3276" spans="7:8" x14ac:dyDescent="0.3">
      <c r="G3276" s="4"/>
      <c r="H3276" s="4"/>
    </row>
    <row r="3277" spans="7:8" x14ac:dyDescent="0.3">
      <c r="G3277" s="4"/>
      <c r="H3277" s="4"/>
    </row>
    <row r="3278" spans="7:8" x14ac:dyDescent="0.3">
      <c r="G3278" s="4"/>
      <c r="H3278" s="4"/>
    </row>
    <row r="3279" spans="7:8" x14ac:dyDescent="0.3">
      <c r="G3279" s="4"/>
      <c r="H3279" s="4"/>
    </row>
    <row r="3280" spans="7:8" x14ac:dyDescent="0.3">
      <c r="G3280" s="4"/>
      <c r="H3280" s="4"/>
    </row>
    <row r="3281" spans="7:8" x14ac:dyDescent="0.3">
      <c r="G3281" s="4"/>
      <c r="H3281" s="4"/>
    </row>
    <row r="3282" spans="7:8" x14ac:dyDescent="0.3">
      <c r="G3282" s="4"/>
      <c r="H3282" s="4"/>
    </row>
    <row r="3283" spans="7:8" x14ac:dyDescent="0.3">
      <c r="G3283" s="4"/>
      <c r="H3283" s="4"/>
    </row>
    <row r="3284" spans="7:8" x14ac:dyDescent="0.3">
      <c r="G3284" s="4"/>
      <c r="H3284" s="4"/>
    </row>
    <row r="3285" spans="7:8" x14ac:dyDescent="0.3">
      <c r="G3285" s="4"/>
      <c r="H3285" s="4"/>
    </row>
    <row r="3286" spans="7:8" x14ac:dyDescent="0.3">
      <c r="G3286" s="4"/>
      <c r="H3286" s="4"/>
    </row>
    <row r="3287" spans="7:8" x14ac:dyDescent="0.3">
      <c r="G3287" s="4"/>
      <c r="H3287" s="4"/>
    </row>
    <row r="3288" spans="7:8" x14ac:dyDescent="0.3">
      <c r="G3288" s="4"/>
      <c r="H3288" s="4"/>
    </row>
    <row r="3289" spans="7:8" x14ac:dyDescent="0.3">
      <c r="G3289" s="4"/>
      <c r="H3289" s="4"/>
    </row>
    <row r="3290" spans="7:8" x14ac:dyDescent="0.3">
      <c r="G3290" s="4"/>
      <c r="H3290" s="4"/>
    </row>
    <row r="3291" spans="7:8" x14ac:dyDescent="0.3">
      <c r="G3291" s="4"/>
      <c r="H3291" s="4"/>
    </row>
    <row r="3292" spans="7:8" x14ac:dyDescent="0.3">
      <c r="G3292" s="4"/>
      <c r="H3292" s="4"/>
    </row>
    <row r="3293" spans="7:8" x14ac:dyDescent="0.3">
      <c r="G3293" s="4"/>
      <c r="H3293" s="4"/>
    </row>
    <row r="3294" spans="7:8" x14ac:dyDescent="0.3">
      <c r="G3294" s="4"/>
      <c r="H3294" s="4"/>
    </row>
    <row r="3295" spans="7:8" x14ac:dyDescent="0.3">
      <c r="G3295" s="4"/>
      <c r="H3295" s="4"/>
    </row>
    <row r="3296" spans="7:8" x14ac:dyDescent="0.3">
      <c r="G3296" s="4"/>
      <c r="H3296" s="4"/>
    </row>
    <row r="3297" spans="7:8" x14ac:dyDescent="0.3">
      <c r="G3297" s="4"/>
      <c r="H3297" s="4"/>
    </row>
    <row r="3298" spans="7:8" x14ac:dyDescent="0.3">
      <c r="G3298" s="4"/>
      <c r="H3298" s="4"/>
    </row>
    <row r="3299" spans="7:8" x14ac:dyDescent="0.3">
      <c r="G3299" s="4"/>
      <c r="H3299" s="4"/>
    </row>
    <row r="3300" spans="7:8" x14ac:dyDescent="0.3">
      <c r="G3300" s="4"/>
      <c r="H3300" s="4"/>
    </row>
    <row r="3301" spans="7:8" x14ac:dyDescent="0.3">
      <c r="G3301" s="4"/>
      <c r="H3301" s="4"/>
    </row>
    <row r="3302" spans="7:8" x14ac:dyDescent="0.3">
      <c r="G3302" s="4"/>
      <c r="H3302" s="4"/>
    </row>
    <row r="3303" spans="7:8" x14ac:dyDescent="0.3">
      <c r="G3303" s="4"/>
      <c r="H3303" s="4"/>
    </row>
    <row r="3304" spans="7:8" x14ac:dyDescent="0.3">
      <c r="G3304" s="4"/>
      <c r="H3304" s="4"/>
    </row>
    <row r="3305" spans="7:8" x14ac:dyDescent="0.3">
      <c r="G3305" s="4"/>
      <c r="H3305" s="4"/>
    </row>
    <row r="3306" spans="7:8" x14ac:dyDescent="0.3">
      <c r="G3306" s="4"/>
      <c r="H3306" s="4"/>
    </row>
    <row r="3307" spans="7:8" x14ac:dyDescent="0.3">
      <c r="G3307" s="4"/>
      <c r="H3307" s="4"/>
    </row>
    <row r="3308" spans="7:8" x14ac:dyDescent="0.3">
      <c r="G3308" s="4"/>
      <c r="H3308" s="4"/>
    </row>
    <row r="3309" spans="7:8" x14ac:dyDescent="0.3">
      <c r="G3309" s="4"/>
      <c r="H3309" s="4"/>
    </row>
    <row r="3310" spans="7:8" x14ac:dyDescent="0.3">
      <c r="G3310" s="4"/>
      <c r="H3310" s="4"/>
    </row>
    <row r="3311" spans="7:8" x14ac:dyDescent="0.3">
      <c r="G3311" s="4"/>
      <c r="H3311" s="4"/>
    </row>
    <row r="3312" spans="7:8" x14ac:dyDescent="0.3">
      <c r="G3312" s="4"/>
      <c r="H3312" s="4"/>
    </row>
    <row r="3313" spans="7:8" x14ac:dyDescent="0.3">
      <c r="G3313" s="4"/>
      <c r="H3313" s="4"/>
    </row>
    <row r="3314" spans="7:8" x14ac:dyDescent="0.3">
      <c r="G3314" s="4"/>
      <c r="H3314" s="4"/>
    </row>
    <row r="3315" spans="7:8" x14ac:dyDescent="0.3">
      <c r="G3315" s="4"/>
      <c r="H3315" s="4"/>
    </row>
    <row r="3316" spans="7:8" x14ac:dyDescent="0.3">
      <c r="G3316" s="4"/>
      <c r="H3316" s="4"/>
    </row>
    <row r="3317" spans="7:8" x14ac:dyDescent="0.3">
      <c r="G3317" s="4"/>
      <c r="H3317" s="4"/>
    </row>
    <row r="3318" spans="7:8" x14ac:dyDescent="0.3">
      <c r="G3318" s="4"/>
      <c r="H3318" s="4"/>
    </row>
    <row r="3319" spans="7:8" x14ac:dyDescent="0.3">
      <c r="G3319" s="4"/>
      <c r="H3319" s="4"/>
    </row>
    <row r="3320" spans="7:8" x14ac:dyDescent="0.3">
      <c r="G3320" s="4"/>
      <c r="H3320" s="4"/>
    </row>
    <row r="3321" spans="7:8" x14ac:dyDescent="0.3">
      <c r="G3321" s="4"/>
      <c r="H3321" s="4"/>
    </row>
    <row r="3322" spans="7:8" x14ac:dyDescent="0.3">
      <c r="G3322" s="4"/>
      <c r="H3322" s="4"/>
    </row>
    <row r="3323" spans="7:8" x14ac:dyDescent="0.3">
      <c r="G3323" s="4"/>
      <c r="H3323" s="4"/>
    </row>
    <row r="3324" spans="7:8" x14ac:dyDescent="0.3">
      <c r="G3324" s="4"/>
      <c r="H3324" s="4"/>
    </row>
    <row r="3325" spans="7:8" x14ac:dyDescent="0.3">
      <c r="G3325" s="4"/>
      <c r="H3325" s="4"/>
    </row>
    <row r="3326" spans="7:8" x14ac:dyDescent="0.3">
      <c r="G3326" s="4"/>
      <c r="H3326" s="4"/>
    </row>
    <row r="3327" spans="7:8" x14ac:dyDescent="0.3">
      <c r="G3327" s="4"/>
      <c r="H3327" s="4"/>
    </row>
    <row r="3328" spans="7:8" x14ac:dyDescent="0.3">
      <c r="G3328" s="4"/>
      <c r="H3328" s="4"/>
    </row>
    <row r="3329" spans="7:8" x14ac:dyDescent="0.3">
      <c r="G3329" s="4"/>
      <c r="H3329" s="4"/>
    </row>
    <row r="3330" spans="7:8" x14ac:dyDescent="0.3">
      <c r="G3330" s="4"/>
      <c r="H3330" s="4"/>
    </row>
    <row r="3331" spans="7:8" x14ac:dyDescent="0.3">
      <c r="G3331" s="4"/>
      <c r="H3331" s="4"/>
    </row>
    <row r="3332" spans="7:8" x14ac:dyDescent="0.3">
      <c r="G3332" s="4"/>
      <c r="H3332" s="4"/>
    </row>
    <row r="3333" spans="7:8" x14ac:dyDescent="0.3">
      <c r="G3333" s="4"/>
      <c r="H3333" s="4"/>
    </row>
    <row r="3334" spans="7:8" x14ac:dyDescent="0.3">
      <c r="G3334" s="4"/>
      <c r="H3334" s="4"/>
    </row>
    <row r="3335" spans="7:8" x14ac:dyDescent="0.3">
      <c r="G3335" s="4"/>
      <c r="H3335" s="4"/>
    </row>
    <row r="3336" spans="7:8" x14ac:dyDescent="0.3">
      <c r="G3336" s="4"/>
      <c r="H3336" s="4"/>
    </row>
    <row r="3337" spans="7:8" x14ac:dyDescent="0.3">
      <c r="G3337" s="4"/>
      <c r="H3337" s="4"/>
    </row>
    <row r="3338" spans="7:8" x14ac:dyDescent="0.3">
      <c r="G3338" s="4"/>
      <c r="H3338" s="4"/>
    </row>
    <row r="3339" spans="7:8" x14ac:dyDescent="0.3">
      <c r="G3339" s="4"/>
      <c r="H3339" s="4"/>
    </row>
    <row r="3340" spans="7:8" x14ac:dyDescent="0.3">
      <c r="G3340" s="4"/>
      <c r="H3340" s="4"/>
    </row>
    <row r="3341" spans="7:8" x14ac:dyDescent="0.3">
      <c r="G3341" s="4"/>
      <c r="H3341" s="4"/>
    </row>
    <row r="3342" spans="7:8" x14ac:dyDescent="0.3">
      <c r="G3342" s="4"/>
      <c r="H3342" s="4"/>
    </row>
    <row r="3343" spans="7:8" x14ac:dyDescent="0.3">
      <c r="G3343" s="4"/>
      <c r="H3343" s="4"/>
    </row>
    <row r="3344" spans="7:8" x14ac:dyDescent="0.3">
      <c r="G3344" s="4"/>
      <c r="H3344" s="4"/>
    </row>
    <row r="3345" spans="7:8" x14ac:dyDescent="0.3">
      <c r="G3345" s="4"/>
      <c r="H3345" s="4"/>
    </row>
    <row r="3346" spans="7:8" x14ac:dyDescent="0.3">
      <c r="G3346" s="4"/>
      <c r="H3346" s="4"/>
    </row>
    <row r="3347" spans="7:8" x14ac:dyDescent="0.3">
      <c r="G3347" s="4"/>
      <c r="H3347" s="4"/>
    </row>
    <row r="3348" spans="7:8" x14ac:dyDescent="0.3">
      <c r="G3348" s="4"/>
      <c r="H3348" s="4"/>
    </row>
    <row r="3349" spans="7:8" x14ac:dyDescent="0.3">
      <c r="G3349" s="4"/>
      <c r="H3349" s="4"/>
    </row>
    <row r="3350" spans="7:8" x14ac:dyDescent="0.3">
      <c r="G3350" s="4"/>
      <c r="H3350" s="4"/>
    </row>
    <row r="3351" spans="7:8" x14ac:dyDescent="0.3">
      <c r="G3351" s="4"/>
      <c r="H3351" s="4"/>
    </row>
    <row r="3352" spans="7:8" x14ac:dyDescent="0.3">
      <c r="G3352" s="4"/>
      <c r="H3352" s="4"/>
    </row>
    <row r="3353" spans="7:8" x14ac:dyDescent="0.3">
      <c r="G3353" s="4"/>
      <c r="H3353" s="4"/>
    </row>
    <row r="3354" spans="7:8" x14ac:dyDescent="0.3">
      <c r="G3354" s="4"/>
      <c r="H3354" s="4"/>
    </row>
    <row r="3355" spans="7:8" x14ac:dyDescent="0.3">
      <c r="G3355" s="4"/>
      <c r="H3355" s="4"/>
    </row>
    <row r="3356" spans="7:8" x14ac:dyDescent="0.3">
      <c r="G3356" s="4"/>
      <c r="H3356" s="4"/>
    </row>
    <row r="3357" spans="7:8" x14ac:dyDescent="0.3">
      <c r="G3357" s="4"/>
      <c r="H3357" s="4"/>
    </row>
    <row r="3358" spans="7:8" x14ac:dyDescent="0.3">
      <c r="G3358" s="4"/>
      <c r="H3358" s="4"/>
    </row>
    <row r="3359" spans="7:8" x14ac:dyDescent="0.3">
      <c r="G3359" s="4"/>
      <c r="H3359" s="4"/>
    </row>
    <row r="3360" spans="7:8" x14ac:dyDescent="0.3">
      <c r="G3360" s="4"/>
      <c r="H3360" s="4"/>
    </row>
    <row r="3361" spans="7:8" x14ac:dyDescent="0.3">
      <c r="G3361" s="4"/>
      <c r="H3361" s="4"/>
    </row>
    <row r="3362" spans="7:8" x14ac:dyDescent="0.3">
      <c r="G3362" s="4"/>
      <c r="H3362" s="4"/>
    </row>
    <row r="3363" spans="7:8" x14ac:dyDescent="0.3">
      <c r="G3363" s="4"/>
      <c r="H3363" s="4"/>
    </row>
    <row r="3364" spans="7:8" x14ac:dyDescent="0.3">
      <c r="G3364" s="4"/>
      <c r="H3364" s="4"/>
    </row>
    <row r="3365" spans="7:8" x14ac:dyDescent="0.3">
      <c r="G3365" s="4"/>
      <c r="H3365" s="4"/>
    </row>
    <row r="3366" spans="7:8" x14ac:dyDescent="0.3">
      <c r="G3366" s="4"/>
      <c r="H3366" s="4"/>
    </row>
    <row r="3367" spans="7:8" x14ac:dyDescent="0.3">
      <c r="G3367" s="4"/>
      <c r="H3367" s="4"/>
    </row>
    <row r="3368" spans="7:8" x14ac:dyDescent="0.3">
      <c r="G3368" s="4"/>
      <c r="H3368" s="4"/>
    </row>
    <row r="3369" spans="7:8" x14ac:dyDescent="0.3">
      <c r="G3369" s="4"/>
      <c r="H3369" s="4"/>
    </row>
    <row r="3370" spans="7:8" x14ac:dyDescent="0.3">
      <c r="G3370" s="4"/>
      <c r="H3370" s="4"/>
    </row>
    <row r="3371" spans="7:8" x14ac:dyDescent="0.3">
      <c r="G3371" s="4"/>
      <c r="H3371" s="4"/>
    </row>
    <row r="3372" spans="7:8" x14ac:dyDescent="0.3">
      <c r="G3372" s="4"/>
      <c r="H3372" s="4"/>
    </row>
    <row r="3373" spans="7:8" x14ac:dyDescent="0.3">
      <c r="G3373" s="4"/>
      <c r="H3373" s="4"/>
    </row>
    <row r="3374" spans="7:8" x14ac:dyDescent="0.3">
      <c r="G3374" s="4"/>
      <c r="H3374" s="4"/>
    </row>
    <row r="3375" spans="7:8" x14ac:dyDescent="0.3">
      <c r="G3375" s="4"/>
      <c r="H3375" s="4"/>
    </row>
    <row r="3376" spans="7:8" x14ac:dyDescent="0.3">
      <c r="G3376" s="4"/>
      <c r="H3376" s="4"/>
    </row>
    <row r="3377" spans="7:8" x14ac:dyDescent="0.3">
      <c r="G3377" s="4"/>
      <c r="H3377" s="4"/>
    </row>
    <row r="3378" spans="7:8" x14ac:dyDescent="0.3">
      <c r="G3378" s="4"/>
      <c r="H3378" s="4"/>
    </row>
    <row r="3379" spans="7:8" x14ac:dyDescent="0.3">
      <c r="G3379" s="4"/>
      <c r="H3379" s="4"/>
    </row>
    <row r="3380" spans="7:8" x14ac:dyDescent="0.3">
      <c r="G3380" s="4"/>
      <c r="H3380" s="4"/>
    </row>
    <row r="3381" spans="7:8" x14ac:dyDescent="0.3">
      <c r="G3381" s="4"/>
      <c r="H3381" s="4"/>
    </row>
    <row r="3382" spans="7:8" x14ac:dyDescent="0.3">
      <c r="G3382" s="4"/>
      <c r="H3382" s="4"/>
    </row>
    <row r="3383" spans="7:8" x14ac:dyDescent="0.3">
      <c r="G3383" s="4"/>
      <c r="H3383" s="4"/>
    </row>
    <row r="3384" spans="7:8" x14ac:dyDescent="0.3">
      <c r="G3384" s="4"/>
      <c r="H3384" s="4"/>
    </row>
    <row r="3385" spans="7:8" x14ac:dyDescent="0.3">
      <c r="G3385" s="4"/>
      <c r="H3385" s="4"/>
    </row>
    <row r="3386" spans="7:8" x14ac:dyDescent="0.3">
      <c r="G3386" s="4"/>
      <c r="H3386" s="4"/>
    </row>
    <row r="3387" spans="7:8" x14ac:dyDescent="0.3">
      <c r="G3387" s="4"/>
      <c r="H3387" s="4"/>
    </row>
    <row r="3388" spans="7:8" x14ac:dyDescent="0.3">
      <c r="G3388" s="4"/>
      <c r="H3388" s="4"/>
    </row>
    <row r="3389" spans="7:8" x14ac:dyDescent="0.3">
      <c r="G3389" s="4"/>
      <c r="H3389" s="4"/>
    </row>
    <row r="3390" spans="7:8" x14ac:dyDescent="0.3">
      <c r="G3390" s="4"/>
      <c r="H3390" s="4"/>
    </row>
    <row r="3391" spans="7:8" x14ac:dyDescent="0.3">
      <c r="G3391" s="4"/>
      <c r="H3391" s="4"/>
    </row>
    <row r="3392" spans="7:8" x14ac:dyDescent="0.3">
      <c r="G3392" s="4"/>
      <c r="H3392" s="4"/>
    </row>
    <row r="3393" spans="7:8" x14ac:dyDescent="0.3">
      <c r="G3393" s="4"/>
      <c r="H3393" s="4"/>
    </row>
    <row r="3394" spans="7:8" x14ac:dyDescent="0.3">
      <c r="G3394" s="4"/>
      <c r="H3394" s="4"/>
    </row>
    <row r="3395" spans="7:8" x14ac:dyDescent="0.3">
      <c r="G3395" s="4"/>
      <c r="H3395" s="4"/>
    </row>
    <row r="3396" spans="7:8" x14ac:dyDescent="0.3">
      <c r="G3396" s="4"/>
      <c r="H3396" s="4"/>
    </row>
    <row r="3397" spans="7:8" x14ac:dyDescent="0.3">
      <c r="G3397" s="4"/>
      <c r="H3397" s="4"/>
    </row>
    <row r="3398" spans="7:8" x14ac:dyDescent="0.3">
      <c r="G3398" s="4"/>
      <c r="H3398" s="4"/>
    </row>
    <row r="3399" spans="7:8" x14ac:dyDescent="0.3">
      <c r="G3399" s="4"/>
      <c r="H3399" s="4"/>
    </row>
    <row r="3400" spans="7:8" x14ac:dyDescent="0.3">
      <c r="G3400" s="4"/>
      <c r="H3400" s="4"/>
    </row>
    <row r="3401" spans="7:8" x14ac:dyDescent="0.3">
      <c r="G3401" s="4"/>
      <c r="H3401" s="4"/>
    </row>
    <row r="3402" spans="7:8" x14ac:dyDescent="0.3">
      <c r="G3402" s="4"/>
      <c r="H3402" s="4"/>
    </row>
    <row r="3403" spans="7:8" x14ac:dyDescent="0.3">
      <c r="G3403" s="4"/>
      <c r="H3403" s="4"/>
    </row>
    <row r="3404" spans="7:8" x14ac:dyDescent="0.3">
      <c r="G3404" s="4"/>
      <c r="H3404" s="4"/>
    </row>
    <row r="3405" spans="7:8" x14ac:dyDescent="0.3">
      <c r="G3405" s="4"/>
      <c r="H3405" s="4"/>
    </row>
    <row r="3406" spans="7:8" x14ac:dyDescent="0.3">
      <c r="G3406" s="4"/>
      <c r="H3406" s="4"/>
    </row>
    <row r="3407" spans="7:8" x14ac:dyDescent="0.3">
      <c r="G3407" s="4"/>
      <c r="H3407" s="4"/>
    </row>
    <row r="3408" spans="7:8" x14ac:dyDescent="0.3">
      <c r="G3408" s="4"/>
      <c r="H3408" s="4"/>
    </row>
    <row r="3409" spans="7:8" x14ac:dyDescent="0.3">
      <c r="G3409" s="4"/>
      <c r="H3409" s="4"/>
    </row>
    <row r="3410" spans="7:8" x14ac:dyDescent="0.3">
      <c r="G3410" s="4"/>
      <c r="H3410" s="4"/>
    </row>
    <row r="3411" spans="7:8" x14ac:dyDescent="0.3">
      <c r="G3411" s="4"/>
      <c r="H3411" s="4"/>
    </row>
    <row r="3412" spans="7:8" x14ac:dyDescent="0.3">
      <c r="G3412" s="4"/>
      <c r="H3412" s="4"/>
    </row>
    <row r="3413" spans="7:8" x14ac:dyDescent="0.3">
      <c r="G3413" s="4"/>
      <c r="H3413" s="4"/>
    </row>
    <row r="3414" spans="7:8" x14ac:dyDescent="0.3">
      <c r="G3414" s="4"/>
      <c r="H3414" s="4"/>
    </row>
    <row r="3415" spans="7:8" x14ac:dyDescent="0.3">
      <c r="G3415" s="4"/>
      <c r="H3415" s="4"/>
    </row>
    <row r="3416" spans="7:8" x14ac:dyDescent="0.3">
      <c r="G3416" s="4"/>
      <c r="H3416" s="4"/>
    </row>
    <row r="3417" spans="7:8" x14ac:dyDescent="0.3">
      <c r="G3417" s="4"/>
      <c r="H3417" s="4"/>
    </row>
    <row r="3418" spans="7:8" x14ac:dyDescent="0.3">
      <c r="G3418" s="4"/>
      <c r="H3418" s="4"/>
    </row>
    <row r="3419" spans="7:8" x14ac:dyDescent="0.3">
      <c r="G3419" s="4"/>
      <c r="H3419" s="4"/>
    </row>
    <row r="3420" spans="7:8" x14ac:dyDescent="0.3">
      <c r="G3420" s="4"/>
      <c r="H3420" s="4"/>
    </row>
    <row r="3421" spans="7:8" x14ac:dyDescent="0.3">
      <c r="G3421" s="4"/>
      <c r="H3421" s="4"/>
    </row>
    <row r="3422" spans="7:8" x14ac:dyDescent="0.3">
      <c r="G3422" s="4"/>
      <c r="H3422" s="4"/>
    </row>
    <row r="3423" spans="7:8" x14ac:dyDescent="0.3">
      <c r="G3423" s="4"/>
      <c r="H3423" s="4"/>
    </row>
    <row r="3424" spans="7:8" x14ac:dyDescent="0.3">
      <c r="G3424" s="4"/>
      <c r="H3424" s="4"/>
    </row>
    <row r="3425" spans="7:8" x14ac:dyDescent="0.3">
      <c r="G3425" s="4"/>
      <c r="H3425" s="4"/>
    </row>
    <row r="3426" spans="7:8" x14ac:dyDescent="0.3">
      <c r="G3426" s="4"/>
      <c r="H3426" s="4"/>
    </row>
    <row r="3427" spans="7:8" x14ac:dyDescent="0.3">
      <c r="G3427" s="4"/>
      <c r="H3427" s="4"/>
    </row>
    <row r="3428" spans="7:8" x14ac:dyDescent="0.3">
      <c r="G3428" s="4"/>
      <c r="H3428" s="4"/>
    </row>
    <row r="3429" spans="7:8" x14ac:dyDescent="0.3">
      <c r="G3429" s="4"/>
      <c r="H3429" s="4"/>
    </row>
    <row r="3430" spans="7:8" x14ac:dyDescent="0.3">
      <c r="G3430" s="4"/>
      <c r="H3430" s="4"/>
    </row>
    <row r="3431" spans="7:8" x14ac:dyDescent="0.3">
      <c r="G3431" s="4"/>
      <c r="H3431" s="4"/>
    </row>
    <row r="3432" spans="7:8" x14ac:dyDescent="0.3">
      <c r="G3432" s="4"/>
      <c r="H3432" s="4"/>
    </row>
    <row r="3433" spans="7:8" x14ac:dyDescent="0.3">
      <c r="G3433" s="4"/>
      <c r="H3433" s="4"/>
    </row>
    <row r="3434" spans="7:8" x14ac:dyDescent="0.3">
      <c r="G3434" s="4"/>
      <c r="H3434" s="4"/>
    </row>
    <row r="3435" spans="7:8" x14ac:dyDescent="0.3">
      <c r="G3435" s="4"/>
      <c r="H3435" s="4"/>
    </row>
    <row r="3436" spans="7:8" x14ac:dyDescent="0.3">
      <c r="G3436" s="4"/>
      <c r="H3436" s="4"/>
    </row>
    <row r="3437" spans="7:8" x14ac:dyDescent="0.3">
      <c r="G3437" s="4"/>
      <c r="H3437" s="4"/>
    </row>
    <row r="3438" spans="7:8" x14ac:dyDescent="0.3">
      <c r="G3438" s="4"/>
      <c r="H3438" s="4"/>
    </row>
    <row r="3439" spans="7:8" x14ac:dyDescent="0.3">
      <c r="G3439" s="4"/>
      <c r="H3439" s="4"/>
    </row>
    <row r="3440" spans="7:8" x14ac:dyDescent="0.3">
      <c r="G3440" s="4"/>
      <c r="H3440" s="4"/>
    </row>
    <row r="3441" spans="7:8" x14ac:dyDescent="0.3">
      <c r="G3441" s="4"/>
      <c r="H3441" s="4"/>
    </row>
    <row r="3442" spans="7:8" x14ac:dyDescent="0.3">
      <c r="G3442" s="4"/>
      <c r="H3442" s="4"/>
    </row>
    <row r="3443" spans="7:8" x14ac:dyDescent="0.3">
      <c r="G3443" s="4"/>
      <c r="H3443" s="4"/>
    </row>
    <row r="3444" spans="7:8" x14ac:dyDescent="0.3">
      <c r="G3444" s="4"/>
      <c r="H3444" s="4"/>
    </row>
    <row r="3445" spans="7:8" x14ac:dyDescent="0.3">
      <c r="G3445" s="4"/>
      <c r="H3445" s="4"/>
    </row>
    <row r="3446" spans="7:8" x14ac:dyDescent="0.3">
      <c r="G3446" s="4"/>
      <c r="H3446" s="4"/>
    </row>
    <row r="3447" spans="7:8" x14ac:dyDescent="0.3">
      <c r="G3447" s="4"/>
      <c r="H3447" s="4"/>
    </row>
    <row r="3448" spans="7:8" x14ac:dyDescent="0.3">
      <c r="G3448" s="4"/>
      <c r="H3448" s="4"/>
    </row>
    <row r="3449" spans="7:8" x14ac:dyDescent="0.3">
      <c r="G3449" s="4"/>
      <c r="H3449" s="4"/>
    </row>
    <row r="3450" spans="7:8" x14ac:dyDescent="0.3">
      <c r="G3450" s="4"/>
      <c r="H3450" s="4"/>
    </row>
    <row r="3451" spans="7:8" x14ac:dyDescent="0.3">
      <c r="G3451" s="4"/>
      <c r="H3451" s="4"/>
    </row>
    <row r="3452" spans="7:8" x14ac:dyDescent="0.3">
      <c r="G3452" s="4"/>
      <c r="H3452" s="4"/>
    </row>
    <row r="3453" spans="7:8" x14ac:dyDescent="0.3">
      <c r="G3453" s="4"/>
      <c r="H3453" s="4"/>
    </row>
    <row r="3454" spans="7:8" x14ac:dyDescent="0.3">
      <c r="G3454" s="4"/>
      <c r="H3454" s="4"/>
    </row>
    <row r="3455" spans="7:8" x14ac:dyDescent="0.3">
      <c r="G3455" s="4"/>
      <c r="H3455" s="4"/>
    </row>
    <row r="3456" spans="7:8" x14ac:dyDescent="0.3">
      <c r="G3456" s="4"/>
      <c r="H3456" s="4"/>
    </row>
    <row r="3457" spans="7:8" x14ac:dyDescent="0.3">
      <c r="G3457" s="4"/>
      <c r="H3457" s="4"/>
    </row>
    <row r="3458" spans="7:8" x14ac:dyDescent="0.3">
      <c r="G3458" s="4"/>
      <c r="H3458" s="4"/>
    </row>
    <row r="3459" spans="7:8" x14ac:dyDescent="0.3">
      <c r="G3459" s="4"/>
      <c r="H3459" s="4"/>
    </row>
    <row r="3460" spans="7:8" x14ac:dyDescent="0.3">
      <c r="G3460" s="4"/>
      <c r="H3460" s="4"/>
    </row>
    <row r="3461" spans="7:8" x14ac:dyDescent="0.3">
      <c r="G3461" s="4"/>
      <c r="H3461" s="4"/>
    </row>
    <row r="3462" spans="7:8" x14ac:dyDescent="0.3">
      <c r="G3462" s="4"/>
      <c r="H3462" s="4"/>
    </row>
    <row r="3463" spans="7:8" x14ac:dyDescent="0.3">
      <c r="G3463" s="4"/>
      <c r="H3463" s="4"/>
    </row>
    <row r="3464" spans="7:8" x14ac:dyDescent="0.3">
      <c r="G3464" s="4"/>
      <c r="H3464" s="4"/>
    </row>
    <row r="3465" spans="7:8" x14ac:dyDescent="0.3">
      <c r="G3465" s="4"/>
      <c r="H3465" s="4"/>
    </row>
    <row r="3466" spans="7:8" x14ac:dyDescent="0.3">
      <c r="G3466" s="4"/>
      <c r="H3466" s="4"/>
    </row>
    <row r="3467" spans="7:8" x14ac:dyDescent="0.3">
      <c r="G3467" s="4"/>
      <c r="H3467" s="4"/>
    </row>
    <row r="3468" spans="7:8" x14ac:dyDescent="0.3">
      <c r="G3468" s="4"/>
      <c r="H3468" s="4"/>
    </row>
    <row r="3469" spans="7:8" x14ac:dyDescent="0.3">
      <c r="G3469" s="4"/>
      <c r="H3469" s="4"/>
    </row>
    <row r="3470" spans="7:8" x14ac:dyDescent="0.3">
      <c r="G3470" s="4"/>
      <c r="H3470" s="4"/>
    </row>
    <row r="3471" spans="7:8" x14ac:dyDescent="0.3">
      <c r="G3471" s="4"/>
      <c r="H3471" s="4"/>
    </row>
    <row r="3472" spans="7:8" x14ac:dyDescent="0.3">
      <c r="G3472" s="4"/>
      <c r="H3472" s="4"/>
    </row>
    <row r="3473" spans="7:8" x14ac:dyDescent="0.3">
      <c r="G3473" s="4"/>
      <c r="H3473" s="4"/>
    </row>
    <row r="3474" spans="7:8" x14ac:dyDescent="0.3">
      <c r="G3474" s="4"/>
      <c r="H3474" s="4"/>
    </row>
    <row r="3475" spans="7:8" x14ac:dyDescent="0.3">
      <c r="G3475" s="4"/>
      <c r="H3475" s="4"/>
    </row>
    <row r="3476" spans="7:8" x14ac:dyDescent="0.3">
      <c r="G3476" s="4"/>
      <c r="H3476" s="4"/>
    </row>
    <row r="3477" spans="7:8" x14ac:dyDescent="0.3">
      <c r="G3477" s="4"/>
      <c r="H3477" s="4"/>
    </row>
    <row r="3478" spans="7:8" x14ac:dyDescent="0.3">
      <c r="G3478" s="4"/>
      <c r="H3478" s="4"/>
    </row>
    <row r="3479" spans="7:8" x14ac:dyDescent="0.3">
      <c r="G3479" s="4"/>
      <c r="H3479" s="4"/>
    </row>
    <row r="3480" spans="7:8" x14ac:dyDescent="0.3">
      <c r="G3480" s="4"/>
      <c r="H3480" s="4"/>
    </row>
    <row r="3481" spans="7:8" x14ac:dyDescent="0.3">
      <c r="G3481" s="4"/>
      <c r="H3481" s="4"/>
    </row>
    <row r="3482" spans="7:8" x14ac:dyDescent="0.3">
      <c r="G3482" s="4"/>
      <c r="H3482" s="4"/>
    </row>
    <row r="3483" spans="7:8" x14ac:dyDescent="0.3">
      <c r="G3483" s="4"/>
      <c r="H3483" s="4"/>
    </row>
    <row r="3484" spans="7:8" x14ac:dyDescent="0.3">
      <c r="G3484" s="4"/>
      <c r="H3484" s="4"/>
    </row>
    <row r="3485" spans="7:8" x14ac:dyDescent="0.3">
      <c r="G3485" s="4"/>
      <c r="H3485" s="4"/>
    </row>
    <row r="3486" spans="7:8" x14ac:dyDescent="0.3">
      <c r="G3486" s="4"/>
      <c r="H3486" s="4"/>
    </row>
    <row r="3487" spans="7:8" x14ac:dyDescent="0.3">
      <c r="G3487" s="4"/>
      <c r="H3487" s="4"/>
    </row>
    <row r="3488" spans="7:8" x14ac:dyDescent="0.3">
      <c r="G3488" s="4"/>
      <c r="H3488" s="4"/>
    </row>
    <row r="3489" spans="7:8" x14ac:dyDescent="0.3">
      <c r="G3489" s="4"/>
      <c r="H3489" s="4"/>
    </row>
    <row r="3490" spans="7:8" x14ac:dyDescent="0.3">
      <c r="G3490" s="4"/>
      <c r="H3490" s="4"/>
    </row>
    <row r="3491" spans="7:8" x14ac:dyDescent="0.3">
      <c r="G3491" s="4"/>
      <c r="H3491" s="4"/>
    </row>
    <row r="3492" spans="7:8" x14ac:dyDescent="0.3">
      <c r="G3492" s="4"/>
      <c r="H3492" s="4"/>
    </row>
    <row r="3493" spans="7:8" x14ac:dyDescent="0.3">
      <c r="G3493" s="4"/>
      <c r="H3493" s="4"/>
    </row>
    <row r="3494" spans="7:8" x14ac:dyDescent="0.3">
      <c r="G3494" s="4"/>
      <c r="H3494" s="4"/>
    </row>
    <row r="3495" spans="7:8" x14ac:dyDescent="0.3">
      <c r="G3495" s="4"/>
      <c r="H3495" s="4"/>
    </row>
    <row r="3496" spans="7:8" x14ac:dyDescent="0.3">
      <c r="G3496" s="4"/>
      <c r="H3496" s="4"/>
    </row>
    <row r="3497" spans="7:8" x14ac:dyDescent="0.3">
      <c r="G3497" s="4"/>
      <c r="H3497" s="4"/>
    </row>
    <row r="3498" spans="7:8" x14ac:dyDescent="0.3">
      <c r="G3498" s="4"/>
      <c r="H3498" s="4"/>
    </row>
    <row r="3499" spans="7:8" x14ac:dyDescent="0.3">
      <c r="G3499" s="4"/>
      <c r="H3499" s="4"/>
    </row>
    <row r="3500" spans="7:8" x14ac:dyDescent="0.3">
      <c r="G3500" s="4"/>
      <c r="H3500" s="4"/>
    </row>
    <row r="3501" spans="7:8" x14ac:dyDescent="0.3">
      <c r="G3501" s="4"/>
      <c r="H3501" s="4"/>
    </row>
    <row r="3502" spans="7:8" x14ac:dyDescent="0.3">
      <c r="G3502" s="4"/>
      <c r="H3502" s="4"/>
    </row>
    <row r="3503" spans="7:8" x14ac:dyDescent="0.3">
      <c r="G3503" s="4"/>
      <c r="H3503" s="4"/>
    </row>
    <row r="3504" spans="7:8" x14ac:dyDescent="0.3">
      <c r="G3504" s="4"/>
      <c r="H3504" s="4"/>
    </row>
    <row r="3505" spans="7:8" x14ac:dyDescent="0.3">
      <c r="G3505" s="4"/>
      <c r="H3505" s="4"/>
    </row>
    <row r="3506" spans="7:8" x14ac:dyDescent="0.3">
      <c r="G3506" s="4"/>
      <c r="H3506" s="4"/>
    </row>
    <row r="3507" spans="7:8" x14ac:dyDescent="0.3">
      <c r="G3507" s="4"/>
      <c r="H3507" s="4"/>
    </row>
    <row r="3508" spans="7:8" x14ac:dyDescent="0.3">
      <c r="G3508" s="4"/>
      <c r="H3508" s="4"/>
    </row>
    <row r="3509" spans="7:8" x14ac:dyDescent="0.3">
      <c r="G3509" s="4"/>
      <c r="H3509" s="4"/>
    </row>
    <row r="3510" spans="7:8" x14ac:dyDescent="0.3">
      <c r="G3510" s="4"/>
      <c r="H3510" s="4"/>
    </row>
    <row r="3511" spans="7:8" x14ac:dyDescent="0.3">
      <c r="G3511" s="4"/>
      <c r="H3511" s="4"/>
    </row>
    <row r="3512" spans="7:8" x14ac:dyDescent="0.3">
      <c r="G3512" s="4"/>
      <c r="H3512" s="4"/>
    </row>
    <row r="3513" spans="7:8" x14ac:dyDescent="0.3">
      <c r="G3513" s="4"/>
      <c r="H3513" s="4"/>
    </row>
    <row r="3514" spans="7:8" x14ac:dyDescent="0.3">
      <c r="G3514" s="4"/>
      <c r="H3514" s="4"/>
    </row>
    <row r="3515" spans="7:8" x14ac:dyDescent="0.3">
      <c r="G3515" s="4"/>
      <c r="H3515" s="4"/>
    </row>
    <row r="3516" spans="7:8" x14ac:dyDescent="0.3">
      <c r="G3516" s="4"/>
      <c r="H3516" s="4"/>
    </row>
    <row r="3517" spans="7:8" x14ac:dyDescent="0.3">
      <c r="G3517" s="4"/>
      <c r="H3517" s="4"/>
    </row>
    <row r="3518" spans="7:8" x14ac:dyDescent="0.3">
      <c r="G3518" s="4"/>
      <c r="H3518" s="4"/>
    </row>
    <row r="3519" spans="7:8" x14ac:dyDescent="0.3">
      <c r="G3519" s="4"/>
      <c r="H3519" s="4"/>
    </row>
    <row r="3520" spans="7:8" x14ac:dyDescent="0.3">
      <c r="G3520" s="4"/>
      <c r="H3520" s="4"/>
    </row>
    <row r="3521" spans="7:8" x14ac:dyDescent="0.3">
      <c r="G3521" s="4"/>
      <c r="H3521" s="4"/>
    </row>
    <row r="3522" spans="7:8" x14ac:dyDescent="0.3">
      <c r="G3522" s="4"/>
      <c r="H3522" s="4"/>
    </row>
    <row r="3523" spans="7:8" x14ac:dyDescent="0.3">
      <c r="G3523" s="4"/>
      <c r="H3523" s="4"/>
    </row>
    <row r="3524" spans="7:8" x14ac:dyDescent="0.3">
      <c r="G3524" s="4"/>
      <c r="H3524" s="4"/>
    </row>
    <row r="3525" spans="7:8" x14ac:dyDescent="0.3">
      <c r="G3525" s="4"/>
      <c r="H3525" s="4"/>
    </row>
    <row r="3526" spans="7:8" x14ac:dyDescent="0.3">
      <c r="G3526" s="4"/>
      <c r="H3526" s="4"/>
    </row>
    <row r="3527" spans="7:8" x14ac:dyDescent="0.3">
      <c r="G3527" s="4"/>
      <c r="H3527" s="4"/>
    </row>
    <row r="3528" spans="7:8" x14ac:dyDescent="0.3">
      <c r="G3528" s="4"/>
      <c r="H3528" s="4"/>
    </row>
    <row r="3529" spans="7:8" x14ac:dyDescent="0.3">
      <c r="G3529" s="4"/>
      <c r="H3529" s="4"/>
    </row>
    <row r="3530" spans="7:8" x14ac:dyDescent="0.3">
      <c r="G3530" s="4"/>
      <c r="H3530" s="4"/>
    </row>
    <row r="3531" spans="7:8" x14ac:dyDescent="0.3">
      <c r="G3531" s="4"/>
      <c r="H3531" s="4"/>
    </row>
    <row r="3532" spans="7:8" x14ac:dyDescent="0.3">
      <c r="G3532" s="4"/>
      <c r="H3532" s="4"/>
    </row>
    <row r="3533" spans="7:8" x14ac:dyDescent="0.3">
      <c r="G3533" s="4"/>
      <c r="H3533" s="4"/>
    </row>
    <row r="3534" spans="7:8" x14ac:dyDescent="0.3">
      <c r="G3534" s="4"/>
      <c r="H3534" s="4"/>
    </row>
    <row r="3535" spans="7:8" x14ac:dyDescent="0.3">
      <c r="G3535" s="4"/>
      <c r="H3535" s="4"/>
    </row>
    <row r="3536" spans="7:8" x14ac:dyDescent="0.3">
      <c r="G3536" s="4"/>
      <c r="H3536" s="4"/>
    </row>
    <row r="3537" spans="7:8" x14ac:dyDescent="0.3">
      <c r="G3537" s="4"/>
      <c r="H3537" s="4"/>
    </row>
    <row r="3538" spans="7:8" x14ac:dyDescent="0.3">
      <c r="G3538" s="4"/>
      <c r="H3538" s="4"/>
    </row>
    <row r="3539" spans="7:8" x14ac:dyDescent="0.3">
      <c r="G3539" s="4"/>
      <c r="H3539" s="4"/>
    </row>
    <row r="3540" spans="7:8" x14ac:dyDescent="0.3">
      <c r="G3540" s="4"/>
      <c r="H3540" s="4"/>
    </row>
    <row r="3541" spans="7:8" x14ac:dyDescent="0.3">
      <c r="G3541" s="4"/>
      <c r="H3541" s="4"/>
    </row>
    <row r="3542" spans="7:8" x14ac:dyDescent="0.3">
      <c r="G3542" s="4"/>
      <c r="H3542" s="4"/>
    </row>
    <row r="3543" spans="7:8" x14ac:dyDescent="0.3">
      <c r="G3543" s="4"/>
      <c r="H3543" s="4"/>
    </row>
    <row r="3544" spans="7:8" x14ac:dyDescent="0.3">
      <c r="G3544" s="4"/>
      <c r="H3544" s="4"/>
    </row>
    <row r="3545" spans="7:8" x14ac:dyDescent="0.3">
      <c r="G3545" s="4"/>
      <c r="H3545" s="4"/>
    </row>
    <row r="3546" spans="7:8" x14ac:dyDescent="0.3">
      <c r="G3546" s="4"/>
      <c r="H3546" s="4"/>
    </row>
    <row r="3547" spans="7:8" x14ac:dyDescent="0.3">
      <c r="G3547" s="4"/>
      <c r="H3547" s="4"/>
    </row>
    <row r="3548" spans="7:8" x14ac:dyDescent="0.3">
      <c r="G3548" s="4"/>
      <c r="H3548" s="4"/>
    </row>
    <row r="3549" spans="7:8" x14ac:dyDescent="0.3">
      <c r="G3549" s="4"/>
      <c r="H3549" s="4"/>
    </row>
    <row r="3550" spans="7:8" x14ac:dyDescent="0.3">
      <c r="G3550" s="4"/>
      <c r="H3550" s="4"/>
    </row>
    <row r="3551" spans="7:8" x14ac:dyDescent="0.3">
      <c r="G3551" s="4"/>
      <c r="H3551" s="4"/>
    </row>
    <row r="3552" spans="7:8" x14ac:dyDescent="0.3">
      <c r="G3552" s="4"/>
      <c r="H3552" s="4"/>
    </row>
    <row r="3553" spans="7:8" x14ac:dyDescent="0.3">
      <c r="G3553" s="4"/>
      <c r="H3553" s="4"/>
    </row>
    <row r="3554" spans="7:8" x14ac:dyDescent="0.3">
      <c r="G3554" s="4"/>
      <c r="H3554" s="4"/>
    </row>
    <row r="3555" spans="7:8" x14ac:dyDescent="0.3">
      <c r="G3555" s="4"/>
      <c r="H3555" s="4"/>
    </row>
    <row r="3556" spans="7:8" x14ac:dyDescent="0.3">
      <c r="G3556" s="4"/>
      <c r="H3556" s="4"/>
    </row>
    <row r="3557" spans="7:8" x14ac:dyDescent="0.3">
      <c r="G3557" s="4"/>
      <c r="H3557" s="4"/>
    </row>
    <row r="3558" spans="7:8" x14ac:dyDescent="0.3">
      <c r="G3558" s="4"/>
      <c r="H3558" s="4"/>
    </row>
    <row r="3559" spans="7:8" x14ac:dyDescent="0.3">
      <c r="G3559" s="4"/>
      <c r="H3559" s="4"/>
    </row>
    <row r="3560" spans="7:8" x14ac:dyDescent="0.3">
      <c r="G3560" s="4"/>
      <c r="H3560" s="4"/>
    </row>
    <row r="3561" spans="7:8" x14ac:dyDescent="0.3">
      <c r="G3561" s="4"/>
      <c r="H3561" s="4"/>
    </row>
    <row r="3562" spans="7:8" x14ac:dyDescent="0.3">
      <c r="G3562" s="4"/>
      <c r="H3562" s="4"/>
    </row>
    <row r="3563" spans="7:8" x14ac:dyDescent="0.3">
      <c r="G3563" s="4"/>
      <c r="H3563" s="4"/>
    </row>
    <row r="3564" spans="7:8" x14ac:dyDescent="0.3">
      <c r="G3564" s="4"/>
      <c r="H3564" s="4"/>
    </row>
    <row r="3565" spans="7:8" x14ac:dyDescent="0.3">
      <c r="G3565" s="4"/>
      <c r="H3565" s="4"/>
    </row>
    <row r="3566" spans="7:8" x14ac:dyDescent="0.3">
      <c r="G3566" s="4"/>
      <c r="H3566" s="4"/>
    </row>
    <row r="3567" spans="7:8" x14ac:dyDescent="0.3">
      <c r="G3567" s="4"/>
      <c r="H3567" s="4"/>
    </row>
    <row r="3568" spans="7:8" x14ac:dyDescent="0.3">
      <c r="G3568" s="4"/>
      <c r="H3568" s="4"/>
    </row>
    <row r="3569" spans="7:8" x14ac:dyDescent="0.3">
      <c r="G3569" s="4"/>
      <c r="H3569" s="4"/>
    </row>
    <row r="3570" spans="7:8" x14ac:dyDescent="0.3">
      <c r="G3570" s="4"/>
      <c r="H3570" s="4"/>
    </row>
    <row r="3571" spans="7:8" x14ac:dyDescent="0.3">
      <c r="G3571" s="4"/>
      <c r="H3571" s="4"/>
    </row>
    <row r="3572" spans="7:8" x14ac:dyDescent="0.3">
      <c r="G3572" s="4"/>
      <c r="H3572" s="4"/>
    </row>
    <row r="3573" spans="7:8" x14ac:dyDescent="0.3">
      <c r="G3573" s="4"/>
      <c r="H3573" s="4"/>
    </row>
    <row r="3574" spans="7:8" x14ac:dyDescent="0.3">
      <c r="G3574" s="4"/>
      <c r="H3574" s="4"/>
    </row>
    <row r="3575" spans="7:8" x14ac:dyDescent="0.3">
      <c r="G3575" s="4"/>
      <c r="H3575" s="4"/>
    </row>
    <row r="3576" spans="7:8" x14ac:dyDescent="0.3">
      <c r="G3576" s="4"/>
      <c r="H3576" s="4"/>
    </row>
    <row r="3577" spans="7:8" x14ac:dyDescent="0.3">
      <c r="G3577" s="4"/>
      <c r="H3577" s="4"/>
    </row>
    <row r="3578" spans="7:8" x14ac:dyDescent="0.3">
      <c r="G3578" s="4"/>
      <c r="H3578" s="4"/>
    </row>
    <row r="3579" spans="7:8" x14ac:dyDescent="0.3">
      <c r="G3579" s="4"/>
      <c r="H3579" s="4"/>
    </row>
    <row r="3580" spans="7:8" x14ac:dyDescent="0.3">
      <c r="G3580" s="4"/>
      <c r="H3580" s="4"/>
    </row>
    <row r="3581" spans="7:8" x14ac:dyDescent="0.3">
      <c r="G3581" s="4"/>
      <c r="H3581" s="4"/>
    </row>
    <row r="3582" spans="7:8" x14ac:dyDescent="0.3">
      <c r="G3582" s="4"/>
      <c r="H3582" s="4"/>
    </row>
    <row r="3583" spans="7:8" x14ac:dyDescent="0.3">
      <c r="G3583" s="4"/>
      <c r="H3583" s="4"/>
    </row>
    <row r="3584" spans="7:8" x14ac:dyDescent="0.3">
      <c r="G3584" s="4"/>
      <c r="H3584" s="4"/>
    </row>
    <row r="3585" spans="7:8" x14ac:dyDescent="0.3">
      <c r="G3585" s="4"/>
      <c r="H3585" s="4"/>
    </row>
    <row r="3586" spans="7:8" x14ac:dyDescent="0.3">
      <c r="G3586" s="4"/>
      <c r="H3586" s="4"/>
    </row>
    <row r="3587" spans="7:8" x14ac:dyDescent="0.3">
      <c r="G3587" s="4"/>
      <c r="H3587" s="4"/>
    </row>
    <row r="3588" spans="7:8" x14ac:dyDescent="0.3">
      <c r="G3588" s="4"/>
      <c r="H3588" s="4"/>
    </row>
    <row r="3589" spans="7:8" x14ac:dyDescent="0.3">
      <c r="G3589" s="4"/>
      <c r="H3589" s="4"/>
    </row>
    <row r="3590" spans="7:8" x14ac:dyDescent="0.3">
      <c r="G3590" s="4"/>
      <c r="H3590" s="4"/>
    </row>
    <row r="3591" spans="7:8" x14ac:dyDescent="0.3">
      <c r="G3591" s="4"/>
      <c r="H3591" s="4"/>
    </row>
    <row r="3592" spans="7:8" x14ac:dyDescent="0.3">
      <c r="G3592" s="4"/>
      <c r="H3592" s="4"/>
    </row>
    <row r="3593" spans="7:8" x14ac:dyDescent="0.3">
      <c r="G3593" s="4"/>
      <c r="H3593" s="4"/>
    </row>
    <row r="3594" spans="7:8" x14ac:dyDescent="0.3">
      <c r="G3594" s="4"/>
      <c r="H3594" s="4"/>
    </row>
    <row r="3595" spans="7:8" x14ac:dyDescent="0.3">
      <c r="G3595" s="4"/>
      <c r="H3595" s="4"/>
    </row>
    <row r="3596" spans="7:8" x14ac:dyDescent="0.3">
      <c r="G3596" s="4"/>
      <c r="H3596" s="4"/>
    </row>
    <row r="3597" spans="7:8" x14ac:dyDescent="0.3">
      <c r="G3597" s="4"/>
      <c r="H3597" s="4"/>
    </row>
    <row r="3598" spans="7:8" x14ac:dyDescent="0.3">
      <c r="G3598" s="4"/>
      <c r="H3598" s="4"/>
    </row>
    <row r="3599" spans="7:8" x14ac:dyDescent="0.3">
      <c r="G3599" s="4"/>
      <c r="H3599" s="4"/>
    </row>
    <row r="3600" spans="7:8" x14ac:dyDescent="0.3">
      <c r="G3600" s="4"/>
      <c r="H3600" s="4"/>
    </row>
    <row r="3601" spans="7:8" x14ac:dyDescent="0.3">
      <c r="G3601" s="4"/>
      <c r="H3601" s="4"/>
    </row>
    <row r="3602" spans="7:8" x14ac:dyDescent="0.3">
      <c r="G3602" s="4"/>
      <c r="H3602" s="4"/>
    </row>
    <row r="3603" spans="7:8" x14ac:dyDescent="0.3">
      <c r="G3603" s="4"/>
      <c r="H3603" s="4"/>
    </row>
    <row r="3604" spans="7:8" x14ac:dyDescent="0.3">
      <c r="G3604" s="4"/>
      <c r="H3604" s="4"/>
    </row>
    <row r="3605" spans="7:8" x14ac:dyDescent="0.3">
      <c r="G3605" s="4"/>
      <c r="H3605" s="4"/>
    </row>
    <row r="3606" spans="7:8" x14ac:dyDescent="0.3">
      <c r="G3606" s="4"/>
      <c r="H3606" s="4"/>
    </row>
    <row r="3607" spans="7:8" x14ac:dyDescent="0.3">
      <c r="G3607" s="4"/>
      <c r="H3607" s="4"/>
    </row>
    <row r="3608" spans="7:8" x14ac:dyDescent="0.3">
      <c r="G3608" s="4"/>
      <c r="H3608" s="4"/>
    </row>
    <row r="3609" spans="7:8" x14ac:dyDescent="0.3">
      <c r="G3609" s="4"/>
      <c r="H3609" s="4"/>
    </row>
    <row r="3610" spans="7:8" x14ac:dyDescent="0.3">
      <c r="G3610" s="4"/>
      <c r="H3610" s="4"/>
    </row>
    <row r="3611" spans="7:8" x14ac:dyDescent="0.3">
      <c r="G3611" s="4"/>
      <c r="H3611" s="4"/>
    </row>
    <row r="3612" spans="7:8" x14ac:dyDescent="0.3">
      <c r="G3612" s="4"/>
      <c r="H3612" s="4"/>
    </row>
    <row r="3613" spans="7:8" x14ac:dyDescent="0.3">
      <c r="G3613" s="4"/>
      <c r="H3613" s="4"/>
    </row>
    <row r="3614" spans="7:8" x14ac:dyDescent="0.3">
      <c r="G3614" s="4"/>
      <c r="H3614" s="4"/>
    </row>
    <row r="3615" spans="7:8" x14ac:dyDescent="0.3">
      <c r="G3615" s="4"/>
      <c r="H3615" s="4"/>
    </row>
    <row r="3616" spans="7:8" x14ac:dyDescent="0.3">
      <c r="G3616" s="4"/>
      <c r="H3616" s="4"/>
    </row>
    <row r="3617" spans="7:8" x14ac:dyDescent="0.3">
      <c r="G3617" s="4"/>
      <c r="H3617" s="4"/>
    </row>
    <row r="3618" spans="7:8" x14ac:dyDescent="0.3">
      <c r="G3618" s="4"/>
      <c r="H3618" s="4"/>
    </row>
    <row r="3619" spans="7:8" x14ac:dyDescent="0.3">
      <c r="G3619" s="4"/>
      <c r="H3619" s="4"/>
    </row>
    <row r="3620" spans="7:8" x14ac:dyDescent="0.3">
      <c r="G3620" s="4"/>
      <c r="H3620" s="4"/>
    </row>
    <row r="3621" spans="7:8" x14ac:dyDescent="0.3">
      <c r="G3621" s="4"/>
      <c r="H3621" s="4"/>
    </row>
    <row r="3622" spans="7:8" x14ac:dyDescent="0.3">
      <c r="G3622" s="4"/>
      <c r="H3622" s="4"/>
    </row>
    <row r="3623" spans="7:8" x14ac:dyDescent="0.3">
      <c r="G3623" s="4"/>
      <c r="H3623" s="4"/>
    </row>
    <row r="3624" spans="7:8" x14ac:dyDescent="0.3">
      <c r="G3624" s="4"/>
      <c r="H3624" s="4"/>
    </row>
    <row r="3625" spans="7:8" x14ac:dyDescent="0.3">
      <c r="G3625" s="4"/>
      <c r="H3625" s="4"/>
    </row>
    <row r="3626" spans="7:8" x14ac:dyDescent="0.3">
      <c r="G3626" s="4"/>
      <c r="H3626" s="4"/>
    </row>
    <row r="3627" spans="7:8" x14ac:dyDescent="0.3">
      <c r="G3627" s="4"/>
      <c r="H3627" s="4"/>
    </row>
    <row r="3628" spans="7:8" x14ac:dyDescent="0.3">
      <c r="G3628" s="4"/>
      <c r="H3628" s="4"/>
    </row>
    <row r="3629" spans="7:8" x14ac:dyDescent="0.3">
      <c r="G3629" s="4"/>
      <c r="H3629" s="4"/>
    </row>
    <row r="3630" spans="7:8" x14ac:dyDescent="0.3">
      <c r="G3630" s="4"/>
      <c r="H3630" s="4"/>
    </row>
    <row r="3631" spans="7:8" x14ac:dyDescent="0.3">
      <c r="G3631" s="4"/>
      <c r="H3631" s="4"/>
    </row>
    <row r="3632" spans="7:8" x14ac:dyDescent="0.3">
      <c r="G3632" s="4"/>
      <c r="H3632" s="4"/>
    </row>
    <row r="3633" spans="7:8" x14ac:dyDescent="0.3">
      <c r="G3633" s="4"/>
      <c r="H3633" s="4"/>
    </row>
    <row r="3634" spans="7:8" x14ac:dyDescent="0.3">
      <c r="G3634" s="4"/>
      <c r="H3634" s="4"/>
    </row>
    <row r="3635" spans="7:8" x14ac:dyDescent="0.3">
      <c r="G3635" s="4"/>
      <c r="H3635" s="4"/>
    </row>
    <row r="3636" spans="7:8" x14ac:dyDescent="0.3">
      <c r="G3636" s="4"/>
      <c r="H3636" s="4"/>
    </row>
    <row r="3637" spans="7:8" x14ac:dyDescent="0.3">
      <c r="G3637" s="4"/>
      <c r="H3637" s="4"/>
    </row>
    <row r="3638" spans="7:8" x14ac:dyDescent="0.3">
      <c r="G3638" s="4"/>
      <c r="H3638" s="4"/>
    </row>
    <row r="3639" spans="7:8" x14ac:dyDescent="0.3">
      <c r="G3639" s="4"/>
      <c r="H3639" s="4"/>
    </row>
    <row r="3640" spans="7:8" x14ac:dyDescent="0.3">
      <c r="G3640" s="4"/>
      <c r="H3640" s="4"/>
    </row>
    <row r="3641" spans="7:8" x14ac:dyDescent="0.3">
      <c r="G3641" s="4"/>
      <c r="H3641" s="4"/>
    </row>
    <row r="3642" spans="7:8" x14ac:dyDescent="0.3">
      <c r="G3642" s="4"/>
      <c r="H3642" s="4"/>
    </row>
    <row r="3643" spans="7:8" x14ac:dyDescent="0.3">
      <c r="G3643" s="4"/>
      <c r="H3643" s="4"/>
    </row>
    <row r="3644" spans="7:8" x14ac:dyDescent="0.3">
      <c r="G3644" s="4"/>
      <c r="H3644" s="4"/>
    </row>
    <row r="3645" spans="7:8" x14ac:dyDescent="0.3">
      <c r="G3645" s="4"/>
      <c r="H3645" s="4"/>
    </row>
    <row r="3646" spans="7:8" x14ac:dyDescent="0.3">
      <c r="G3646" s="4"/>
      <c r="H3646" s="4"/>
    </row>
    <row r="3647" spans="7:8" x14ac:dyDescent="0.3">
      <c r="G3647" s="4"/>
      <c r="H3647" s="4"/>
    </row>
    <row r="3648" spans="7:8" x14ac:dyDescent="0.3">
      <c r="G3648" s="4"/>
      <c r="H3648" s="4"/>
    </row>
    <row r="3649" spans="7:8" x14ac:dyDescent="0.3">
      <c r="G3649" s="4"/>
      <c r="H3649" s="4"/>
    </row>
    <row r="3650" spans="7:8" x14ac:dyDescent="0.3">
      <c r="G3650" s="4"/>
      <c r="H3650" s="4"/>
    </row>
    <row r="3651" spans="7:8" x14ac:dyDescent="0.3">
      <c r="G3651" s="4"/>
      <c r="H3651" s="4"/>
    </row>
    <row r="3652" spans="7:8" x14ac:dyDescent="0.3">
      <c r="G3652" s="4"/>
      <c r="H3652" s="4"/>
    </row>
    <row r="3653" spans="7:8" x14ac:dyDescent="0.3">
      <c r="G3653" s="4"/>
      <c r="H3653" s="4"/>
    </row>
    <row r="3654" spans="7:8" x14ac:dyDescent="0.3">
      <c r="G3654" s="4"/>
      <c r="H3654" s="4"/>
    </row>
    <row r="3655" spans="7:8" x14ac:dyDescent="0.3">
      <c r="G3655" s="4"/>
      <c r="H3655" s="4"/>
    </row>
    <row r="3656" spans="7:8" x14ac:dyDescent="0.3">
      <c r="G3656" s="4"/>
      <c r="H3656" s="4"/>
    </row>
    <row r="3657" spans="7:8" x14ac:dyDescent="0.3">
      <c r="G3657" s="4"/>
      <c r="H3657" s="4"/>
    </row>
    <row r="3658" spans="7:8" x14ac:dyDescent="0.3">
      <c r="G3658" s="4"/>
      <c r="H3658" s="4"/>
    </row>
    <row r="3659" spans="7:8" x14ac:dyDescent="0.3">
      <c r="G3659" s="4"/>
      <c r="H3659" s="4"/>
    </row>
    <row r="3660" spans="7:8" x14ac:dyDescent="0.3">
      <c r="G3660" s="4"/>
      <c r="H3660" s="4"/>
    </row>
    <row r="3661" spans="7:8" x14ac:dyDescent="0.3">
      <c r="G3661" s="4"/>
      <c r="H3661" s="4"/>
    </row>
    <row r="3662" spans="7:8" x14ac:dyDescent="0.3">
      <c r="G3662" s="4"/>
      <c r="H3662" s="4"/>
    </row>
    <row r="3663" spans="7:8" x14ac:dyDescent="0.3">
      <c r="G3663" s="4"/>
      <c r="H3663" s="4"/>
    </row>
    <row r="3664" spans="7:8" x14ac:dyDescent="0.3">
      <c r="G3664" s="4"/>
      <c r="H3664" s="4"/>
    </row>
    <row r="3665" spans="7:8" x14ac:dyDescent="0.3">
      <c r="G3665" s="4"/>
      <c r="H3665" s="4"/>
    </row>
    <row r="3666" spans="7:8" x14ac:dyDescent="0.3">
      <c r="G3666" s="4"/>
      <c r="H3666" s="4"/>
    </row>
    <row r="3667" spans="7:8" x14ac:dyDescent="0.3">
      <c r="G3667" s="4"/>
      <c r="H3667" s="4"/>
    </row>
    <row r="3668" spans="7:8" x14ac:dyDescent="0.3">
      <c r="G3668" s="4"/>
      <c r="H3668" s="4"/>
    </row>
    <row r="3669" spans="7:8" x14ac:dyDescent="0.3">
      <c r="G3669" s="4"/>
      <c r="H3669" s="4"/>
    </row>
    <row r="3670" spans="7:8" x14ac:dyDescent="0.3">
      <c r="G3670" s="4"/>
      <c r="H3670" s="4"/>
    </row>
    <row r="3671" spans="7:8" x14ac:dyDescent="0.3">
      <c r="G3671" s="4"/>
      <c r="H3671" s="4"/>
    </row>
    <row r="3672" spans="7:8" x14ac:dyDescent="0.3">
      <c r="G3672" s="4"/>
      <c r="H3672" s="4"/>
    </row>
    <row r="3673" spans="7:8" x14ac:dyDescent="0.3">
      <c r="G3673" s="4"/>
      <c r="H3673" s="4"/>
    </row>
    <row r="3674" spans="7:8" x14ac:dyDescent="0.3">
      <c r="G3674" s="4"/>
      <c r="H3674" s="4"/>
    </row>
    <row r="3675" spans="7:8" x14ac:dyDescent="0.3">
      <c r="G3675" s="4"/>
      <c r="H3675" s="4"/>
    </row>
    <row r="3676" spans="7:8" x14ac:dyDescent="0.3">
      <c r="G3676" s="4"/>
      <c r="H3676" s="4"/>
    </row>
    <row r="3677" spans="7:8" x14ac:dyDescent="0.3">
      <c r="G3677" s="4"/>
      <c r="H3677" s="4"/>
    </row>
    <row r="3678" spans="7:8" x14ac:dyDescent="0.3">
      <c r="G3678" s="4"/>
      <c r="H3678" s="4"/>
    </row>
    <row r="3679" spans="7:8" x14ac:dyDescent="0.3">
      <c r="G3679" s="4"/>
      <c r="H3679" s="4"/>
    </row>
    <row r="3680" spans="7:8" x14ac:dyDescent="0.3">
      <c r="G3680" s="4"/>
      <c r="H3680" s="4"/>
    </row>
    <row r="3681" spans="7:8" x14ac:dyDescent="0.3">
      <c r="G3681" s="4"/>
      <c r="H3681" s="4"/>
    </row>
    <row r="3682" spans="7:8" x14ac:dyDescent="0.3">
      <c r="G3682" s="4"/>
      <c r="H3682" s="4"/>
    </row>
    <row r="3683" spans="7:8" x14ac:dyDescent="0.3">
      <c r="G3683" s="4"/>
      <c r="H3683" s="4"/>
    </row>
    <row r="3684" spans="7:8" x14ac:dyDescent="0.3">
      <c r="G3684" s="4"/>
      <c r="H3684" s="4"/>
    </row>
    <row r="3685" spans="7:8" x14ac:dyDescent="0.3">
      <c r="G3685" s="4"/>
      <c r="H3685" s="4"/>
    </row>
    <row r="3686" spans="7:8" x14ac:dyDescent="0.3">
      <c r="G3686" s="4"/>
      <c r="H3686" s="4"/>
    </row>
    <row r="3687" spans="7:8" x14ac:dyDescent="0.3">
      <c r="G3687" s="4"/>
      <c r="H3687" s="4"/>
    </row>
    <row r="3688" spans="7:8" x14ac:dyDescent="0.3">
      <c r="G3688" s="4"/>
      <c r="H3688" s="4"/>
    </row>
    <row r="3689" spans="7:8" x14ac:dyDescent="0.3">
      <c r="G3689" s="4"/>
      <c r="H3689" s="4"/>
    </row>
    <row r="3690" spans="7:8" x14ac:dyDescent="0.3">
      <c r="G3690" s="4"/>
      <c r="H3690" s="4"/>
    </row>
    <row r="3691" spans="7:8" x14ac:dyDescent="0.3">
      <c r="G3691" s="4"/>
      <c r="H3691" s="4"/>
    </row>
    <row r="3692" spans="7:8" x14ac:dyDescent="0.3">
      <c r="G3692" s="4"/>
      <c r="H3692" s="4"/>
    </row>
    <row r="3693" spans="7:8" x14ac:dyDescent="0.3">
      <c r="G3693" s="4"/>
      <c r="H3693" s="4"/>
    </row>
    <row r="3694" spans="7:8" x14ac:dyDescent="0.3">
      <c r="G3694" s="4"/>
      <c r="H3694" s="4"/>
    </row>
    <row r="3695" spans="7:8" x14ac:dyDescent="0.3">
      <c r="G3695" s="4"/>
      <c r="H3695" s="4"/>
    </row>
    <row r="3696" spans="7:8" x14ac:dyDescent="0.3">
      <c r="G3696" s="4"/>
      <c r="H3696" s="4"/>
    </row>
    <row r="3697" spans="7:8" x14ac:dyDescent="0.3">
      <c r="G3697" s="4"/>
      <c r="H3697" s="4"/>
    </row>
    <row r="3698" spans="7:8" x14ac:dyDescent="0.3">
      <c r="G3698" s="4"/>
      <c r="H3698" s="4"/>
    </row>
    <row r="3699" spans="7:8" x14ac:dyDescent="0.3">
      <c r="G3699" s="4"/>
      <c r="H3699" s="4"/>
    </row>
    <row r="3700" spans="7:8" x14ac:dyDescent="0.3">
      <c r="G3700" s="4"/>
      <c r="H3700" s="4"/>
    </row>
    <row r="3701" spans="7:8" x14ac:dyDescent="0.3">
      <c r="G3701" s="4"/>
      <c r="H3701" s="4"/>
    </row>
    <row r="3702" spans="7:8" x14ac:dyDescent="0.3">
      <c r="G3702" s="4"/>
      <c r="H3702" s="4"/>
    </row>
    <row r="3703" spans="7:8" x14ac:dyDescent="0.3">
      <c r="G3703" s="4"/>
      <c r="H3703" s="4"/>
    </row>
    <row r="3704" spans="7:8" x14ac:dyDescent="0.3">
      <c r="G3704" s="4"/>
      <c r="H3704" s="4"/>
    </row>
    <row r="3705" spans="7:8" x14ac:dyDescent="0.3">
      <c r="G3705" s="4"/>
      <c r="H3705" s="4"/>
    </row>
    <row r="3706" spans="7:8" x14ac:dyDescent="0.3">
      <c r="G3706" s="4"/>
      <c r="H3706" s="4"/>
    </row>
    <row r="3707" spans="7:8" x14ac:dyDescent="0.3">
      <c r="G3707" s="4"/>
      <c r="H3707" s="4"/>
    </row>
    <row r="3708" spans="7:8" x14ac:dyDescent="0.3">
      <c r="G3708" s="4"/>
      <c r="H3708" s="4"/>
    </row>
    <row r="3709" spans="7:8" x14ac:dyDescent="0.3">
      <c r="G3709" s="4"/>
      <c r="H3709" s="4"/>
    </row>
    <row r="3710" spans="7:8" x14ac:dyDescent="0.3">
      <c r="G3710" s="4"/>
      <c r="H3710" s="4"/>
    </row>
    <row r="3711" spans="7:8" x14ac:dyDescent="0.3">
      <c r="G3711" s="4"/>
      <c r="H3711" s="4"/>
    </row>
    <row r="3712" spans="7:8" x14ac:dyDescent="0.3">
      <c r="G3712" s="4"/>
      <c r="H3712" s="4"/>
    </row>
    <row r="3713" spans="7:8" x14ac:dyDescent="0.3">
      <c r="G3713" s="4"/>
      <c r="H3713" s="4"/>
    </row>
    <row r="3714" spans="7:8" x14ac:dyDescent="0.3">
      <c r="G3714" s="4"/>
      <c r="H3714" s="4"/>
    </row>
    <row r="3715" spans="7:8" x14ac:dyDescent="0.3">
      <c r="G3715" s="4"/>
      <c r="H3715" s="4"/>
    </row>
    <row r="3716" spans="7:8" x14ac:dyDescent="0.3">
      <c r="G3716" s="4"/>
      <c r="H3716" s="4"/>
    </row>
    <row r="3717" spans="7:8" x14ac:dyDescent="0.3">
      <c r="G3717" s="4"/>
      <c r="H3717" s="4"/>
    </row>
    <row r="3718" spans="7:8" x14ac:dyDescent="0.3">
      <c r="G3718" s="4"/>
      <c r="H3718" s="4"/>
    </row>
    <row r="3719" spans="7:8" x14ac:dyDescent="0.3">
      <c r="G3719" s="4"/>
      <c r="H3719" s="4"/>
    </row>
    <row r="3720" spans="7:8" x14ac:dyDescent="0.3">
      <c r="G3720" s="4"/>
      <c r="H3720" s="4"/>
    </row>
    <row r="3721" spans="7:8" x14ac:dyDescent="0.3">
      <c r="G3721" s="4"/>
      <c r="H3721" s="4"/>
    </row>
    <row r="3722" spans="7:8" x14ac:dyDescent="0.3">
      <c r="G3722" s="4"/>
      <c r="H3722" s="4"/>
    </row>
    <row r="3723" spans="7:8" x14ac:dyDescent="0.3">
      <c r="G3723" s="4"/>
      <c r="H3723" s="4"/>
    </row>
    <row r="3724" spans="7:8" x14ac:dyDescent="0.3">
      <c r="G3724" s="4"/>
      <c r="H3724" s="4"/>
    </row>
    <row r="3725" spans="7:8" x14ac:dyDescent="0.3">
      <c r="G3725" s="4"/>
      <c r="H3725" s="4"/>
    </row>
    <row r="3726" spans="7:8" x14ac:dyDescent="0.3">
      <c r="G3726" s="4"/>
      <c r="H3726" s="4"/>
    </row>
    <row r="3727" spans="7:8" x14ac:dyDescent="0.3">
      <c r="G3727" s="4"/>
      <c r="H3727" s="4"/>
    </row>
    <row r="3728" spans="7:8" x14ac:dyDescent="0.3">
      <c r="G3728" s="4"/>
      <c r="H3728" s="4"/>
    </row>
    <row r="3729" spans="7:8" x14ac:dyDescent="0.3">
      <c r="G3729" s="4"/>
      <c r="H3729" s="4"/>
    </row>
    <row r="3730" spans="7:8" x14ac:dyDescent="0.3">
      <c r="G3730" s="4"/>
      <c r="H3730" s="4"/>
    </row>
    <row r="3731" spans="7:8" x14ac:dyDescent="0.3">
      <c r="G3731" s="4"/>
      <c r="H3731" s="4"/>
    </row>
    <row r="3732" spans="7:8" x14ac:dyDescent="0.3">
      <c r="G3732" s="4"/>
      <c r="H3732" s="4"/>
    </row>
    <row r="3733" spans="7:8" x14ac:dyDescent="0.3">
      <c r="G3733" s="4"/>
      <c r="H3733" s="4"/>
    </row>
    <row r="3734" spans="7:8" x14ac:dyDescent="0.3">
      <c r="G3734" s="4"/>
      <c r="H3734" s="4"/>
    </row>
    <row r="3735" spans="7:8" x14ac:dyDescent="0.3">
      <c r="G3735" s="4"/>
      <c r="H3735" s="4"/>
    </row>
    <row r="3736" spans="7:8" x14ac:dyDescent="0.3">
      <c r="G3736" s="4"/>
      <c r="H3736" s="4"/>
    </row>
    <row r="3737" spans="7:8" x14ac:dyDescent="0.3">
      <c r="G3737" s="4"/>
      <c r="H3737" s="4"/>
    </row>
    <row r="3738" spans="7:8" x14ac:dyDescent="0.3">
      <c r="G3738" s="4"/>
      <c r="H3738" s="4"/>
    </row>
    <row r="3739" spans="7:8" x14ac:dyDescent="0.3">
      <c r="G3739" s="4"/>
      <c r="H3739" s="4"/>
    </row>
    <row r="3740" spans="7:8" x14ac:dyDescent="0.3">
      <c r="G3740" s="4"/>
      <c r="H3740" s="4"/>
    </row>
    <row r="3741" spans="7:8" x14ac:dyDescent="0.3">
      <c r="G3741" s="4"/>
      <c r="H3741" s="4"/>
    </row>
    <row r="3742" spans="7:8" x14ac:dyDescent="0.3">
      <c r="G3742" s="4"/>
      <c r="H3742" s="4"/>
    </row>
    <row r="3743" spans="7:8" x14ac:dyDescent="0.3">
      <c r="G3743" s="4"/>
      <c r="H3743" s="4"/>
    </row>
    <row r="3744" spans="7:8" x14ac:dyDescent="0.3">
      <c r="G3744" s="4"/>
      <c r="H3744" s="4"/>
    </row>
    <row r="3745" spans="7:8" x14ac:dyDescent="0.3">
      <c r="G3745" s="4"/>
      <c r="H3745" s="4"/>
    </row>
    <row r="3746" spans="7:8" x14ac:dyDescent="0.3">
      <c r="G3746" s="4"/>
      <c r="H3746" s="4"/>
    </row>
    <row r="3747" spans="7:8" x14ac:dyDescent="0.3">
      <c r="G3747" s="4"/>
      <c r="H3747" s="4"/>
    </row>
    <row r="3748" spans="7:8" x14ac:dyDescent="0.3">
      <c r="G3748" s="4"/>
      <c r="H3748" s="4"/>
    </row>
    <row r="3749" spans="7:8" x14ac:dyDescent="0.3">
      <c r="G3749" s="4"/>
      <c r="H3749" s="4"/>
    </row>
    <row r="3750" spans="7:8" x14ac:dyDescent="0.3">
      <c r="G3750" s="4"/>
      <c r="H3750" s="4"/>
    </row>
    <row r="3751" spans="7:8" x14ac:dyDescent="0.3">
      <c r="G3751" s="4"/>
      <c r="H3751" s="4"/>
    </row>
    <row r="3752" spans="7:8" x14ac:dyDescent="0.3">
      <c r="G3752" s="4"/>
      <c r="H3752" s="4"/>
    </row>
    <row r="3753" spans="7:8" x14ac:dyDescent="0.3">
      <c r="G3753" s="4"/>
      <c r="H3753" s="4"/>
    </row>
    <row r="3754" spans="7:8" x14ac:dyDescent="0.3">
      <c r="G3754" s="4"/>
      <c r="H3754" s="4"/>
    </row>
    <row r="3755" spans="7:8" x14ac:dyDescent="0.3">
      <c r="G3755" s="4"/>
      <c r="H3755" s="4"/>
    </row>
    <row r="3756" spans="7:8" x14ac:dyDescent="0.3">
      <c r="G3756" s="4"/>
      <c r="H3756" s="4"/>
    </row>
    <row r="3757" spans="7:8" x14ac:dyDescent="0.3">
      <c r="G3757" s="4"/>
      <c r="H3757" s="4"/>
    </row>
    <row r="3758" spans="7:8" x14ac:dyDescent="0.3">
      <c r="G3758" s="4"/>
      <c r="H3758" s="4"/>
    </row>
    <row r="3759" spans="7:8" x14ac:dyDescent="0.3">
      <c r="G3759" s="4"/>
      <c r="H3759" s="4"/>
    </row>
    <row r="3760" spans="7:8" x14ac:dyDescent="0.3">
      <c r="G3760" s="4"/>
      <c r="H3760" s="4"/>
    </row>
    <row r="3761" spans="7:8" x14ac:dyDescent="0.3">
      <c r="G3761" s="4"/>
      <c r="H3761" s="4"/>
    </row>
    <row r="3762" spans="7:8" x14ac:dyDescent="0.3">
      <c r="G3762" s="4"/>
      <c r="H3762" s="4"/>
    </row>
    <row r="3763" spans="7:8" x14ac:dyDescent="0.3">
      <c r="G3763" s="4"/>
      <c r="H3763" s="4"/>
    </row>
    <row r="3764" spans="7:8" x14ac:dyDescent="0.3">
      <c r="G3764" s="4"/>
      <c r="H3764" s="4"/>
    </row>
    <row r="3765" spans="7:8" x14ac:dyDescent="0.3">
      <c r="G3765" s="4"/>
      <c r="H3765" s="4"/>
    </row>
    <row r="3766" spans="7:8" x14ac:dyDescent="0.3">
      <c r="G3766" s="4"/>
      <c r="H3766" s="4"/>
    </row>
    <row r="3767" spans="7:8" x14ac:dyDescent="0.3">
      <c r="G3767" s="4"/>
      <c r="H3767" s="4"/>
    </row>
    <row r="3768" spans="7:8" x14ac:dyDescent="0.3">
      <c r="G3768" s="4"/>
      <c r="H3768" s="4"/>
    </row>
    <row r="3769" spans="7:8" x14ac:dyDescent="0.3">
      <c r="G3769" s="4"/>
      <c r="H3769" s="4"/>
    </row>
    <row r="3770" spans="7:8" x14ac:dyDescent="0.3">
      <c r="G3770" s="4"/>
      <c r="H3770" s="4"/>
    </row>
    <row r="3771" spans="7:8" x14ac:dyDescent="0.3">
      <c r="G3771" s="4"/>
      <c r="H3771" s="4"/>
    </row>
    <row r="3772" spans="7:8" x14ac:dyDescent="0.3">
      <c r="G3772" s="4"/>
      <c r="H3772" s="4"/>
    </row>
    <row r="3773" spans="7:8" x14ac:dyDescent="0.3">
      <c r="G3773" s="4"/>
      <c r="H3773" s="4"/>
    </row>
    <row r="3774" spans="7:8" x14ac:dyDescent="0.3">
      <c r="G3774" s="4"/>
      <c r="H3774" s="4"/>
    </row>
    <row r="3775" spans="7:8" x14ac:dyDescent="0.3">
      <c r="G3775" s="4"/>
      <c r="H3775" s="4"/>
    </row>
    <row r="3776" spans="7:8" x14ac:dyDescent="0.3">
      <c r="G3776" s="4"/>
      <c r="H3776" s="4"/>
    </row>
    <row r="3777" spans="7:8" x14ac:dyDescent="0.3">
      <c r="G3777" s="4"/>
      <c r="H3777" s="4"/>
    </row>
    <row r="3778" spans="7:8" x14ac:dyDescent="0.3">
      <c r="G3778" s="4"/>
      <c r="H3778" s="4"/>
    </row>
    <row r="3779" spans="7:8" x14ac:dyDescent="0.3">
      <c r="G3779" s="4"/>
      <c r="H3779" s="4"/>
    </row>
    <row r="3780" spans="7:8" x14ac:dyDescent="0.3">
      <c r="G3780" s="4"/>
      <c r="H3780" s="4"/>
    </row>
    <row r="3781" spans="7:8" x14ac:dyDescent="0.3">
      <c r="G3781" s="4"/>
      <c r="H3781" s="4"/>
    </row>
    <row r="3782" spans="7:8" x14ac:dyDescent="0.3">
      <c r="G3782" s="4"/>
      <c r="H3782" s="4"/>
    </row>
    <row r="3783" spans="7:8" x14ac:dyDescent="0.3">
      <c r="G3783" s="4"/>
      <c r="H3783" s="4"/>
    </row>
    <row r="3784" spans="7:8" x14ac:dyDescent="0.3">
      <c r="G3784" s="4"/>
      <c r="H3784" s="4"/>
    </row>
    <row r="3785" spans="7:8" x14ac:dyDescent="0.3">
      <c r="G3785" s="4"/>
      <c r="H3785" s="4"/>
    </row>
    <row r="3786" spans="7:8" x14ac:dyDescent="0.3">
      <c r="G3786" s="4"/>
      <c r="H3786" s="4"/>
    </row>
    <row r="3787" spans="7:8" x14ac:dyDescent="0.3">
      <c r="G3787" s="4"/>
      <c r="H3787" s="4"/>
    </row>
    <row r="3788" spans="7:8" x14ac:dyDescent="0.3">
      <c r="G3788" s="4"/>
      <c r="H3788" s="4"/>
    </row>
    <row r="3789" spans="7:8" x14ac:dyDescent="0.3">
      <c r="G3789" s="4"/>
      <c r="H3789" s="4"/>
    </row>
    <row r="3790" spans="7:8" x14ac:dyDescent="0.3">
      <c r="G3790" s="4"/>
      <c r="H3790" s="4"/>
    </row>
    <row r="3791" spans="7:8" x14ac:dyDescent="0.3">
      <c r="G3791" s="4"/>
      <c r="H3791" s="4"/>
    </row>
    <row r="3792" spans="7:8" x14ac:dyDescent="0.3">
      <c r="G3792" s="4"/>
      <c r="H3792" s="4"/>
    </row>
    <row r="3793" spans="7:8" x14ac:dyDescent="0.3">
      <c r="G3793" s="4"/>
      <c r="H3793" s="4"/>
    </row>
    <row r="3794" spans="7:8" x14ac:dyDescent="0.3">
      <c r="G3794" s="4"/>
      <c r="H3794" s="4"/>
    </row>
    <row r="3795" spans="7:8" x14ac:dyDescent="0.3">
      <c r="G3795" s="4"/>
      <c r="H3795" s="4"/>
    </row>
    <row r="3796" spans="7:8" x14ac:dyDescent="0.3">
      <c r="G3796" s="4"/>
      <c r="H3796" s="4"/>
    </row>
    <row r="3797" spans="7:8" x14ac:dyDescent="0.3">
      <c r="G3797" s="4"/>
      <c r="H3797" s="4"/>
    </row>
    <row r="3798" spans="7:8" x14ac:dyDescent="0.3">
      <c r="G3798" s="4"/>
      <c r="H3798" s="4"/>
    </row>
    <row r="3799" spans="7:8" x14ac:dyDescent="0.3">
      <c r="G3799" s="4"/>
      <c r="H3799" s="4"/>
    </row>
    <row r="3800" spans="7:8" x14ac:dyDescent="0.3">
      <c r="G3800" s="4"/>
      <c r="H3800" s="4"/>
    </row>
    <row r="3801" spans="7:8" x14ac:dyDescent="0.3">
      <c r="G3801" s="4"/>
      <c r="H3801" s="4"/>
    </row>
    <row r="3802" spans="7:8" x14ac:dyDescent="0.3">
      <c r="G3802" s="4"/>
      <c r="H3802" s="4"/>
    </row>
    <row r="3803" spans="7:8" x14ac:dyDescent="0.3">
      <c r="G3803" s="4"/>
      <c r="H3803" s="4"/>
    </row>
    <row r="3804" spans="7:8" x14ac:dyDescent="0.3">
      <c r="G3804" s="4"/>
      <c r="H3804" s="4"/>
    </row>
    <row r="3805" spans="7:8" x14ac:dyDescent="0.3">
      <c r="G3805" s="4"/>
      <c r="H3805" s="4"/>
    </row>
    <row r="3806" spans="7:8" x14ac:dyDescent="0.3">
      <c r="G3806" s="4"/>
      <c r="H3806" s="4"/>
    </row>
    <row r="3807" spans="7:8" x14ac:dyDescent="0.3">
      <c r="G3807" s="4"/>
      <c r="H3807" s="4"/>
    </row>
    <row r="3808" spans="7:8" x14ac:dyDescent="0.3">
      <c r="G3808" s="4"/>
      <c r="H3808" s="4"/>
    </row>
    <row r="3809" spans="7:8" x14ac:dyDescent="0.3">
      <c r="G3809" s="4"/>
      <c r="H3809" s="4"/>
    </row>
    <row r="3810" spans="7:8" x14ac:dyDescent="0.3">
      <c r="G3810" s="4"/>
      <c r="H3810" s="4"/>
    </row>
    <row r="3811" spans="7:8" x14ac:dyDescent="0.3">
      <c r="G3811" s="4"/>
      <c r="H3811" s="4"/>
    </row>
    <row r="3812" spans="7:8" x14ac:dyDescent="0.3">
      <c r="G3812" s="4"/>
      <c r="H3812" s="4"/>
    </row>
    <row r="3813" spans="7:8" x14ac:dyDescent="0.3">
      <c r="G3813" s="4"/>
      <c r="H3813" s="4"/>
    </row>
    <row r="3814" spans="7:8" x14ac:dyDescent="0.3">
      <c r="G3814" s="4"/>
      <c r="H3814" s="4"/>
    </row>
    <row r="3815" spans="7:8" x14ac:dyDescent="0.3">
      <c r="G3815" s="4"/>
      <c r="H3815" s="4"/>
    </row>
    <row r="3816" spans="7:8" x14ac:dyDescent="0.3">
      <c r="G3816" s="4"/>
      <c r="H3816" s="4"/>
    </row>
    <row r="3817" spans="7:8" x14ac:dyDescent="0.3">
      <c r="G3817" s="4"/>
      <c r="H3817" s="4"/>
    </row>
    <row r="3818" spans="7:8" x14ac:dyDescent="0.3">
      <c r="G3818" s="4"/>
      <c r="H3818" s="4"/>
    </row>
    <row r="3819" spans="7:8" x14ac:dyDescent="0.3">
      <c r="G3819" s="4"/>
      <c r="H3819" s="4"/>
    </row>
    <row r="3820" spans="7:8" x14ac:dyDescent="0.3">
      <c r="G3820" s="4"/>
      <c r="H3820" s="4"/>
    </row>
    <row r="3821" spans="7:8" x14ac:dyDescent="0.3">
      <c r="G3821" s="4"/>
      <c r="H3821" s="4"/>
    </row>
    <row r="3822" spans="7:8" x14ac:dyDescent="0.3">
      <c r="G3822" s="4"/>
      <c r="H3822" s="4"/>
    </row>
    <row r="3823" spans="7:8" x14ac:dyDescent="0.3">
      <c r="G3823" s="4"/>
      <c r="H3823" s="4"/>
    </row>
    <row r="3824" spans="7:8" x14ac:dyDescent="0.3">
      <c r="G3824" s="4"/>
      <c r="H3824" s="4"/>
    </row>
    <row r="3825" spans="7:8" x14ac:dyDescent="0.3">
      <c r="G3825" s="4"/>
      <c r="H3825" s="4"/>
    </row>
    <row r="3826" spans="7:8" x14ac:dyDescent="0.3">
      <c r="G3826" s="4"/>
      <c r="H3826" s="4"/>
    </row>
    <row r="3827" spans="7:8" x14ac:dyDescent="0.3">
      <c r="G3827" s="4"/>
      <c r="H3827" s="4"/>
    </row>
    <row r="3828" spans="7:8" x14ac:dyDescent="0.3">
      <c r="G3828" s="4"/>
      <c r="H3828" s="4"/>
    </row>
    <row r="3829" spans="7:8" x14ac:dyDescent="0.3">
      <c r="G3829" s="4"/>
      <c r="H3829" s="4"/>
    </row>
    <row r="3830" spans="7:8" x14ac:dyDescent="0.3">
      <c r="G3830" s="4"/>
      <c r="H3830" s="4"/>
    </row>
    <row r="3831" spans="7:8" x14ac:dyDescent="0.3">
      <c r="G3831" s="4"/>
      <c r="H3831" s="4"/>
    </row>
    <row r="3832" spans="7:8" x14ac:dyDescent="0.3">
      <c r="G3832" s="4"/>
      <c r="H3832" s="4"/>
    </row>
    <row r="3833" spans="7:8" x14ac:dyDescent="0.3">
      <c r="G3833" s="4"/>
      <c r="H3833" s="4"/>
    </row>
    <row r="3834" spans="7:8" x14ac:dyDescent="0.3">
      <c r="G3834" s="4"/>
      <c r="H3834" s="4"/>
    </row>
    <row r="3835" spans="7:8" x14ac:dyDescent="0.3">
      <c r="G3835" s="4"/>
      <c r="H3835" s="4"/>
    </row>
    <row r="3836" spans="7:8" x14ac:dyDescent="0.3">
      <c r="G3836" s="4"/>
      <c r="H3836" s="4"/>
    </row>
    <row r="3837" spans="7:8" x14ac:dyDescent="0.3">
      <c r="G3837" s="4"/>
      <c r="H3837" s="4"/>
    </row>
    <row r="3838" spans="7:8" x14ac:dyDescent="0.3">
      <c r="G3838" s="4"/>
      <c r="H3838" s="4"/>
    </row>
    <row r="3839" spans="7:8" x14ac:dyDescent="0.3">
      <c r="G3839" s="4"/>
      <c r="H3839" s="4"/>
    </row>
    <row r="3840" spans="7:8" x14ac:dyDescent="0.3">
      <c r="G3840" s="4"/>
      <c r="H3840" s="4"/>
    </row>
    <row r="3841" spans="7:8" x14ac:dyDescent="0.3">
      <c r="G3841" s="4"/>
      <c r="H3841" s="4"/>
    </row>
    <row r="3842" spans="7:8" x14ac:dyDescent="0.3">
      <c r="G3842" s="4"/>
      <c r="H3842" s="4"/>
    </row>
    <row r="3843" spans="7:8" x14ac:dyDescent="0.3">
      <c r="G3843" s="4"/>
      <c r="H3843" s="4"/>
    </row>
    <row r="3844" spans="7:8" x14ac:dyDescent="0.3">
      <c r="G3844" s="4"/>
      <c r="H3844" s="4"/>
    </row>
    <row r="3845" spans="7:8" x14ac:dyDescent="0.3">
      <c r="G3845" s="4"/>
      <c r="H3845" s="4"/>
    </row>
    <row r="3846" spans="7:8" x14ac:dyDescent="0.3">
      <c r="G3846" s="4"/>
      <c r="H3846" s="4"/>
    </row>
    <row r="3847" spans="7:8" x14ac:dyDescent="0.3">
      <c r="G3847" s="4"/>
      <c r="H3847" s="4"/>
    </row>
    <row r="3848" spans="7:8" x14ac:dyDescent="0.3">
      <c r="G3848" s="4"/>
      <c r="H3848" s="4"/>
    </row>
    <row r="3849" spans="7:8" x14ac:dyDescent="0.3">
      <c r="G3849" s="4"/>
      <c r="H3849" s="4"/>
    </row>
    <row r="3850" spans="7:8" x14ac:dyDescent="0.3">
      <c r="G3850" s="4"/>
      <c r="H3850" s="4"/>
    </row>
    <row r="3851" spans="7:8" x14ac:dyDescent="0.3">
      <c r="G3851" s="4"/>
      <c r="H3851" s="4"/>
    </row>
    <row r="3852" spans="7:8" x14ac:dyDescent="0.3">
      <c r="G3852" s="4"/>
      <c r="H3852" s="4"/>
    </row>
    <row r="3853" spans="7:8" x14ac:dyDescent="0.3">
      <c r="G3853" s="4"/>
      <c r="H3853" s="4"/>
    </row>
    <row r="3854" spans="7:8" x14ac:dyDescent="0.3">
      <c r="G3854" s="4"/>
      <c r="H3854" s="4"/>
    </row>
    <row r="3855" spans="7:8" x14ac:dyDescent="0.3">
      <c r="G3855" s="4"/>
      <c r="H3855" s="4"/>
    </row>
    <row r="3856" spans="7:8" x14ac:dyDescent="0.3">
      <c r="G3856" s="4"/>
      <c r="H3856" s="4"/>
    </row>
    <row r="3857" spans="7:8" x14ac:dyDescent="0.3">
      <c r="G3857" s="4"/>
      <c r="H3857" s="4"/>
    </row>
    <row r="3858" spans="7:8" x14ac:dyDescent="0.3">
      <c r="G3858" s="4"/>
      <c r="H3858" s="4"/>
    </row>
    <row r="3859" spans="7:8" x14ac:dyDescent="0.3">
      <c r="G3859" s="4"/>
      <c r="H3859" s="4"/>
    </row>
    <row r="3860" spans="7:8" x14ac:dyDescent="0.3">
      <c r="G3860" s="4"/>
      <c r="H3860" s="4"/>
    </row>
    <row r="3861" spans="7:8" x14ac:dyDescent="0.3">
      <c r="G3861" s="4"/>
      <c r="H3861" s="4"/>
    </row>
    <row r="3862" spans="7:8" x14ac:dyDescent="0.3">
      <c r="G3862" s="4"/>
      <c r="H3862" s="4"/>
    </row>
    <row r="3863" spans="7:8" x14ac:dyDescent="0.3">
      <c r="G3863" s="4"/>
      <c r="H3863" s="4"/>
    </row>
    <row r="3864" spans="7:8" x14ac:dyDescent="0.3">
      <c r="G3864" s="4"/>
      <c r="H3864" s="4"/>
    </row>
    <row r="3865" spans="7:8" x14ac:dyDescent="0.3">
      <c r="G3865" s="4"/>
      <c r="H3865" s="4"/>
    </row>
    <row r="3866" spans="7:8" x14ac:dyDescent="0.3">
      <c r="G3866" s="4"/>
      <c r="H3866" s="4"/>
    </row>
    <row r="3867" spans="7:8" x14ac:dyDescent="0.3">
      <c r="G3867" s="4"/>
      <c r="H3867" s="4"/>
    </row>
    <row r="3868" spans="7:8" x14ac:dyDescent="0.3">
      <c r="G3868" s="4"/>
      <c r="H3868" s="4"/>
    </row>
    <row r="3869" spans="7:8" x14ac:dyDescent="0.3">
      <c r="G3869" s="4"/>
      <c r="H3869" s="4"/>
    </row>
    <row r="3870" spans="7:8" x14ac:dyDescent="0.3">
      <c r="G3870" s="4"/>
      <c r="H3870" s="4"/>
    </row>
    <row r="3871" spans="7:8" x14ac:dyDescent="0.3">
      <c r="G3871" s="4"/>
      <c r="H3871" s="4"/>
    </row>
    <row r="3872" spans="7:8" x14ac:dyDescent="0.3">
      <c r="G3872" s="4"/>
      <c r="H3872" s="4"/>
    </row>
    <row r="3873" spans="7:8" x14ac:dyDescent="0.3">
      <c r="G3873" s="4"/>
      <c r="H3873" s="4"/>
    </row>
    <row r="3874" spans="7:8" x14ac:dyDescent="0.3">
      <c r="G3874" s="4"/>
      <c r="H3874" s="4"/>
    </row>
    <row r="3875" spans="7:8" x14ac:dyDescent="0.3">
      <c r="G3875" s="4"/>
      <c r="H3875" s="4"/>
    </row>
    <row r="3876" spans="7:8" x14ac:dyDescent="0.3">
      <c r="G3876" s="4"/>
      <c r="H3876" s="4"/>
    </row>
    <row r="3877" spans="7:8" x14ac:dyDescent="0.3">
      <c r="G3877" s="4"/>
      <c r="H3877" s="4"/>
    </row>
    <row r="3878" spans="7:8" x14ac:dyDescent="0.3">
      <c r="G3878" s="4"/>
      <c r="H3878" s="4"/>
    </row>
    <row r="3879" spans="7:8" x14ac:dyDescent="0.3">
      <c r="G3879" s="4"/>
      <c r="H3879" s="4"/>
    </row>
    <row r="3880" spans="7:8" x14ac:dyDescent="0.3">
      <c r="G3880" s="4"/>
      <c r="H3880" s="4"/>
    </row>
    <row r="3881" spans="7:8" x14ac:dyDescent="0.3">
      <c r="G3881" s="4"/>
      <c r="H3881" s="4"/>
    </row>
    <row r="3882" spans="7:8" x14ac:dyDescent="0.3">
      <c r="G3882" s="4"/>
      <c r="H3882" s="4"/>
    </row>
    <row r="3883" spans="7:8" x14ac:dyDescent="0.3">
      <c r="G3883" s="4"/>
      <c r="H3883" s="4"/>
    </row>
    <row r="3884" spans="7:8" x14ac:dyDescent="0.3">
      <c r="G3884" s="4"/>
      <c r="H3884" s="4"/>
    </row>
    <row r="3885" spans="7:8" x14ac:dyDescent="0.3">
      <c r="G3885" s="4"/>
      <c r="H3885" s="4"/>
    </row>
    <row r="3886" spans="7:8" x14ac:dyDescent="0.3">
      <c r="G3886" s="4"/>
      <c r="H3886" s="4"/>
    </row>
    <row r="3887" spans="7:8" x14ac:dyDescent="0.3">
      <c r="G3887" s="4"/>
      <c r="H3887" s="4"/>
    </row>
    <row r="3888" spans="7:8" x14ac:dyDescent="0.3">
      <c r="G3888" s="4"/>
      <c r="H3888" s="4"/>
    </row>
    <row r="3889" spans="7:8" x14ac:dyDescent="0.3">
      <c r="G3889" s="4"/>
      <c r="H3889" s="4"/>
    </row>
    <row r="3890" spans="7:8" x14ac:dyDescent="0.3">
      <c r="G3890" s="4"/>
      <c r="H3890" s="4"/>
    </row>
    <row r="3891" spans="7:8" x14ac:dyDescent="0.3">
      <c r="G3891" s="4"/>
      <c r="H3891" s="4"/>
    </row>
    <row r="3892" spans="7:8" x14ac:dyDescent="0.3">
      <c r="G3892" s="4"/>
      <c r="H3892" s="4"/>
    </row>
    <row r="3893" spans="7:8" x14ac:dyDescent="0.3">
      <c r="G3893" s="4"/>
      <c r="H3893" s="4"/>
    </row>
    <row r="3894" spans="7:8" x14ac:dyDescent="0.3">
      <c r="G3894" s="4"/>
      <c r="H3894" s="4"/>
    </row>
    <row r="3895" spans="7:8" x14ac:dyDescent="0.3">
      <c r="G3895" s="4"/>
      <c r="H3895" s="4"/>
    </row>
    <row r="3896" spans="7:8" x14ac:dyDescent="0.3">
      <c r="G3896" s="4"/>
      <c r="H3896" s="4"/>
    </row>
    <row r="3897" spans="7:8" x14ac:dyDescent="0.3">
      <c r="G3897" s="4"/>
      <c r="H3897" s="4"/>
    </row>
    <row r="3898" spans="7:8" x14ac:dyDescent="0.3">
      <c r="G3898" s="4"/>
      <c r="H3898" s="4"/>
    </row>
    <row r="3899" spans="7:8" x14ac:dyDescent="0.3">
      <c r="G3899" s="4"/>
      <c r="H3899" s="4"/>
    </row>
    <row r="3900" spans="7:8" x14ac:dyDescent="0.3">
      <c r="G3900" s="4"/>
      <c r="H3900" s="4"/>
    </row>
    <row r="3901" spans="7:8" x14ac:dyDescent="0.3">
      <c r="G3901" s="4"/>
      <c r="H3901" s="4"/>
    </row>
    <row r="3902" spans="7:8" x14ac:dyDescent="0.3">
      <c r="G3902" s="4"/>
      <c r="H3902" s="4"/>
    </row>
    <row r="3903" spans="7:8" x14ac:dyDescent="0.3">
      <c r="G3903" s="4"/>
      <c r="H3903" s="4"/>
    </row>
    <row r="3904" spans="7:8" x14ac:dyDescent="0.3">
      <c r="G3904" s="4"/>
      <c r="H3904" s="4"/>
    </row>
    <row r="3905" spans="7:8" x14ac:dyDescent="0.3">
      <c r="G3905" s="4"/>
      <c r="H3905" s="4"/>
    </row>
    <row r="3906" spans="7:8" x14ac:dyDescent="0.3">
      <c r="G3906" s="4"/>
      <c r="H3906" s="4"/>
    </row>
    <row r="3907" spans="7:8" x14ac:dyDescent="0.3">
      <c r="G3907" s="4"/>
      <c r="H3907" s="4"/>
    </row>
    <row r="3908" spans="7:8" x14ac:dyDescent="0.3">
      <c r="G3908" s="4"/>
      <c r="H3908" s="4"/>
    </row>
    <row r="3909" spans="7:8" x14ac:dyDescent="0.3">
      <c r="G3909" s="4"/>
      <c r="H3909" s="4"/>
    </row>
    <row r="3910" spans="7:8" x14ac:dyDescent="0.3">
      <c r="G3910" s="4"/>
      <c r="H3910" s="4"/>
    </row>
    <row r="3911" spans="7:8" x14ac:dyDescent="0.3">
      <c r="G3911" s="4"/>
      <c r="H3911" s="4"/>
    </row>
    <row r="3912" spans="7:8" x14ac:dyDescent="0.3">
      <c r="G3912" s="4"/>
      <c r="H3912" s="4"/>
    </row>
    <row r="3913" spans="7:8" x14ac:dyDescent="0.3">
      <c r="G3913" s="4"/>
      <c r="H3913" s="4"/>
    </row>
    <row r="3914" spans="7:8" x14ac:dyDescent="0.3">
      <c r="G3914" s="4"/>
      <c r="H3914" s="4"/>
    </row>
    <row r="3915" spans="7:8" x14ac:dyDescent="0.3">
      <c r="G3915" s="4"/>
      <c r="H3915" s="4"/>
    </row>
    <row r="3916" spans="7:8" x14ac:dyDescent="0.3">
      <c r="G3916" s="4"/>
      <c r="H3916" s="4"/>
    </row>
    <row r="3917" spans="7:8" x14ac:dyDescent="0.3">
      <c r="G3917" s="4"/>
      <c r="H3917" s="4"/>
    </row>
    <row r="3918" spans="7:8" x14ac:dyDescent="0.3">
      <c r="G3918" s="4"/>
      <c r="H3918" s="4"/>
    </row>
    <row r="3919" spans="7:8" x14ac:dyDescent="0.3">
      <c r="G3919" s="4"/>
      <c r="H3919" s="4"/>
    </row>
    <row r="3920" spans="7:8" x14ac:dyDescent="0.3">
      <c r="G3920" s="4"/>
      <c r="H3920" s="4"/>
    </row>
    <row r="3921" spans="7:8" x14ac:dyDescent="0.3">
      <c r="G3921" s="4"/>
      <c r="H3921" s="4"/>
    </row>
    <row r="3922" spans="7:8" x14ac:dyDescent="0.3">
      <c r="G3922" s="4"/>
      <c r="H3922" s="4"/>
    </row>
    <row r="3923" spans="7:8" x14ac:dyDescent="0.3">
      <c r="G3923" s="4"/>
      <c r="H3923" s="4"/>
    </row>
    <row r="3924" spans="7:8" x14ac:dyDescent="0.3">
      <c r="G3924" s="4"/>
      <c r="H3924" s="4"/>
    </row>
    <row r="3925" spans="7:8" x14ac:dyDescent="0.3">
      <c r="G3925" s="4"/>
      <c r="H3925" s="4"/>
    </row>
    <row r="3926" spans="7:8" x14ac:dyDescent="0.3">
      <c r="G3926" s="4"/>
      <c r="H3926" s="4"/>
    </row>
    <row r="3927" spans="7:8" x14ac:dyDescent="0.3">
      <c r="G3927" s="4"/>
      <c r="H3927" s="4"/>
    </row>
    <row r="3928" spans="7:8" x14ac:dyDescent="0.3">
      <c r="G3928" s="4"/>
      <c r="H3928" s="4"/>
    </row>
    <row r="3929" spans="7:8" x14ac:dyDescent="0.3">
      <c r="G3929" s="4"/>
      <c r="H3929" s="4"/>
    </row>
    <row r="3930" spans="7:8" x14ac:dyDescent="0.3">
      <c r="G3930" s="4"/>
      <c r="H3930" s="4"/>
    </row>
    <row r="3931" spans="7:8" x14ac:dyDescent="0.3">
      <c r="G3931" s="4"/>
      <c r="H3931" s="4"/>
    </row>
    <row r="3932" spans="7:8" x14ac:dyDescent="0.3">
      <c r="G3932" s="4"/>
      <c r="H3932" s="4"/>
    </row>
    <row r="3933" spans="7:8" x14ac:dyDescent="0.3">
      <c r="G3933" s="4"/>
      <c r="H3933" s="4"/>
    </row>
    <row r="3934" spans="7:8" x14ac:dyDescent="0.3">
      <c r="G3934" s="4"/>
      <c r="H3934" s="4"/>
    </row>
    <row r="3935" spans="7:8" x14ac:dyDescent="0.3">
      <c r="G3935" s="4"/>
      <c r="H3935" s="4"/>
    </row>
    <row r="3936" spans="7:8" x14ac:dyDescent="0.3">
      <c r="G3936" s="4"/>
      <c r="H3936" s="4"/>
    </row>
    <row r="3937" spans="7:8" x14ac:dyDescent="0.3">
      <c r="G3937" s="4"/>
      <c r="H3937" s="4"/>
    </row>
    <row r="3938" spans="7:8" x14ac:dyDescent="0.3">
      <c r="G3938" s="4"/>
      <c r="H3938" s="4"/>
    </row>
    <row r="3939" spans="7:8" x14ac:dyDescent="0.3">
      <c r="G3939" s="4"/>
      <c r="H3939" s="4"/>
    </row>
    <row r="3940" spans="7:8" x14ac:dyDescent="0.3">
      <c r="G3940" s="4"/>
      <c r="H3940" s="4"/>
    </row>
    <row r="3941" spans="7:8" x14ac:dyDescent="0.3">
      <c r="G3941" s="4"/>
      <c r="H3941" s="4"/>
    </row>
    <row r="3942" spans="7:8" x14ac:dyDescent="0.3">
      <c r="G3942" s="4"/>
      <c r="H3942" s="4"/>
    </row>
    <row r="3943" spans="7:8" x14ac:dyDescent="0.3">
      <c r="G3943" s="4"/>
      <c r="H3943" s="4"/>
    </row>
    <row r="3944" spans="7:8" x14ac:dyDescent="0.3">
      <c r="G3944" s="4"/>
      <c r="H3944" s="4"/>
    </row>
    <row r="3945" spans="7:8" x14ac:dyDescent="0.3">
      <c r="G3945" s="4"/>
      <c r="H3945" s="4"/>
    </row>
    <row r="3946" spans="7:8" x14ac:dyDescent="0.3">
      <c r="G3946" s="4"/>
      <c r="H3946" s="4"/>
    </row>
    <row r="3947" spans="7:8" x14ac:dyDescent="0.3">
      <c r="G3947" s="4"/>
      <c r="H3947" s="4"/>
    </row>
    <row r="3948" spans="7:8" x14ac:dyDescent="0.3">
      <c r="G3948" s="4"/>
      <c r="H3948" s="4"/>
    </row>
    <row r="3949" spans="7:8" x14ac:dyDescent="0.3">
      <c r="G3949" s="4"/>
      <c r="H3949" s="4"/>
    </row>
    <row r="3950" spans="7:8" x14ac:dyDescent="0.3">
      <c r="G3950" s="4"/>
      <c r="H3950" s="4"/>
    </row>
    <row r="3951" spans="7:8" x14ac:dyDescent="0.3">
      <c r="G3951" s="4"/>
      <c r="H3951" s="4"/>
    </row>
    <row r="3952" spans="7:8" x14ac:dyDescent="0.3">
      <c r="G3952" s="4"/>
      <c r="H3952" s="4"/>
    </row>
    <row r="3953" spans="7:8" x14ac:dyDescent="0.3">
      <c r="G3953" s="4"/>
      <c r="H3953" s="4"/>
    </row>
    <row r="3954" spans="7:8" x14ac:dyDescent="0.3">
      <c r="G3954" s="4"/>
      <c r="H3954" s="4"/>
    </row>
    <row r="3955" spans="7:8" x14ac:dyDescent="0.3">
      <c r="G3955" s="4"/>
      <c r="H3955" s="4"/>
    </row>
    <row r="3956" spans="7:8" x14ac:dyDescent="0.3">
      <c r="G3956" s="4"/>
      <c r="H3956" s="4"/>
    </row>
    <row r="3957" spans="7:8" x14ac:dyDescent="0.3">
      <c r="G3957" s="4"/>
      <c r="H3957" s="4"/>
    </row>
    <row r="3958" spans="7:8" x14ac:dyDescent="0.3">
      <c r="G3958" s="4"/>
      <c r="H3958" s="4"/>
    </row>
    <row r="3959" spans="7:8" x14ac:dyDescent="0.3">
      <c r="G3959" s="4"/>
      <c r="H3959" s="4"/>
    </row>
    <row r="3960" spans="7:8" x14ac:dyDescent="0.3">
      <c r="G3960" s="4"/>
      <c r="H3960" s="4"/>
    </row>
    <row r="3961" spans="7:8" x14ac:dyDescent="0.3">
      <c r="G3961" s="4"/>
      <c r="H3961" s="4"/>
    </row>
    <row r="3962" spans="7:8" x14ac:dyDescent="0.3">
      <c r="G3962" s="4"/>
      <c r="H3962" s="4"/>
    </row>
    <row r="3963" spans="7:8" x14ac:dyDescent="0.3">
      <c r="G3963" s="4"/>
      <c r="H3963" s="4"/>
    </row>
    <row r="3964" spans="7:8" x14ac:dyDescent="0.3">
      <c r="G3964" s="4"/>
      <c r="H3964" s="4"/>
    </row>
    <row r="3965" spans="7:8" x14ac:dyDescent="0.3">
      <c r="G3965" s="4"/>
      <c r="H3965" s="4"/>
    </row>
    <row r="3966" spans="7:8" x14ac:dyDescent="0.3">
      <c r="G3966" s="4"/>
      <c r="H3966" s="4"/>
    </row>
    <row r="3967" spans="7:8" x14ac:dyDescent="0.3">
      <c r="G3967" s="4"/>
      <c r="H3967" s="4"/>
    </row>
    <row r="3968" spans="7:8" x14ac:dyDescent="0.3">
      <c r="G3968" s="4"/>
      <c r="H3968" s="4"/>
    </row>
    <row r="3969" spans="7:8" x14ac:dyDescent="0.3">
      <c r="G3969" s="4"/>
      <c r="H3969" s="4"/>
    </row>
    <row r="3970" spans="7:8" x14ac:dyDescent="0.3">
      <c r="G3970" s="4"/>
      <c r="H3970" s="4"/>
    </row>
    <row r="3971" spans="7:8" x14ac:dyDescent="0.3">
      <c r="G3971" s="4"/>
      <c r="H3971" s="4"/>
    </row>
    <row r="3972" spans="7:8" x14ac:dyDescent="0.3">
      <c r="G3972" s="4"/>
      <c r="H3972" s="4"/>
    </row>
    <row r="3973" spans="7:8" x14ac:dyDescent="0.3">
      <c r="G3973" s="4"/>
      <c r="H3973" s="4"/>
    </row>
    <row r="3974" spans="7:8" x14ac:dyDescent="0.3">
      <c r="G3974" s="4"/>
      <c r="H3974" s="4"/>
    </row>
    <row r="3975" spans="7:8" x14ac:dyDescent="0.3">
      <c r="G3975" s="4"/>
      <c r="H3975" s="4"/>
    </row>
    <row r="3976" spans="7:8" x14ac:dyDescent="0.3">
      <c r="G3976" s="4"/>
      <c r="H3976" s="4"/>
    </row>
    <row r="3977" spans="7:8" x14ac:dyDescent="0.3">
      <c r="G3977" s="4"/>
      <c r="H3977" s="4"/>
    </row>
    <row r="3978" spans="7:8" x14ac:dyDescent="0.3">
      <c r="G3978" s="4"/>
      <c r="H3978" s="4"/>
    </row>
    <row r="3979" spans="7:8" x14ac:dyDescent="0.3">
      <c r="G3979" s="4"/>
      <c r="H3979" s="4"/>
    </row>
    <row r="3980" spans="7:8" x14ac:dyDescent="0.3">
      <c r="G3980" s="4"/>
      <c r="H3980" s="4"/>
    </row>
    <row r="3981" spans="7:8" x14ac:dyDescent="0.3">
      <c r="G3981" s="4"/>
      <c r="H3981" s="4"/>
    </row>
    <row r="3982" spans="7:8" x14ac:dyDescent="0.3">
      <c r="G3982" s="4"/>
      <c r="H3982" s="4"/>
    </row>
    <row r="3983" spans="7:8" x14ac:dyDescent="0.3">
      <c r="G3983" s="4"/>
      <c r="H3983" s="4"/>
    </row>
    <row r="3984" spans="7:8" x14ac:dyDescent="0.3">
      <c r="G3984" s="4"/>
      <c r="H3984" s="4"/>
    </row>
    <row r="3985" spans="7:8" x14ac:dyDescent="0.3">
      <c r="G3985" s="4"/>
      <c r="H3985" s="4"/>
    </row>
    <row r="3986" spans="7:8" x14ac:dyDescent="0.3">
      <c r="G3986" s="4"/>
      <c r="H3986" s="4"/>
    </row>
    <row r="3987" spans="7:8" x14ac:dyDescent="0.3">
      <c r="G3987" s="4"/>
      <c r="H3987" s="4"/>
    </row>
    <row r="3988" spans="7:8" x14ac:dyDescent="0.3">
      <c r="G3988" s="4"/>
      <c r="H3988" s="4"/>
    </row>
    <row r="3989" spans="7:8" x14ac:dyDescent="0.3">
      <c r="G3989" s="4"/>
      <c r="H3989" s="4"/>
    </row>
    <row r="3990" spans="7:8" x14ac:dyDescent="0.3">
      <c r="G3990" s="4"/>
      <c r="H3990" s="4"/>
    </row>
    <row r="3991" spans="7:8" x14ac:dyDescent="0.3">
      <c r="G3991" s="4"/>
      <c r="H3991" s="4"/>
    </row>
    <row r="3992" spans="7:8" x14ac:dyDescent="0.3">
      <c r="G3992" s="4"/>
      <c r="H3992" s="4"/>
    </row>
    <row r="3993" spans="7:8" x14ac:dyDescent="0.3">
      <c r="G3993" s="4"/>
      <c r="H3993" s="4"/>
    </row>
    <row r="3994" spans="7:8" x14ac:dyDescent="0.3">
      <c r="G3994" s="4"/>
      <c r="H3994" s="4"/>
    </row>
    <row r="3995" spans="7:8" x14ac:dyDescent="0.3">
      <c r="G3995" s="4"/>
      <c r="H3995" s="4"/>
    </row>
    <row r="3996" spans="7:8" x14ac:dyDescent="0.3">
      <c r="G3996" s="4"/>
      <c r="H3996" s="4"/>
    </row>
    <row r="3997" spans="7:8" x14ac:dyDescent="0.3">
      <c r="G3997" s="4"/>
      <c r="H3997" s="4"/>
    </row>
    <row r="3998" spans="7:8" x14ac:dyDescent="0.3">
      <c r="G3998" s="4"/>
      <c r="H3998" s="4"/>
    </row>
    <row r="3999" spans="7:8" x14ac:dyDescent="0.3">
      <c r="G3999" s="4"/>
      <c r="H3999" s="4"/>
    </row>
    <row r="4000" spans="7:8" x14ac:dyDescent="0.3">
      <c r="G4000" s="4"/>
      <c r="H4000" s="4"/>
    </row>
    <row r="4001" spans="7:8" x14ac:dyDescent="0.3">
      <c r="G4001" s="4"/>
      <c r="H4001" s="4"/>
    </row>
    <row r="4002" spans="7:8" x14ac:dyDescent="0.3">
      <c r="G4002" s="4"/>
      <c r="H4002" s="4"/>
    </row>
    <row r="4003" spans="7:8" x14ac:dyDescent="0.3">
      <c r="G4003" s="4"/>
      <c r="H4003" s="4"/>
    </row>
    <row r="4004" spans="7:8" x14ac:dyDescent="0.3">
      <c r="G4004" s="4"/>
      <c r="H4004" s="4"/>
    </row>
    <row r="4005" spans="7:8" x14ac:dyDescent="0.3">
      <c r="G4005" s="4"/>
      <c r="H4005" s="4"/>
    </row>
    <row r="4006" spans="7:8" x14ac:dyDescent="0.3">
      <c r="G4006" s="4"/>
      <c r="H4006" s="4"/>
    </row>
    <row r="4007" spans="7:8" x14ac:dyDescent="0.3">
      <c r="G4007" s="4"/>
      <c r="H4007" s="4"/>
    </row>
    <row r="4008" spans="7:8" x14ac:dyDescent="0.3">
      <c r="G4008" s="4"/>
      <c r="H4008" s="4"/>
    </row>
    <row r="4009" spans="7:8" x14ac:dyDescent="0.3">
      <c r="G4009" s="4"/>
      <c r="H4009" s="4"/>
    </row>
    <row r="4010" spans="7:8" x14ac:dyDescent="0.3">
      <c r="G4010" s="4"/>
      <c r="H4010" s="4"/>
    </row>
    <row r="4011" spans="7:8" x14ac:dyDescent="0.3">
      <c r="G4011" s="4"/>
      <c r="H4011" s="4"/>
    </row>
    <row r="4012" spans="7:8" x14ac:dyDescent="0.3">
      <c r="G4012" s="4"/>
      <c r="H4012" s="4"/>
    </row>
    <row r="4013" spans="7:8" x14ac:dyDescent="0.3">
      <c r="G4013" s="4"/>
      <c r="H4013" s="4"/>
    </row>
    <row r="4014" spans="7:8" x14ac:dyDescent="0.3">
      <c r="G4014" s="4"/>
      <c r="H4014" s="4"/>
    </row>
    <row r="4015" spans="7:8" x14ac:dyDescent="0.3">
      <c r="G4015" s="4"/>
      <c r="H4015" s="4"/>
    </row>
    <row r="4016" spans="7:8" x14ac:dyDescent="0.3">
      <c r="G4016" s="4"/>
      <c r="H4016" s="4"/>
    </row>
    <row r="4017" spans="7:8" x14ac:dyDescent="0.3">
      <c r="G4017" s="4"/>
      <c r="H4017" s="4"/>
    </row>
    <row r="4018" spans="7:8" x14ac:dyDescent="0.3">
      <c r="G4018" s="4"/>
      <c r="H4018" s="4"/>
    </row>
    <row r="4019" spans="7:8" x14ac:dyDescent="0.3">
      <c r="G4019" s="4"/>
      <c r="H4019" s="4"/>
    </row>
    <row r="4020" spans="7:8" x14ac:dyDescent="0.3">
      <c r="G4020" s="4"/>
      <c r="H4020" s="4"/>
    </row>
    <row r="4021" spans="7:8" x14ac:dyDescent="0.3">
      <c r="G4021" s="4"/>
      <c r="H4021" s="4"/>
    </row>
    <row r="4022" spans="7:8" x14ac:dyDescent="0.3">
      <c r="G4022" s="4"/>
      <c r="H4022" s="4"/>
    </row>
    <row r="4023" spans="7:8" x14ac:dyDescent="0.3">
      <c r="G4023" s="4"/>
      <c r="H4023" s="4"/>
    </row>
    <row r="4024" spans="7:8" x14ac:dyDescent="0.3">
      <c r="G4024" s="4"/>
      <c r="H4024" s="4"/>
    </row>
    <row r="4025" spans="7:8" x14ac:dyDescent="0.3">
      <c r="G4025" s="4"/>
      <c r="H4025" s="4"/>
    </row>
    <row r="4026" spans="7:8" x14ac:dyDescent="0.3">
      <c r="G4026" s="4"/>
      <c r="H4026" s="4"/>
    </row>
    <row r="4027" spans="7:8" x14ac:dyDescent="0.3">
      <c r="G4027" s="4"/>
      <c r="H4027" s="4"/>
    </row>
    <row r="4028" spans="7:8" x14ac:dyDescent="0.3">
      <c r="G4028" s="4"/>
      <c r="H4028" s="4"/>
    </row>
    <row r="4029" spans="7:8" x14ac:dyDescent="0.3">
      <c r="G4029" s="4"/>
      <c r="H4029" s="4"/>
    </row>
    <row r="4030" spans="7:8" x14ac:dyDescent="0.3">
      <c r="G4030" s="4"/>
      <c r="H4030" s="4"/>
    </row>
    <row r="4031" spans="7:8" x14ac:dyDescent="0.3">
      <c r="G4031" s="4"/>
      <c r="H4031" s="4"/>
    </row>
    <row r="4032" spans="7:8" x14ac:dyDescent="0.3">
      <c r="G4032" s="4"/>
      <c r="H4032" s="4"/>
    </row>
    <row r="4033" spans="7:8" x14ac:dyDescent="0.3">
      <c r="G4033" s="4"/>
      <c r="H4033" s="4"/>
    </row>
    <row r="4034" spans="7:8" x14ac:dyDescent="0.3">
      <c r="G4034" s="4"/>
      <c r="H4034" s="4"/>
    </row>
    <row r="4035" spans="7:8" x14ac:dyDescent="0.3">
      <c r="G4035" s="4"/>
      <c r="H4035" s="4"/>
    </row>
    <row r="4036" spans="7:8" x14ac:dyDescent="0.3">
      <c r="G4036" s="4"/>
      <c r="H4036" s="4"/>
    </row>
    <row r="4037" spans="7:8" x14ac:dyDescent="0.3">
      <c r="G4037" s="4"/>
      <c r="H4037" s="4"/>
    </row>
    <row r="4038" spans="7:8" x14ac:dyDescent="0.3">
      <c r="G4038" s="4"/>
      <c r="H4038" s="4"/>
    </row>
    <row r="4039" spans="7:8" x14ac:dyDescent="0.3">
      <c r="G4039" s="4"/>
      <c r="H4039" s="4"/>
    </row>
    <row r="4040" spans="7:8" x14ac:dyDescent="0.3">
      <c r="G4040" s="4"/>
      <c r="H4040" s="4"/>
    </row>
    <row r="4041" spans="7:8" x14ac:dyDescent="0.3">
      <c r="G4041" s="4"/>
      <c r="H4041" s="4"/>
    </row>
    <row r="4042" spans="7:8" x14ac:dyDescent="0.3">
      <c r="G4042" s="4"/>
      <c r="H4042" s="4"/>
    </row>
    <row r="4043" spans="7:8" x14ac:dyDescent="0.3">
      <c r="G4043" s="4"/>
      <c r="H4043" s="4"/>
    </row>
    <row r="4044" spans="7:8" x14ac:dyDescent="0.3">
      <c r="G4044" s="4"/>
      <c r="H4044" s="4"/>
    </row>
    <row r="4045" spans="7:8" x14ac:dyDescent="0.3">
      <c r="G4045" s="4"/>
      <c r="H4045" s="4"/>
    </row>
    <row r="4046" spans="7:8" x14ac:dyDescent="0.3">
      <c r="G4046" s="4"/>
      <c r="H4046" s="4"/>
    </row>
    <row r="4047" spans="7:8" x14ac:dyDescent="0.3">
      <c r="G4047" s="4"/>
      <c r="H4047" s="4"/>
    </row>
    <row r="4048" spans="7:8" x14ac:dyDescent="0.3">
      <c r="G4048" s="4"/>
      <c r="H4048" s="4"/>
    </row>
    <row r="4049" spans="7:8" x14ac:dyDescent="0.3">
      <c r="G4049" s="4"/>
      <c r="H4049" s="4"/>
    </row>
    <row r="4050" spans="7:8" x14ac:dyDescent="0.3">
      <c r="G4050" s="4"/>
      <c r="H4050" s="4"/>
    </row>
    <row r="4051" spans="7:8" x14ac:dyDescent="0.3">
      <c r="G4051" s="4"/>
      <c r="H4051" s="4"/>
    </row>
    <row r="4052" spans="7:8" x14ac:dyDescent="0.3">
      <c r="G4052" s="4"/>
      <c r="H4052" s="4"/>
    </row>
    <row r="4053" spans="7:8" x14ac:dyDescent="0.3">
      <c r="G4053" s="4"/>
      <c r="H4053" s="4"/>
    </row>
    <row r="4054" spans="7:8" x14ac:dyDescent="0.3">
      <c r="G4054" s="4"/>
      <c r="H4054" s="4"/>
    </row>
    <row r="4055" spans="7:8" x14ac:dyDescent="0.3">
      <c r="G4055" s="4"/>
      <c r="H4055" s="4"/>
    </row>
    <row r="4056" spans="7:8" x14ac:dyDescent="0.3">
      <c r="G4056" s="4"/>
      <c r="H4056" s="4"/>
    </row>
    <row r="4057" spans="7:8" x14ac:dyDescent="0.3">
      <c r="G4057" s="4"/>
      <c r="H4057" s="4"/>
    </row>
    <row r="4058" spans="7:8" x14ac:dyDescent="0.3">
      <c r="G4058" s="4"/>
      <c r="H4058" s="4"/>
    </row>
    <row r="4059" spans="7:8" x14ac:dyDescent="0.3">
      <c r="G4059" s="4"/>
      <c r="H4059" s="4"/>
    </row>
    <row r="4060" spans="7:8" x14ac:dyDescent="0.3">
      <c r="G4060" s="4"/>
      <c r="H4060" s="4"/>
    </row>
    <row r="4061" spans="7:8" x14ac:dyDescent="0.3">
      <c r="G4061" s="4"/>
      <c r="H4061" s="4"/>
    </row>
    <row r="4062" spans="7:8" x14ac:dyDescent="0.3">
      <c r="G4062" s="4"/>
      <c r="H4062" s="4"/>
    </row>
    <row r="4063" spans="7:8" x14ac:dyDescent="0.3">
      <c r="G4063" s="4"/>
      <c r="H4063" s="4"/>
    </row>
    <row r="4064" spans="7:8" x14ac:dyDescent="0.3">
      <c r="G4064" s="4"/>
      <c r="H4064" s="4"/>
    </row>
    <row r="4065" spans="7:8" x14ac:dyDescent="0.3">
      <c r="G4065" s="4"/>
      <c r="H4065" s="4"/>
    </row>
    <row r="4066" spans="7:8" x14ac:dyDescent="0.3">
      <c r="G4066" s="4"/>
      <c r="H4066" s="4"/>
    </row>
    <row r="4067" spans="7:8" x14ac:dyDescent="0.3">
      <c r="G4067" s="4"/>
      <c r="H4067" s="4"/>
    </row>
    <row r="4068" spans="7:8" x14ac:dyDescent="0.3">
      <c r="G4068" s="4"/>
      <c r="H4068" s="4"/>
    </row>
    <row r="4069" spans="7:8" x14ac:dyDescent="0.3">
      <c r="G4069" s="4"/>
      <c r="H4069" s="4"/>
    </row>
    <row r="4070" spans="7:8" x14ac:dyDescent="0.3">
      <c r="G4070" s="4"/>
      <c r="H4070" s="4"/>
    </row>
    <row r="4071" spans="7:8" x14ac:dyDescent="0.3">
      <c r="G4071" s="4"/>
      <c r="H4071" s="4"/>
    </row>
    <row r="4072" spans="7:8" x14ac:dyDescent="0.3">
      <c r="G4072" s="4"/>
      <c r="H4072" s="4"/>
    </row>
    <row r="4073" spans="7:8" x14ac:dyDescent="0.3">
      <c r="G4073" s="4"/>
      <c r="H4073" s="4"/>
    </row>
    <row r="4074" spans="7:8" x14ac:dyDescent="0.3">
      <c r="G4074" s="4"/>
      <c r="H4074" s="4"/>
    </row>
    <row r="4075" spans="7:8" x14ac:dyDescent="0.3">
      <c r="G4075" s="4"/>
      <c r="H4075" s="4"/>
    </row>
    <row r="4076" spans="7:8" x14ac:dyDescent="0.3">
      <c r="G4076" s="4"/>
      <c r="H4076" s="4"/>
    </row>
    <row r="4077" spans="7:8" x14ac:dyDescent="0.3">
      <c r="G4077" s="4"/>
      <c r="H4077" s="4"/>
    </row>
    <row r="4078" spans="7:8" x14ac:dyDescent="0.3">
      <c r="G4078" s="4"/>
      <c r="H4078" s="4"/>
    </row>
    <row r="4079" spans="7:8" x14ac:dyDescent="0.3">
      <c r="G4079" s="4"/>
      <c r="H4079" s="4"/>
    </row>
    <row r="4080" spans="7:8" x14ac:dyDescent="0.3">
      <c r="G4080" s="4"/>
      <c r="H4080" s="4"/>
    </row>
    <row r="4081" spans="7:8" x14ac:dyDescent="0.3">
      <c r="G4081" s="4"/>
      <c r="H4081" s="4"/>
    </row>
    <row r="4082" spans="7:8" x14ac:dyDescent="0.3">
      <c r="G4082" s="4"/>
      <c r="H4082" s="4"/>
    </row>
    <row r="4083" spans="7:8" x14ac:dyDescent="0.3">
      <c r="G4083" s="4"/>
      <c r="H4083" s="4"/>
    </row>
    <row r="4084" spans="7:8" x14ac:dyDescent="0.3">
      <c r="G4084" s="4"/>
      <c r="H4084" s="4"/>
    </row>
    <row r="4085" spans="7:8" x14ac:dyDescent="0.3">
      <c r="G4085" s="4"/>
      <c r="H4085" s="4"/>
    </row>
    <row r="4086" spans="7:8" x14ac:dyDescent="0.3">
      <c r="G4086" s="4"/>
      <c r="H4086" s="4"/>
    </row>
    <row r="4087" spans="7:8" x14ac:dyDescent="0.3">
      <c r="G4087" s="4"/>
      <c r="H4087" s="4"/>
    </row>
    <row r="4088" spans="7:8" x14ac:dyDescent="0.3">
      <c r="G4088" s="4"/>
      <c r="H4088" s="4"/>
    </row>
    <row r="4089" spans="7:8" x14ac:dyDescent="0.3">
      <c r="G4089" s="4"/>
      <c r="H4089" s="4"/>
    </row>
    <row r="4090" spans="7:8" x14ac:dyDescent="0.3">
      <c r="G4090" s="4"/>
      <c r="H4090" s="4"/>
    </row>
    <row r="4091" spans="7:8" x14ac:dyDescent="0.3">
      <c r="G4091" s="4"/>
      <c r="H4091" s="4"/>
    </row>
    <row r="4092" spans="7:8" x14ac:dyDescent="0.3">
      <c r="G4092" s="4"/>
      <c r="H4092" s="4"/>
    </row>
    <row r="4093" spans="7:8" x14ac:dyDescent="0.3">
      <c r="G4093" s="4"/>
      <c r="H4093" s="4"/>
    </row>
    <row r="4094" spans="7:8" x14ac:dyDescent="0.3">
      <c r="G4094" s="4"/>
      <c r="H4094" s="4"/>
    </row>
    <row r="4095" spans="7:8" x14ac:dyDescent="0.3">
      <c r="G4095" s="4"/>
      <c r="H4095" s="4"/>
    </row>
    <row r="4096" spans="7:8" x14ac:dyDescent="0.3">
      <c r="G4096" s="4"/>
      <c r="H4096" s="4"/>
    </row>
    <row r="4097" spans="7:8" x14ac:dyDescent="0.3">
      <c r="G4097" s="4"/>
      <c r="H4097" s="4"/>
    </row>
    <row r="4098" spans="7:8" x14ac:dyDescent="0.3">
      <c r="G4098" s="4"/>
      <c r="H4098" s="4"/>
    </row>
    <row r="4099" spans="7:8" x14ac:dyDescent="0.3">
      <c r="G4099" s="4"/>
      <c r="H4099" s="4"/>
    </row>
    <row r="4100" spans="7:8" x14ac:dyDescent="0.3">
      <c r="G4100" s="4"/>
      <c r="H4100" s="4"/>
    </row>
    <row r="4101" spans="7:8" x14ac:dyDescent="0.3">
      <c r="G4101" s="4"/>
      <c r="H4101" s="4"/>
    </row>
    <row r="4102" spans="7:8" x14ac:dyDescent="0.3">
      <c r="G4102" s="4"/>
      <c r="H4102" s="4"/>
    </row>
    <row r="4103" spans="7:8" x14ac:dyDescent="0.3">
      <c r="G4103" s="4"/>
      <c r="H4103" s="4"/>
    </row>
    <row r="4104" spans="7:8" x14ac:dyDescent="0.3">
      <c r="G4104" s="4"/>
      <c r="H4104" s="4"/>
    </row>
    <row r="4105" spans="7:8" x14ac:dyDescent="0.3">
      <c r="G4105" s="4"/>
      <c r="H4105" s="4"/>
    </row>
    <row r="4106" spans="7:8" x14ac:dyDescent="0.3">
      <c r="G4106" s="4"/>
      <c r="H4106" s="4"/>
    </row>
    <row r="4107" spans="7:8" x14ac:dyDescent="0.3">
      <c r="G4107" s="4"/>
      <c r="H4107" s="4"/>
    </row>
    <row r="4108" spans="7:8" x14ac:dyDescent="0.3">
      <c r="G4108" s="4"/>
      <c r="H4108" s="4"/>
    </row>
    <row r="4109" spans="7:8" x14ac:dyDescent="0.3">
      <c r="G4109" s="4"/>
      <c r="H4109" s="4"/>
    </row>
    <row r="4110" spans="7:8" x14ac:dyDescent="0.3">
      <c r="G4110" s="4"/>
      <c r="H4110" s="4"/>
    </row>
    <row r="4111" spans="7:8" x14ac:dyDescent="0.3">
      <c r="G4111" s="4"/>
      <c r="H4111" s="4"/>
    </row>
    <row r="4112" spans="7:8" x14ac:dyDescent="0.3">
      <c r="G4112" s="4"/>
      <c r="H4112" s="4"/>
    </row>
    <row r="4113" spans="7:8" x14ac:dyDescent="0.3">
      <c r="G4113" s="4"/>
      <c r="H4113" s="4"/>
    </row>
    <row r="4114" spans="7:8" x14ac:dyDescent="0.3">
      <c r="G4114" s="4"/>
      <c r="H4114" s="4"/>
    </row>
    <row r="4115" spans="7:8" x14ac:dyDescent="0.3">
      <c r="G4115" s="4"/>
      <c r="H4115" s="4"/>
    </row>
    <row r="4116" spans="7:8" x14ac:dyDescent="0.3">
      <c r="G4116" s="4"/>
      <c r="H4116" s="4"/>
    </row>
    <row r="4117" spans="7:8" x14ac:dyDescent="0.3">
      <c r="G4117" s="4"/>
      <c r="H4117" s="4"/>
    </row>
    <row r="4118" spans="7:8" x14ac:dyDescent="0.3">
      <c r="G4118" s="4"/>
      <c r="H4118" s="4"/>
    </row>
    <row r="4119" spans="7:8" x14ac:dyDescent="0.3">
      <c r="G4119" s="4"/>
      <c r="H4119" s="4"/>
    </row>
    <row r="4120" spans="7:8" x14ac:dyDescent="0.3">
      <c r="G4120" s="4"/>
      <c r="H4120" s="4"/>
    </row>
    <row r="4121" spans="7:8" x14ac:dyDescent="0.3">
      <c r="G4121" s="4"/>
      <c r="H4121" s="4"/>
    </row>
    <row r="4122" spans="7:8" x14ac:dyDescent="0.3">
      <c r="G4122" s="4"/>
      <c r="H4122" s="4"/>
    </row>
    <row r="4123" spans="7:8" x14ac:dyDescent="0.3">
      <c r="G4123" s="4"/>
      <c r="H4123" s="4"/>
    </row>
    <row r="4124" spans="7:8" x14ac:dyDescent="0.3">
      <c r="G4124" s="4"/>
      <c r="H4124" s="4"/>
    </row>
    <row r="4125" spans="7:8" x14ac:dyDescent="0.3">
      <c r="G4125" s="4"/>
      <c r="H4125" s="4"/>
    </row>
    <row r="4126" spans="7:8" x14ac:dyDescent="0.3">
      <c r="G4126" s="4"/>
      <c r="H4126" s="4"/>
    </row>
    <row r="4127" spans="7:8" x14ac:dyDescent="0.3">
      <c r="G4127" s="4"/>
      <c r="H4127" s="4"/>
    </row>
    <row r="4128" spans="7:8" x14ac:dyDescent="0.3">
      <c r="G4128" s="4"/>
      <c r="H4128" s="4"/>
    </row>
    <row r="4129" spans="7:8" x14ac:dyDescent="0.3">
      <c r="G4129" s="4"/>
      <c r="H4129" s="4"/>
    </row>
    <row r="4130" spans="7:8" x14ac:dyDescent="0.3">
      <c r="G4130" s="4"/>
      <c r="H4130" s="4"/>
    </row>
    <row r="4131" spans="7:8" x14ac:dyDescent="0.3">
      <c r="G4131" s="4"/>
      <c r="H4131" s="4"/>
    </row>
    <row r="4132" spans="7:8" x14ac:dyDescent="0.3">
      <c r="G4132" s="4"/>
      <c r="H4132" s="4"/>
    </row>
    <row r="4133" spans="7:8" x14ac:dyDescent="0.3">
      <c r="G4133" s="4"/>
      <c r="H4133" s="4"/>
    </row>
    <row r="4134" spans="7:8" x14ac:dyDescent="0.3">
      <c r="G4134" s="4"/>
      <c r="H4134" s="4"/>
    </row>
    <row r="4135" spans="7:8" x14ac:dyDescent="0.3">
      <c r="G4135" s="4"/>
      <c r="H4135" s="4"/>
    </row>
    <row r="4136" spans="7:8" x14ac:dyDescent="0.3">
      <c r="G4136" s="4"/>
      <c r="H4136" s="4"/>
    </row>
    <row r="4137" spans="7:8" x14ac:dyDescent="0.3">
      <c r="G4137" s="4"/>
      <c r="H4137" s="4"/>
    </row>
    <row r="4138" spans="7:8" x14ac:dyDescent="0.3">
      <c r="G4138" s="4"/>
      <c r="H4138" s="4"/>
    </row>
    <row r="4139" spans="7:8" x14ac:dyDescent="0.3">
      <c r="G4139" s="4"/>
      <c r="H4139" s="4"/>
    </row>
    <row r="4140" spans="7:8" x14ac:dyDescent="0.3">
      <c r="G4140" s="4"/>
      <c r="H4140" s="4"/>
    </row>
    <row r="4141" spans="7:8" x14ac:dyDescent="0.3">
      <c r="G4141" s="4"/>
      <c r="H4141" s="4"/>
    </row>
    <row r="4142" spans="7:8" x14ac:dyDescent="0.3">
      <c r="G4142" s="4"/>
      <c r="H4142" s="4"/>
    </row>
    <row r="4143" spans="7:8" x14ac:dyDescent="0.3">
      <c r="G4143" s="4"/>
      <c r="H4143" s="4"/>
    </row>
    <row r="4144" spans="7:8" x14ac:dyDescent="0.3">
      <c r="G4144" s="4"/>
      <c r="H4144" s="4"/>
    </row>
    <row r="4145" spans="7:8" x14ac:dyDescent="0.3">
      <c r="G4145" s="4"/>
      <c r="H4145" s="4"/>
    </row>
    <row r="4146" spans="7:8" x14ac:dyDescent="0.3">
      <c r="G4146" s="4"/>
      <c r="H4146" s="4"/>
    </row>
    <row r="4147" spans="7:8" x14ac:dyDescent="0.3">
      <c r="G4147" s="4"/>
      <c r="H4147" s="4"/>
    </row>
    <row r="4148" spans="7:8" x14ac:dyDescent="0.3">
      <c r="G4148" s="4"/>
      <c r="H4148" s="4"/>
    </row>
    <row r="4149" spans="7:8" x14ac:dyDescent="0.3">
      <c r="G4149" s="4"/>
      <c r="H4149" s="4"/>
    </row>
    <row r="4150" spans="7:8" x14ac:dyDescent="0.3">
      <c r="G4150" s="4"/>
      <c r="H4150" s="4"/>
    </row>
    <row r="4151" spans="7:8" x14ac:dyDescent="0.3">
      <c r="G4151" s="4"/>
      <c r="H4151" s="4"/>
    </row>
    <row r="4152" spans="7:8" x14ac:dyDescent="0.3">
      <c r="G4152" s="4"/>
      <c r="H4152" s="4"/>
    </row>
    <row r="4153" spans="7:8" x14ac:dyDescent="0.3">
      <c r="G4153" s="4"/>
      <c r="H4153" s="4"/>
    </row>
    <row r="4154" spans="7:8" x14ac:dyDescent="0.3">
      <c r="G4154" s="4"/>
      <c r="H4154" s="4"/>
    </row>
    <row r="4155" spans="7:8" x14ac:dyDescent="0.3">
      <c r="G4155" s="4"/>
      <c r="H4155" s="4"/>
    </row>
    <row r="4156" spans="7:8" x14ac:dyDescent="0.3">
      <c r="G4156" s="4"/>
      <c r="H4156" s="4"/>
    </row>
    <row r="4157" spans="7:8" x14ac:dyDescent="0.3">
      <c r="G4157" s="4"/>
      <c r="H4157" s="4"/>
    </row>
    <row r="4158" spans="7:8" x14ac:dyDescent="0.3">
      <c r="G4158" s="4"/>
      <c r="H4158" s="4"/>
    </row>
    <row r="4159" spans="7:8" x14ac:dyDescent="0.3">
      <c r="G4159" s="4"/>
      <c r="H4159" s="4"/>
    </row>
    <row r="4160" spans="7:8" x14ac:dyDescent="0.3">
      <c r="G4160" s="4"/>
      <c r="H4160" s="4"/>
    </row>
    <row r="4161" spans="7:8" x14ac:dyDescent="0.3">
      <c r="G4161" s="4"/>
      <c r="H4161" s="4"/>
    </row>
    <row r="4162" spans="7:8" x14ac:dyDescent="0.3">
      <c r="G4162" s="4"/>
      <c r="H4162" s="4"/>
    </row>
    <row r="4163" spans="7:8" x14ac:dyDescent="0.3">
      <c r="G4163" s="4"/>
      <c r="H4163" s="4"/>
    </row>
    <row r="4164" spans="7:8" x14ac:dyDescent="0.3">
      <c r="G4164" s="4"/>
      <c r="H4164" s="4"/>
    </row>
    <row r="4165" spans="7:8" x14ac:dyDescent="0.3">
      <c r="G4165" s="4"/>
      <c r="H4165" s="4"/>
    </row>
    <row r="4166" spans="7:8" x14ac:dyDescent="0.3">
      <c r="G4166" s="4"/>
      <c r="H4166" s="4"/>
    </row>
    <row r="4167" spans="7:8" x14ac:dyDescent="0.3">
      <c r="G4167" s="4"/>
      <c r="H4167" s="4"/>
    </row>
    <row r="4168" spans="7:8" x14ac:dyDescent="0.3">
      <c r="G4168" s="4"/>
      <c r="H4168" s="4"/>
    </row>
    <row r="4169" spans="7:8" x14ac:dyDescent="0.3">
      <c r="G4169" s="4"/>
      <c r="H4169" s="4"/>
    </row>
    <row r="4170" spans="7:8" x14ac:dyDescent="0.3">
      <c r="G4170" s="4"/>
      <c r="H4170" s="4"/>
    </row>
    <row r="4171" spans="7:8" x14ac:dyDescent="0.3">
      <c r="G4171" s="4"/>
      <c r="H4171" s="4"/>
    </row>
    <row r="4172" spans="7:8" x14ac:dyDescent="0.3">
      <c r="G4172" s="4"/>
      <c r="H4172" s="4"/>
    </row>
    <row r="4173" spans="7:8" x14ac:dyDescent="0.3">
      <c r="G4173" s="4"/>
      <c r="H4173" s="4"/>
    </row>
    <row r="4174" spans="7:8" x14ac:dyDescent="0.3">
      <c r="G4174" s="4"/>
      <c r="H4174" s="4"/>
    </row>
    <row r="4175" spans="7:8" x14ac:dyDescent="0.3">
      <c r="G4175" s="4"/>
      <c r="H4175" s="4"/>
    </row>
    <row r="4176" spans="7:8" x14ac:dyDescent="0.3">
      <c r="G4176" s="4"/>
      <c r="H4176" s="4"/>
    </row>
    <row r="4177" spans="7:8" x14ac:dyDescent="0.3">
      <c r="G4177" s="4"/>
      <c r="H4177" s="4"/>
    </row>
    <row r="4178" spans="7:8" x14ac:dyDescent="0.3">
      <c r="G4178" s="4"/>
      <c r="H4178" s="4"/>
    </row>
    <row r="4179" spans="7:8" x14ac:dyDescent="0.3">
      <c r="G4179" s="4"/>
      <c r="H4179" s="4"/>
    </row>
    <row r="4180" spans="7:8" x14ac:dyDescent="0.3">
      <c r="G4180" s="4"/>
      <c r="H4180" s="4"/>
    </row>
    <row r="4181" spans="7:8" x14ac:dyDescent="0.3">
      <c r="G4181" s="4"/>
      <c r="H4181" s="4"/>
    </row>
    <row r="4182" spans="7:8" x14ac:dyDescent="0.3">
      <c r="G4182" s="4"/>
      <c r="H4182" s="4"/>
    </row>
    <row r="4183" spans="7:8" x14ac:dyDescent="0.3">
      <c r="G4183" s="4"/>
      <c r="H4183" s="4"/>
    </row>
    <row r="4184" spans="7:8" x14ac:dyDescent="0.3">
      <c r="G4184" s="4"/>
      <c r="H4184" s="4"/>
    </row>
    <row r="4185" spans="7:8" x14ac:dyDescent="0.3">
      <c r="G4185" s="4"/>
      <c r="H4185" s="4"/>
    </row>
    <row r="4186" spans="7:8" x14ac:dyDescent="0.3">
      <c r="G4186" s="4"/>
      <c r="H4186" s="4"/>
    </row>
    <row r="4187" spans="7:8" x14ac:dyDescent="0.3">
      <c r="G4187" s="4"/>
      <c r="H4187" s="4"/>
    </row>
    <row r="4188" spans="7:8" x14ac:dyDescent="0.3">
      <c r="G4188" s="4"/>
      <c r="H4188" s="4"/>
    </row>
    <row r="4189" spans="7:8" x14ac:dyDescent="0.3">
      <c r="G4189" s="4"/>
      <c r="H4189" s="4"/>
    </row>
    <row r="4190" spans="7:8" x14ac:dyDescent="0.3">
      <c r="G4190" s="4"/>
      <c r="H4190" s="4"/>
    </row>
    <row r="4191" spans="7:8" x14ac:dyDescent="0.3">
      <c r="G4191" s="4"/>
      <c r="H4191" s="4"/>
    </row>
    <row r="4192" spans="7:8" x14ac:dyDescent="0.3">
      <c r="G4192" s="4"/>
      <c r="H4192" s="4"/>
    </row>
    <row r="4193" spans="7:8" x14ac:dyDescent="0.3">
      <c r="G4193" s="4"/>
      <c r="H4193" s="4"/>
    </row>
    <row r="4194" spans="7:8" x14ac:dyDescent="0.3">
      <c r="G4194" s="4"/>
      <c r="H4194" s="4"/>
    </row>
    <row r="4195" spans="7:8" x14ac:dyDescent="0.3">
      <c r="G4195" s="4"/>
      <c r="H4195" s="4"/>
    </row>
    <row r="4196" spans="7:8" x14ac:dyDescent="0.3">
      <c r="G4196" s="4"/>
      <c r="H4196" s="4"/>
    </row>
    <row r="4197" spans="7:8" x14ac:dyDescent="0.3">
      <c r="G4197" s="4"/>
      <c r="H4197" s="4"/>
    </row>
    <row r="4198" spans="7:8" x14ac:dyDescent="0.3">
      <c r="G4198" s="4"/>
      <c r="H4198" s="4"/>
    </row>
    <row r="4199" spans="7:8" x14ac:dyDescent="0.3">
      <c r="G4199" s="4"/>
      <c r="H4199" s="4"/>
    </row>
    <row r="4200" spans="7:8" x14ac:dyDescent="0.3">
      <c r="G4200" s="4"/>
      <c r="H4200" s="4"/>
    </row>
    <row r="4201" spans="7:8" x14ac:dyDescent="0.3">
      <c r="G4201" s="4"/>
      <c r="H4201" s="4"/>
    </row>
    <row r="4202" spans="7:8" x14ac:dyDescent="0.3">
      <c r="G4202" s="4"/>
      <c r="H4202" s="4"/>
    </row>
    <row r="4203" spans="7:8" x14ac:dyDescent="0.3">
      <c r="G4203" s="4"/>
      <c r="H4203" s="4"/>
    </row>
    <row r="4204" spans="7:8" x14ac:dyDescent="0.3">
      <c r="G4204" s="4"/>
      <c r="H4204" s="4"/>
    </row>
    <row r="4205" spans="7:8" x14ac:dyDescent="0.3">
      <c r="G4205" s="4"/>
      <c r="H4205" s="4"/>
    </row>
    <row r="4206" spans="7:8" x14ac:dyDescent="0.3">
      <c r="G4206" s="4"/>
      <c r="H4206" s="4"/>
    </row>
    <row r="4207" spans="7:8" x14ac:dyDescent="0.3">
      <c r="G4207" s="4"/>
      <c r="H4207" s="4"/>
    </row>
    <row r="4208" spans="7:8" x14ac:dyDescent="0.3">
      <c r="G4208" s="4"/>
      <c r="H4208" s="4"/>
    </row>
    <row r="4209" spans="7:8" x14ac:dyDescent="0.3">
      <c r="G4209" s="4"/>
      <c r="H4209" s="4"/>
    </row>
    <row r="4210" spans="7:8" x14ac:dyDescent="0.3">
      <c r="G4210" s="4"/>
      <c r="H4210" s="4"/>
    </row>
    <row r="4211" spans="7:8" x14ac:dyDescent="0.3">
      <c r="G4211" s="4"/>
      <c r="H4211" s="4"/>
    </row>
    <row r="4212" spans="7:8" x14ac:dyDescent="0.3">
      <c r="G4212" s="4"/>
      <c r="H4212" s="4"/>
    </row>
    <row r="4213" spans="7:8" x14ac:dyDescent="0.3">
      <c r="G4213" s="4"/>
      <c r="H4213" s="4"/>
    </row>
    <row r="4214" spans="7:8" x14ac:dyDescent="0.3">
      <c r="G4214" s="4"/>
      <c r="H4214" s="4"/>
    </row>
    <row r="4215" spans="7:8" x14ac:dyDescent="0.3">
      <c r="G4215" s="4"/>
      <c r="H4215" s="4"/>
    </row>
    <row r="4216" spans="7:8" x14ac:dyDescent="0.3">
      <c r="G4216" s="4"/>
      <c r="H4216" s="4"/>
    </row>
    <row r="4217" spans="7:8" x14ac:dyDescent="0.3">
      <c r="G4217" s="4"/>
      <c r="H4217" s="4"/>
    </row>
    <row r="4218" spans="7:8" x14ac:dyDescent="0.3">
      <c r="G4218" s="4"/>
      <c r="H4218" s="4"/>
    </row>
    <row r="4219" spans="7:8" x14ac:dyDescent="0.3">
      <c r="G4219" s="4"/>
      <c r="H4219" s="4"/>
    </row>
    <row r="4220" spans="7:8" x14ac:dyDescent="0.3">
      <c r="G4220" s="4"/>
      <c r="H4220" s="4"/>
    </row>
    <row r="4221" spans="7:8" x14ac:dyDescent="0.3">
      <c r="G4221" s="4"/>
      <c r="H4221" s="4"/>
    </row>
    <row r="4222" spans="7:8" x14ac:dyDescent="0.3">
      <c r="G4222" s="4"/>
      <c r="H4222" s="4"/>
    </row>
    <row r="4223" spans="7:8" x14ac:dyDescent="0.3">
      <c r="G4223" s="4"/>
      <c r="H4223" s="4"/>
    </row>
    <row r="4224" spans="7:8" x14ac:dyDescent="0.3">
      <c r="G4224" s="4"/>
      <c r="H4224" s="4"/>
    </row>
    <row r="4225" spans="7:8" x14ac:dyDescent="0.3">
      <c r="G4225" s="4"/>
      <c r="H4225" s="4"/>
    </row>
    <row r="4226" spans="7:8" x14ac:dyDescent="0.3">
      <c r="G4226" s="4"/>
      <c r="H4226" s="4"/>
    </row>
    <row r="4227" spans="7:8" x14ac:dyDescent="0.3">
      <c r="G4227" s="4"/>
      <c r="H4227" s="4"/>
    </row>
    <row r="4228" spans="7:8" x14ac:dyDescent="0.3">
      <c r="G4228" s="4"/>
      <c r="H4228" s="4"/>
    </row>
    <row r="4229" spans="7:8" x14ac:dyDescent="0.3">
      <c r="G4229" s="4"/>
      <c r="H4229" s="4"/>
    </row>
    <row r="4230" spans="7:8" x14ac:dyDescent="0.3">
      <c r="G4230" s="4"/>
      <c r="H4230" s="4"/>
    </row>
    <row r="4231" spans="7:8" x14ac:dyDescent="0.3">
      <c r="G4231" s="4"/>
      <c r="H4231" s="4"/>
    </row>
    <row r="4232" spans="7:8" x14ac:dyDescent="0.3">
      <c r="G4232" s="4"/>
      <c r="H4232" s="4"/>
    </row>
    <row r="4233" spans="7:8" x14ac:dyDescent="0.3">
      <c r="G4233" s="4"/>
      <c r="H4233" s="4"/>
    </row>
    <row r="4234" spans="7:8" x14ac:dyDescent="0.3">
      <c r="G4234" s="4"/>
      <c r="H4234" s="4"/>
    </row>
    <row r="4235" spans="7:8" x14ac:dyDescent="0.3">
      <c r="G4235" s="4"/>
      <c r="H4235" s="4"/>
    </row>
    <row r="4236" spans="7:8" x14ac:dyDescent="0.3">
      <c r="G4236" s="4"/>
      <c r="H4236" s="4"/>
    </row>
    <row r="4237" spans="7:8" x14ac:dyDescent="0.3">
      <c r="G4237" s="4"/>
      <c r="H4237" s="4"/>
    </row>
    <row r="4238" spans="7:8" x14ac:dyDescent="0.3">
      <c r="G4238" s="4"/>
      <c r="H4238" s="4"/>
    </row>
    <row r="4239" spans="7:8" x14ac:dyDescent="0.3">
      <c r="G4239" s="4"/>
      <c r="H4239" s="4"/>
    </row>
    <row r="4240" spans="7:8" x14ac:dyDescent="0.3">
      <c r="G4240" s="4"/>
      <c r="H4240" s="4"/>
    </row>
    <row r="4241" spans="7:8" x14ac:dyDescent="0.3">
      <c r="G4241" s="4"/>
      <c r="H4241" s="4"/>
    </row>
    <row r="4242" spans="7:8" x14ac:dyDescent="0.3">
      <c r="G4242" s="4"/>
      <c r="H4242" s="4"/>
    </row>
    <row r="4243" spans="7:8" x14ac:dyDescent="0.3">
      <c r="G4243" s="4"/>
      <c r="H4243" s="4"/>
    </row>
    <row r="4244" spans="7:8" x14ac:dyDescent="0.3">
      <c r="G4244" s="4"/>
      <c r="H4244" s="4"/>
    </row>
    <row r="4245" spans="7:8" x14ac:dyDescent="0.3">
      <c r="G4245" s="4"/>
      <c r="H4245" s="4"/>
    </row>
    <row r="4246" spans="7:8" x14ac:dyDescent="0.3">
      <c r="G4246" s="4"/>
      <c r="H4246" s="4"/>
    </row>
    <row r="4247" spans="7:8" x14ac:dyDescent="0.3">
      <c r="G4247" s="4"/>
      <c r="H4247" s="4"/>
    </row>
    <row r="4248" spans="7:8" x14ac:dyDescent="0.3">
      <c r="G4248" s="4"/>
      <c r="H4248" s="4"/>
    </row>
    <row r="4249" spans="7:8" x14ac:dyDescent="0.3">
      <c r="G4249" s="4"/>
      <c r="H4249" s="4"/>
    </row>
    <row r="4250" spans="7:8" x14ac:dyDescent="0.3">
      <c r="G4250" s="4"/>
      <c r="H4250" s="4"/>
    </row>
    <row r="4251" spans="7:8" x14ac:dyDescent="0.3">
      <c r="G4251" s="4"/>
      <c r="H4251" s="4"/>
    </row>
    <row r="4252" spans="7:8" x14ac:dyDescent="0.3">
      <c r="G4252" s="4"/>
      <c r="H4252" s="4"/>
    </row>
    <row r="4253" spans="7:8" x14ac:dyDescent="0.3">
      <c r="G4253" s="4"/>
      <c r="H4253" s="4"/>
    </row>
    <row r="4254" spans="7:8" x14ac:dyDescent="0.3">
      <c r="G4254" s="4"/>
      <c r="H4254" s="4"/>
    </row>
    <row r="4255" spans="7:8" x14ac:dyDescent="0.3">
      <c r="G4255" s="4"/>
      <c r="H4255" s="4"/>
    </row>
    <row r="4256" spans="7:8" x14ac:dyDescent="0.3">
      <c r="G4256" s="4"/>
      <c r="H4256" s="4"/>
    </row>
    <row r="4257" spans="7:8" x14ac:dyDescent="0.3">
      <c r="G4257" s="4"/>
      <c r="H4257" s="4"/>
    </row>
    <row r="4258" spans="7:8" x14ac:dyDescent="0.3">
      <c r="G4258" s="4"/>
      <c r="H4258" s="4"/>
    </row>
    <row r="4259" spans="7:8" x14ac:dyDescent="0.3">
      <c r="G4259" s="4"/>
      <c r="H4259" s="4"/>
    </row>
    <row r="4260" spans="7:8" x14ac:dyDescent="0.3">
      <c r="G4260" s="4"/>
      <c r="H4260" s="4"/>
    </row>
    <row r="4261" spans="7:8" x14ac:dyDescent="0.3">
      <c r="G4261" s="4"/>
      <c r="H4261" s="4"/>
    </row>
    <row r="4262" spans="7:8" x14ac:dyDescent="0.3">
      <c r="G4262" s="4"/>
      <c r="H4262" s="4"/>
    </row>
    <row r="4263" spans="7:8" x14ac:dyDescent="0.3">
      <c r="G4263" s="4"/>
      <c r="H4263" s="4"/>
    </row>
    <row r="4264" spans="7:8" x14ac:dyDescent="0.3">
      <c r="G4264" s="4"/>
      <c r="H4264" s="4"/>
    </row>
    <row r="4265" spans="7:8" x14ac:dyDescent="0.3">
      <c r="G4265" s="4"/>
      <c r="H4265" s="4"/>
    </row>
    <row r="4266" spans="7:8" x14ac:dyDescent="0.3">
      <c r="G4266" s="4"/>
      <c r="H4266" s="4"/>
    </row>
    <row r="4267" spans="7:8" x14ac:dyDescent="0.3">
      <c r="G4267" s="4"/>
      <c r="H4267" s="4"/>
    </row>
    <row r="4268" spans="7:8" x14ac:dyDescent="0.3">
      <c r="G4268" s="4"/>
      <c r="H4268" s="4"/>
    </row>
    <row r="4269" spans="7:8" x14ac:dyDescent="0.3">
      <c r="G4269" s="4"/>
      <c r="H4269" s="4"/>
    </row>
    <row r="4270" spans="7:8" x14ac:dyDescent="0.3">
      <c r="G4270" s="4"/>
      <c r="H4270" s="4"/>
    </row>
    <row r="4271" spans="7:8" x14ac:dyDescent="0.3">
      <c r="G4271" s="4"/>
      <c r="H4271" s="4"/>
    </row>
    <row r="4272" spans="7:8" x14ac:dyDescent="0.3">
      <c r="G4272" s="4"/>
      <c r="H4272" s="4"/>
    </row>
    <row r="4273" spans="7:8" x14ac:dyDescent="0.3">
      <c r="G4273" s="4"/>
      <c r="H4273" s="4"/>
    </row>
    <row r="4274" spans="7:8" x14ac:dyDescent="0.3">
      <c r="G4274" s="4"/>
      <c r="H4274" s="4"/>
    </row>
    <row r="4275" spans="7:8" x14ac:dyDescent="0.3">
      <c r="G4275" s="4"/>
      <c r="H4275" s="4"/>
    </row>
    <row r="4276" spans="7:8" x14ac:dyDescent="0.3">
      <c r="G4276" s="4"/>
      <c r="H4276" s="4"/>
    </row>
    <row r="4277" spans="7:8" x14ac:dyDescent="0.3">
      <c r="G4277" s="4"/>
      <c r="H4277" s="4"/>
    </row>
    <row r="4278" spans="7:8" x14ac:dyDescent="0.3">
      <c r="G4278" s="4"/>
      <c r="H4278" s="4"/>
    </row>
    <row r="4279" spans="7:8" x14ac:dyDescent="0.3">
      <c r="G4279" s="4"/>
      <c r="H4279" s="4"/>
    </row>
    <row r="4280" spans="7:8" x14ac:dyDescent="0.3">
      <c r="G4280" s="4"/>
      <c r="H4280" s="4"/>
    </row>
    <row r="4281" spans="7:8" x14ac:dyDescent="0.3">
      <c r="G4281" s="4"/>
      <c r="H4281" s="4"/>
    </row>
    <row r="4282" spans="7:8" x14ac:dyDescent="0.3">
      <c r="G4282" s="4"/>
      <c r="H4282" s="4"/>
    </row>
    <row r="4283" spans="7:8" x14ac:dyDescent="0.3">
      <c r="G4283" s="4"/>
      <c r="H4283" s="4"/>
    </row>
    <row r="4284" spans="7:8" x14ac:dyDescent="0.3">
      <c r="G4284" s="4"/>
      <c r="H4284" s="4"/>
    </row>
    <row r="4285" spans="7:8" x14ac:dyDescent="0.3">
      <c r="G4285" s="4"/>
      <c r="H4285" s="4"/>
    </row>
    <row r="4286" spans="7:8" x14ac:dyDescent="0.3">
      <c r="G4286" s="4"/>
      <c r="H4286" s="4"/>
    </row>
    <row r="4287" spans="7:8" x14ac:dyDescent="0.3">
      <c r="G4287" s="4"/>
      <c r="H4287" s="4"/>
    </row>
    <row r="4288" spans="7:8" x14ac:dyDescent="0.3">
      <c r="G4288" s="4"/>
      <c r="H4288" s="4"/>
    </row>
    <row r="4289" spans="7:8" x14ac:dyDescent="0.3">
      <c r="G4289" s="4"/>
      <c r="H4289" s="4"/>
    </row>
    <row r="4290" spans="7:8" x14ac:dyDescent="0.3">
      <c r="G4290" s="4"/>
      <c r="H4290" s="4"/>
    </row>
    <row r="4291" spans="7:8" x14ac:dyDescent="0.3">
      <c r="G4291" s="4"/>
      <c r="H4291" s="4"/>
    </row>
    <row r="4292" spans="7:8" x14ac:dyDescent="0.3">
      <c r="G4292" s="4"/>
      <c r="H4292" s="4"/>
    </row>
    <row r="4293" spans="7:8" x14ac:dyDescent="0.3">
      <c r="G4293" s="4"/>
      <c r="H4293" s="4"/>
    </row>
    <row r="4294" spans="7:8" x14ac:dyDescent="0.3">
      <c r="G4294" s="4"/>
      <c r="H4294" s="4"/>
    </row>
    <row r="4295" spans="7:8" x14ac:dyDescent="0.3">
      <c r="G4295" s="4"/>
      <c r="H4295" s="4"/>
    </row>
    <row r="4296" spans="7:8" x14ac:dyDescent="0.3">
      <c r="G4296" s="4"/>
      <c r="H4296" s="4"/>
    </row>
    <row r="4297" spans="7:8" x14ac:dyDescent="0.3">
      <c r="G4297" s="4"/>
      <c r="H4297" s="4"/>
    </row>
    <row r="4298" spans="7:8" x14ac:dyDescent="0.3">
      <c r="G4298" s="4"/>
      <c r="H4298" s="4"/>
    </row>
    <row r="4299" spans="7:8" x14ac:dyDescent="0.3">
      <c r="G4299" s="4"/>
      <c r="H4299" s="4"/>
    </row>
    <row r="4300" spans="7:8" x14ac:dyDescent="0.3">
      <c r="G4300" s="4"/>
      <c r="H4300" s="4"/>
    </row>
    <row r="4301" spans="7:8" x14ac:dyDescent="0.3">
      <c r="G4301" s="4"/>
      <c r="H4301" s="4"/>
    </row>
    <row r="4302" spans="7:8" x14ac:dyDescent="0.3">
      <c r="G4302" s="4"/>
      <c r="H4302" s="4"/>
    </row>
    <row r="4303" spans="7:8" x14ac:dyDescent="0.3">
      <c r="G4303" s="4"/>
      <c r="H4303" s="4"/>
    </row>
    <row r="4304" spans="7:8" x14ac:dyDescent="0.3">
      <c r="G4304" s="4"/>
      <c r="H4304" s="4"/>
    </row>
    <row r="4305" spans="7:8" x14ac:dyDescent="0.3">
      <c r="G4305" s="4"/>
      <c r="H4305" s="4"/>
    </row>
    <row r="4306" spans="7:8" x14ac:dyDescent="0.3">
      <c r="G4306" s="4"/>
      <c r="H4306" s="4"/>
    </row>
    <row r="4307" spans="7:8" x14ac:dyDescent="0.3">
      <c r="G4307" s="4"/>
      <c r="H4307" s="4"/>
    </row>
    <row r="4308" spans="7:8" x14ac:dyDescent="0.3">
      <c r="G4308" s="4"/>
      <c r="H4308" s="4"/>
    </row>
    <row r="4309" spans="7:8" x14ac:dyDescent="0.3">
      <c r="G4309" s="4"/>
      <c r="H4309" s="4"/>
    </row>
    <row r="4310" spans="7:8" x14ac:dyDescent="0.3">
      <c r="G4310" s="4"/>
      <c r="H4310" s="4"/>
    </row>
    <row r="4311" spans="7:8" x14ac:dyDescent="0.3">
      <c r="G4311" s="4"/>
      <c r="H4311" s="4"/>
    </row>
    <row r="4312" spans="7:8" x14ac:dyDescent="0.3">
      <c r="G4312" s="4"/>
      <c r="H4312" s="4"/>
    </row>
    <row r="4313" spans="7:8" x14ac:dyDescent="0.3">
      <c r="G4313" s="4"/>
      <c r="H4313" s="4"/>
    </row>
    <row r="4314" spans="7:8" x14ac:dyDescent="0.3">
      <c r="G4314" s="4"/>
      <c r="H4314" s="4"/>
    </row>
    <row r="4315" spans="7:8" x14ac:dyDescent="0.3">
      <c r="G4315" s="4"/>
      <c r="H4315" s="4"/>
    </row>
    <row r="4316" spans="7:8" x14ac:dyDescent="0.3">
      <c r="G4316" s="4"/>
      <c r="H4316" s="4"/>
    </row>
    <row r="4317" spans="7:8" x14ac:dyDescent="0.3">
      <c r="G4317" s="4"/>
      <c r="H4317" s="4"/>
    </row>
    <row r="4318" spans="7:8" x14ac:dyDescent="0.3">
      <c r="G4318" s="4"/>
      <c r="H4318" s="4"/>
    </row>
    <row r="4319" spans="7:8" x14ac:dyDescent="0.3">
      <c r="G4319" s="4"/>
      <c r="H4319" s="4"/>
    </row>
    <row r="4320" spans="7:8" x14ac:dyDescent="0.3">
      <c r="G4320" s="4"/>
      <c r="H4320" s="4"/>
    </row>
    <row r="4321" spans="7:8" x14ac:dyDescent="0.3">
      <c r="G4321" s="4"/>
      <c r="H4321" s="4"/>
    </row>
    <row r="4322" spans="7:8" x14ac:dyDescent="0.3">
      <c r="G4322" s="4"/>
      <c r="H4322" s="4"/>
    </row>
    <row r="4323" spans="7:8" x14ac:dyDescent="0.3">
      <c r="G4323" s="4"/>
      <c r="H4323" s="4"/>
    </row>
    <row r="4324" spans="7:8" x14ac:dyDescent="0.3">
      <c r="G4324" s="4"/>
      <c r="H4324" s="4"/>
    </row>
    <row r="4325" spans="7:8" x14ac:dyDescent="0.3">
      <c r="G4325" s="4"/>
      <c r="H4325" s="4"/>
    </row>
    <row r="4326" spans="7:8" x14ac:dyDescent="0.3">
      <c r="G4326" s="4"/>
      <c r="H4326" s="4"/>
    </row>
    <row r="4327" spans="7:8" x14ac:dyDescent="0.3">
      <c r="G4327" s="4"/>
      <c r="H4327" s="4"/>
    </row>
    <row r="4328" spans="7:8" x14ac:dyDescent="0.3">
      <c r="G4328" s="4"/>
      <c r="H4328" s="4"/>
    </row>
    <row r="4329" spans="7:8" x14ac:dyDescent="0.3">
      <c r="G4329" s="4"/>
      <c r="H4329" s="4"/>
    </row>
    <row r="4330" spans="7:8" x14ac:dyDescent="0.3">
      <c r="G4330" s="4"/>
      <c r="H4330" s="4"/>
    </row>
    <row r="4331" spans="7:8" x14ac:dyDescent="0.3">
      <c r="G4331" s="4"/>
      <c r="H4331" s="4"/>
    </row>
    <row r="4332" spans="7:8" x14ac:dyDescent="0.3">
      <c r="G4332" s="4"/>
      <c r="H4332" s="4"/>
    </row>
    <row r="4333" spans="7:8" x14ac:dyDescent="0.3">
      <c r="G4333" s="4"/>
      <c r="H4333" s="4"/>
    </row>
    <row r="4334" spans="7:8" x14ac:dyDescent="0.3">
      <c r="G4334" s="4"/>
      <c r="H4334" s="4"/>
    </row>
    <row r="4335" spans="7:8" x14ac:dyDescent="0.3">
      <c r="G4335" s="4"/>
      <c r="H4335" s="4"/>
    </row>
    <row r="4336" spans="7:8" x14ac:dyDescent="0.3">
      <c r="G4336" s="4"/>
      <c r="H4336" s="4"/>
    </row>
    <row r="4337" spans="7:8" x14ac:dyDescent="0.3">
      <c r="G4337" s="4"/>
      <c r="H4337" s="4"/>
    </row>
    <row r="4338" spans="7:8" x14ac:dyDescent="0.3">
      <c r="G4338" s="4"/>
      <c r="H4338" s="4"/>
    </row>
    <row r="4339" spans="7:8" x14ac:dyDescent="0.3">
      <c r="G4339" s="4"/>
      <c r="H4339" s="4"/>
    </row>
    <row r="4340" spans="7:8" x14ac:dyDescent="0.3">
      <c r="G4340" s="4"/>
      <c r="H4340" s="4"/>
    </row>
    <row r="4341" spans="7:8" x14ac:dyDescent="0.3">
      <c r="G4341" s="4"/>
      <c r="H4341" s="4"/>
    </row>
    <row r="4342" spans="7:8" x14ac:dyDescent="0.3">
      <c r="G4342" s="4"/>
      <c r="H4342" s="4"/>
    </row>
    <row r="4343" spans="7:8" x14ac:dyDescent="0.3">
      <c r="G4343" s="4"/>
      <c r="H4343" s="4"/>
    </row>
    <row r="4344" spans="7:8" x14ac:dyDescent="0.3">
      <c r="G4344" s="4"/>
      <c r="H4344" s="4"/>
    </row>
    <row r="4345" spans="7:8" x14ac:dyDescent="0.3">
      <c r="G4345" s="4"/>
      <c r="H4345" s="4"/>
    </row>
    <row r="4346" spans="7:8" x14ac:dyDescent="0.3">
      <c r="G4346" s="4"/>
      <c r="H4346" s="4"/>
    </row>
    <row r="4347" spans="7:8" x14ac:dyDescent="0.3">
      <c r="G4347" s="4"/>
      <c r="H4347" s="4"/>
    </row>
    <row r="4348" spans="7:8" x14ac:dyDescent="0.3">
      <c r="G4348" s="4"/>
      <c r="H4348" s="4"/>
    </row>
    <row r="4349" spans="7:8" x14ac:dyDescent="0.3">
      <c r="G4349" s="4"/>
      <c r="H4349" s="4"/>
    </row>
    <row r="4350" spans="7:8" x14ac:dyDescent="0.3">
      <c r="G4350" s="4"/>
      <c r="H4350" s="4"/>
    </row>
    <row r="4351" spans="7:8" x14ac:dyDescent="0.3">
      <c r="G4351" s="4"/>
      <c r="H4351" s="4"/>
    </row>
    <row r="4352" spans="7:8" x14ac:dyDescent="0.3">
      <c r="G4352" s="4"/>
      <c r="H4352" s="4"/>
    </row>
    <row r="4353" spans="7:8" x14ac:dyDescent="0.3">
      <c r="G4353" s="4"/>
      <c r="H4353" s="4"/>
    </row>
    <row r="4354" spans="7:8" x14ac:dyDescent="0.3">
      <c r="G4354" s="4"/>
      <c r="H4354" s="4"/>
    </row>
    <row r="4355" spans="7:8" x14ac:dyDescent="0.3">
      <c r="G4355" s="4"/>
      <c r="H4355" s="4"/>
    </row>
    <row r="4356" spans="7:8" x14ac:dyDescent="0.3">
      <c r="G4356" s="4"/>
      <c r="H4356" s="4"/>
    </row>
    <row r="4357" spans="7:8" x14ac:dyDescent="0.3">
      <c r="G4357" s="4"/>
      <c r="H4357" s="4"/>
    </row>
    <row r="4358" spans="7:8" x14ac:dyDescent="0.3">
      <c r="G4358" s="4"/>
      <c r="H4358" s="4"/>
    </row>
    <row r="4359" spans="7:8" x14ac:dyDescent="0.3">
      <c r="G4359" s="4"/>
      <c r="H4359" s="4"/>
    </row>
    <row r="4360" spans="7:8" x14ac:dyDescent="0.3">
      <c r="G4360" s="4"/>
      <c r="H4360" s="4"/>
    </row>
    <row r="4361" spans="7:8" x14ac:dyDescent="0.3">
      <c r="G4361" s="4"/>
      <c r="H4361" s="4"/>
    </row>
    <row r="4362" spans="7:8" x14ac:dyDescent="0.3">
      <c r="G4362" s="4"/>
      <c r="H4362" s="4"/>
    </row>
    <row r="4363" spans="7:8" x14ac:dyDescent="0.3">
      <c r="G4363" s="4"/>
      <c r="H4363" s="4"/>
    </row>
    <row r="4364" spans="7:8" x14ac:dyDescent="0.3">
      <c r="G4364" s="4"/>
      <c r="H4364" s="4"/>
    </row>
    <row r="4365" spans="7:8" x14ac:dyDescent="0.3">
      <c r="G4365" s="4"/>
      <c r="H4365" s="4"/>
    </row>
    <row r="4366" spans="7:8" x14ac:dyDescent="0.3">
      <c r="G4366" s="4"/>
      <c r="H4366" s="4"/>
    </row>
    <row r="4367" spans="7:8" x14ac:dyDescent="0.3">
      <c r="G4367" s="4"/>
      <c r="H4367" s="4"/>
    </row>
    <row r="4368" spans="7:8" x14ac:dyDescent="0.3">
      <c r="G4368" s="4"/>
      <c r="H4368" s="4"/>
    </row>
    <row r="4369" spans="7:8" x14ac:dyDescent="0.3">
      <c r="G4369" s="4"/>
      <c r="H4369" s="4"/>
    </row>
    <row r="4370" spans="7:8" x14ac:dyDescent="0.3">
      <c r="G4370" s="4"/>
      <c r="H4370" s="4"/>
    </row>
    <row r="4371" spans="7:8" x14ac:dyDescent="0.3">
      <c r="G4371" s="4"/>
      <c r="H4371" s="4"/>
    </row>
    <row r="4372" spans="7:8" x14ac:dyDescent="0.3">
      <c r="G4372" s="4"/>
      <c r="H4372" s="4"/>
    </row>
    <row r="4373" spans="7:8" x14ac:dyDescent="0.3">
      <c r="G4373" s="4"/>
      <c r="H4373" s="4"/>
    </row>
    <row r="4374" spans="7:8" x14ac:dyDescent="0.3">
      <c r="G4374" s="4"/>
      <c r="H4374" s="4"/>
    </row>
    <row r="4375" spans="7:8" x14ac:dyDescent="0.3">
      <c r="G4375" s="4"/>
      <c r="H4375" s="4"/>
    </row>
    <row r="4376" spans="7:8" x14ac:dyDescent="0.3">
      <c r="G4376" s="4"/>
      <c r="H4376" s="4"/>
    </row>
    <row r="4377" spans="7:8" x14ac:dyDescent="0.3">
      <c r="G4377" s="4"/>
      <c r="H4377" s="4"/>
    </row>
    <row r="4378" spans="7:8" x14ac:dyDescent="0.3">
      <c r="G4378" s="4"/>
      <c r="H4378" s="4"/>
    </row>
    <row r="4379" spans="7:8" x14ac:dyDescent="0.3">
      <c r="G4379" s="4"/>
      <c r="H4379" s="4"/>
    </row>
    <row r="4380" spans="7:8" x14ac:dyDescent="0.3">
      <c r="G4380" s="4"/>
      <c r="H4380" s="4"/>
    </row>
    <row r="4381" spans="7:8" x14ac:dyDescent="0.3">
      <c r="G4381" s="4"/>
      <c r="H4381" s="4"/>
    </row>
    <row r="4382" spans="7:8" x14ac:dyDescent="0.3">
      <c r="G4382" s="4"/>
      <c r="H4382" s="4"/>
    </row>
    <row r="4383" spans="7:8" x14ac:dyDescent="0.3">
      <c r="G4383" s="4"/>
      <c r="H4383" s="4"/>
    </row>
    <row r="4384" spans="7:8" x14ac:dyDescent="0.3">
      <c r="G4384" s="4"/>
      <c r="H4384" s="4"/>
    </row>
    <row r="4385" spans="7:8" x14ac:dyDescent="0.3">
      <c r="G4385" s="4"/>
      <c r="H4385" s="4"/>
    </row>
    <row r="4386" spans="7:8" x14ac:dyDescent="0.3">
      <c r="G4386" s="4"/>
      <c r="H4386" s="4"/>
    </row>
    <row r="4387" spans="7:8" x14ac:dyDescent="0.3">
      <c r="G4387" s="4"/>
      <c r="H4387" s="4"/>
    </row>
    <row r="4388" spans="7:8" x14ac:dyDescent="0.3">
      <c r="G4388" s="4"/>
      <c r="H4388" s="4"/>
    </row>
    <row r="4389" spans="7:8" x14ac:dyDescent="0.3">
      <c r="G4389" s="4"/>
      <c r="H4389" s="4"/>
    </row>
    <row r="4390" spans="7:8" x14ac:dyDescent="0.3">
      <c r="G4390" s="4"/>
      <c r="H4390" s="4"/>
    </row>
    <row r="4391" spans="7:8" x14ac:dyDescent="0.3">
      <c r="G4391" s="4"/>
      <c r="H4391" s="4"/>
    </row>
    <row r="4392" spans="7:8" x14ac:dyDescent="0.3">
      <c r="G4392" s="4"/>
      <c r="H4392" s="4"/>
    </row>
    <row r="4393" spans="7:8" x14ac:dyDescent="0.3">
      <c r="G4393" s="4"/>
      <c r="H4393" s="4"/>
    </row>
    <row r="4394" spans="7:8" x14ac:dyDescent="0.3">
      <c r="G4394" s="4"/>
      <c r="H4394" s="4"/>
    </row>
    <row r="4395" spans="7:8" x14ac:dyDescent="0.3">
      <c r="G4395" s="4"/>
      <c r="H4395" s="4"/>
    </row>
    <row r="4396" spans="7:8" x14ac:dyDescent="0.3">
      <c r="G4396" s="4"/>
      <c r="H4396" s="4"/>
    </row>
    <row r="4397" spans="7:8" x14ac:dyDescent="0.3">
      <c r="G4397" s="4"/>
      <c r="H4397" s="4"/>
    </row>
    <row r="4398" spans="7:8" x14ac:dyDescent="0.3">
      <c r="G4398" s="4"/>
      <c r="H4398" s="4"/>
    </row>
    <row r="4399" spans="7:8" x14ac:dyDescent="0.3">
      <c r="G4399" s="4"/>
      <c r="H4399" s="4"/>
    </row>
    <row r="4400" spans="7:8" x14ac:dyDescent="0.3">
      <c r="G4400" s="4"/>
      <c r="H4400" s="4"/>
    </row>
    <row r="4401" spans="7:8" x14ac:dyDescent="0.3">
      <c r="G4401" s="4"/>
      <c r="H4401" s="4"/>
    </row>
    <row r="4402" spans="7:8" x14ac:dyDescent="0.3">
      <c r="G4402" s="4"/>
      <c r="H4402" s="4"/>
    </row>
    <row r="4403" spans="7:8" x14ac:dyDescent="0.3">
      <c r="G4403" s="4"/>
      <c r="H4403" s="4"/>
    </row>
    <row r="4404" spans="7:8" x14ac:dyDescent="0.3">
      <c r="G4404" s="4"/>
      <c r="H4404" s="4"/>
    </row>
    <row r="4405" spans="7:8" x14ac:dyDescent="0.3">
      <c r="G4405" s="4"/>
      <c r="H4405" s="4"/>
    </row>
    <row r="4406" spans="7:8" x14ac:dyDescent="0.3">
      <c r="G4406" s="4"/>
      <c r="H4406" s="4"/>
    </row>
    <row r="4407" spans="7:8" x14ac:dyDescent="0.3">
      <c r="G4407" s="4"/>
      <c r="H4407" s="4"/>
    </row>
    <row r="4408" spans="7:8" x14ac:dyDescent="0.3">
      <c r="G4408" s="4"/>
      <c r="H4408" s="4"/>
    </row>
    <row r="4409" spans="7:8" x14ac:dyDescent="0.3">
      <c r="G4409" s="4"/>
      <c r="H4409" s="4"/>
    </row>
    <row r="4410" spans="7:8" x14ac:dyDescent="0.3">
      <c r="G4410" s="4"/>
      <c r="H4410" s="4"/>
    </row>
    <row r="4411" spans="7:8" x14ac:dyDescent="0.3">
      <c r="G4411" s="4"/>
      <c r="H4411" s="4"/>
    </row>
    <row r="4412" spans="7:8" x14ac:dyDescent="0.3">
      <c r="G4412" s="4"/>
      <c r="H4412" s="4"/>
    </row>
    <row r="4413" spans="7:8" x14ac:dyDescent="0.3">
      <c r="G4413" s="4"/>
      <c r="H4413" s="4"/>
    </row>
    <row r="4414" spans="7:8" x14ac:dyDescent="0.3">
      <c r="G4414" s="4"/>
      <c r="H4414" s="4"/>
    </row>
    <row r="4415" spans="7:8" x14ac:dyDescent="0.3">
      <c r="G4415" s="4"/>
      <c r="H4415" s="4"/>
    </row>
    <row r="4416" spans="7:8" x14ac:dyDescent="0.3">
      <c r="G4416" s="4"/>
      <c r="H4416" s="4"/>
    </row>
    <row r="4417" spans="7:8" x14ac:dyDescent="0.3">
      <c r="G4417" s="4"/>
      <c r="H4417" s="4"/>
    </row>
    <row r="4418" spans="7:8" x14ac:dyDescent="0.3">
      <c r="G4418" s="4"/>
      <c r="H4418" s="4"/>
    </row>
    <row r="4419" spans="7:8" x14ac:dyDescent="0.3">
      <c r="G4419" s="4"/>
      <c r="H4419" s="4"/>
    </row>
    <row r="4420" spans="7:8" x14ac:dyDescent="0.3">
      <c r="G4420" s="4"/>
      <c r="H4420" s="4"/>
    </row>
    <row r="4421" spans="7:8" x14ac:dyDescent="0.3">
      <c r="G4421" s="4"/>
      <c r="H4421" s="4"/>
    </row>
    <row r="4422" spans="7:8" x14ac:dyDescent="0.3">
      <c r="G4422" s="4"/>
      <c r="H4422" s="4"/>
    </row>
    <row r="4423" spans="7:8" x14ac:dyDescent="0.3">
      <c r="G4423" s="4"/>
      <c r="H4423" s="4"/>
    </row>
    <row r="4424" spans="7:8" x14ac:dyDescent="0.3">
      <c r="G4424" s="4"/>
      <c r="H4424" s="4"/>
    </row>
    <row r="4425" spans="7:8" x14ac:dyDescent="0.3">
      <c r="G4425" s="4"/>
      <c r="H4425" s="4"/>
    </row>
    <row r="4426" spans="7:8" x14ac:dyDescent="0.3">
      <c r="G4426" s="4"/>
      <c r="H4426" s="4"/>
    </row>
    <row r="4427" spans="7:8" x14ac:dyDescent="0.3">
      <c r="G4427" s="4"/>
      <c r="H4427" s="4"/>
    </row>
    <row r="4428" spans="7:8" x14ac:dyDescent="0.3">
      <c r="G4428" s="4"/>
      <c r="H4428" s="4"/>
    </row>
    <row r="4429" spans="7:8" x14ac:dyDescent="0.3">
      <c r="G4429" s="4"/>
      <c r="H4429" s="4"/>
    </row>
    <row r="4430" spans="7:8" x14ac:dyDescent="0.3">
      <c r="G4430" s="4"/>
      <c r="H4430" s="4"/>
    </row>
    <row r="4431" spans="7:8" x14ac:dyDescent="0.3">
      <c r="G4431" s="4"/>
      <c r="H4431" s="4"/>
    </row>
    <row r="4432" spans="7:8" x14ac:dyDescent="0.3">
      <c r="G4432" s="4"/>
      <c r="H4432" s="4"/>
    </row>
    <row r="4433" spans="7:8" x14ac:dyDescent="0.3">
      <c r="G4433" s="4"/>
      <c r="H4433" s="4"/>
    </row>
    <row r="4434" spans="7:8" x14ac:dyDescent="0.3">
      <c r="G4434" s="4"/>
      <c r="H4434" s="4"/>
    </row>
    <row r="4435" spans="7:8" x14ac:dyDescent="0.3">
      <c r="G4435" s="4"/>
      <c r="H4435" s="4"/>
    </row>
    <row r="4436" spans="7:8" x14ac:dyDescent="0.3">
      <c r="G4436" s="4"/>
      <c r="H4436" s="4"/>
    </row>
    <row r="4437" spans="7:8" x14ac:dyDescent="0.3">
      <c r="G4437" s="4"/>
      <c r="H4437" s="4"/>
    </row>
    <row r="4438" spans="7:8" x14ac:dyDescent="0.3">
      <c r="G4438" s="4"/>
      <c r="H4438" s="4"/>
    </row>
    <row r="4439" spans="7:8" x14ac:dyDescent="0.3">
      <c r="G4439" s="4"/>
      <c r="H4439" s="4"/>
    </row>
    <row r="4440" spans="7:8" x14ac:dyDescent="0.3">
      <c r="G4440" s="4"/>
      <c r="H4440" s="4"/>
    </row>
    <row r="4441" spans="7:8" x14ac:dyDescent="0.3">
      <c r="G4441" s="4"/>
      <c r="H4441" s="4"/>
    </row>
    <row r="4442" spans="7:8" x14ac:dyDescent="0.3">
      <c r="G4442" s="4"/>
      <c r="H4442" s="4"/>
    </row>
    <row r="4443" spans="7:8" x14ac:dyDescent="0.3">
      <c r="G4443" s="4"/>
      <c r="H4443" s="4"/>
    </row>
    <row r="4444" spans="7:8" x14ac:dyDescent="0.3">
      <c r="G4444" s="4"/>
      <c r="H4444" s="4"/>
    </row>
    <row r="4445" spans="7:8" x14ac:dyDescent="0.3">
      <c r="G4445" s="4"/>
      <c r="H4445" s="4"/>
    </row>
    <row r="4446" spans="7:8" x14ac:dyDescent="0.3">
      <c r="G4446" s="4"/>
      <c r="H4446" s="4"/>
    </row>
    <row r="4447" spans="7:8" x14ac:dyDescent="0.3">
      <c r="G4447" s="4"/>
      <c r="H4447" s="4"/>
    </row>
    <row r="4448" spans="7:8" x14ac:dyDescent="0.3">
      <c r="G4448" s="4"/>
      <c r="H4448" s="4"/>
    </row>
    <row r="4449" spans="7:8" x14ac:dyDescent="0.3">
      <c r="G4449" s="4"/>
      <c r="H4449" s="4"/>
    </row>
    <row r="4450" spans="7:8" x14ac:dyDescent="0.3">
      <c r="G4450" s="4"/>
      <c r="H4450" s="4"/>
    </row>
    <row r="4451" spans="7:8" x14ac:dyDescent="0.3">
      <c r="G4451" s="4"/>
      <c r="H4451" s="4"/>
    </row>
    <row r="4452" spans="7:8" x14ac:dyDescent="0.3">
      <c r="G4452" s="4"/>
      <c r="H4452" s="4"/>
    </row>
    <row r="4453" spans="7:8" x14ac:dyDescent="0.3">
      <c r="G4453" s="4"/>
      <c r="H4453" s="4"/>
    </row>
    <row r="4454" spans="7:8" x14ac:dyDescent="0.3">
      <c r="G4454" s="4"/>
      <c r="H4454" s="4"/>
    </row>
    <row r="4455" spans="7:8" x14ac:dyDescent="0.3">
      <c r="G4455" s="4"/>
      <c r="H4455" s="4"/>
    </row>
    <row r="4456" spans="7:8" x14ac:dyDescent="0.3">
      <c r="G4456" s="4"/>
      <c r="H4456" s="4"/>
    </row>
    <row r="4457" spans="7:8" x14ac:dyDescent="0.3">
      <c r="G4457" s="4"/>
      <c r="H4457" s="4"/>
    </row>
    <row r="4458" spans="7:8" x14ac:dyDescent="0.3">
      <c r="G4458" s="4"/>
      <c r="H4458" s="4"/>
    </row>
    <row r="4459" spans="7:8" x14ac:dyDescent="0.3">
      <c r="G4459" s="4"/>
      <c r="H4459" s="4"/>
    </row>
    <row r="4460" spans="7:8" x14ac:dyDescent="0.3">
      <c r="G4460" s="4"/>
      <c r="H4460" s="4"/>
    </row>
    <row r="4461" spans="7:8" x14ac:dyDescent="0.3">
      <c r="G4461" s="4"/>
      <c r="H4461" s="4"/>
    </row>
    <row r="4462" spans="7:8" x14ac:dyDescent="0.3">
      <c r="G4462" s="4"/>
      <c r="H4462" s="4"/>
    </row>
    <row r="4463" spans="7:8" x14ac:dyDescent="0.3">
      <c r="G4463" s="4"/>
      <c r="H4463" s="4"/>
    </row>
    <row r="4464" spans="7:8" x14ac:dyDescent="0.3">
      <c r="G4464" s="4"/>
      <c r="H4464" s="4"/>
    </row>
    <row r="4465" spans="7:8" x14ac:dyDescent="0.3">
      <c r="G4465" s="4"/>
      <c r="H4465" s="4"/>
    </row>
    <row r="4466" spans="7:8" x14ac:dyDescent="0.3">
      <c r="G4466" s="4"/>
      <c r="H4466" s="4"/>
    </row>
    <row r="4467" spans="7:8" x14ac:dyDescent="0.3">
      <c r="G4467" s="4"/>
      <c r="H4467" s="4"/>
    </row>
    <row r="4468" spans="7:8" x14ac:dyDescent="0.3">
      <c r="G4468" s="4"/>
      <c r="H4468" s="4"/>
    </row>
    <row r="4469" spans="7:8" x14ac:dyDescent="0.3">
      <c r="G4469" s="4"/>
      <c r="H4469" s="4"/>
    </row>
    <row r="4470" spans="7:8" x14ac:dyDescent="0.3">
      <c r="G4470" s="4"/>
      <c r="H4470" s="4"/>
    </row>
    <row r="4471" spans="7:8" x14ac:dyDescent="0.3">
      <c r="G4471" s="4"/>
      <c r="H4471" s="4"/>
    </row>
    <row r="4472" spans="7:8" x14ac:dyDescent="0.3">
      <c r="G4472" s="4"/>
      <c r="H4472" s="4"/>
    </row>
    <row r="4473" spans="7:8" x14ac:dyDescent="0.3">
      <c r="G4473" s="4"/>
      <c r="H4473" s="4"/>
    </row>
    <row r="4474" spans="7:8" x14ac:dyDescent="0.3">
      <c r="G4474" s="4"/>
      <c r="H4474" s="4"/>
    </row>
    <row r="4475" spans="7:8" x14ac:dyDescent="0.3">
      <c r="G4475" s="4"/>
      <c r="H4475" s="4"/>
    </row>
    <row r="4476" spans="7:8" x14ac:dyDescent="0.3">
      <c r="G4476" s="4"/>
      <c r="H4476" s="4"/>
    </row>
    <row r="4477" spans="7:8" x14ac:dyDescent="0.3">
      <c r="G4477" s="4"/>
      <c r="H4477" s="4"/>
    </row>
    <row r="4478" spans="7:8" x14ac:dyDescent="0.3">
      <c r="G4478" s="4"/>
      <c r="H4478" s="4"/>
    </row>
    <row r="4479" spans="7:8" x14ac:dyDescent="0.3">
      <c r="G4479" s="4"/>
      <c r="H4479" s="4"/>
    </row>
    <row r="4480" spans="7:8" x14ac:dyDescent="0.3">
      <c r="G4480" s="4"/>
      <c r="H4480" s="4"/>
    </row>
    <row r="4481" spans="7:8" x14ac:dyDescent="0.3">
      <c r="G4481" s="4"/>
      <c r="H4481" s="4"/>
    </row>
    <row r="4482" spans="7:8" x14ac:dyDescent="0.3">
      <c r="G4482" s="4"/>
      <c r="H4482" s="4"/>
    </row>
    <row r="4483" spans="7:8" x14ac:dyDescent="0.3">
      <c r="G4483" s="4"/>
      <c r="H4483" s="4"/>
    </row>
    <row r="4484" spans="7:8" x14ac:dyDescent="0.3">
      <c r="G4484" s="4"/>
      <c r="H4484" s="4"/>
    </row>
    <row r="4485" spans="7:8" x14ac:dyDescent="0.3">
      <c r="G4485" s="4"/>
      <c r="H4485" s="4"/>
    </row>
    <row r="4486" spans="7:8" x14ac:dyDescent="0.3">
      <c r="G4486" s="4"/>
      <c r="H4486" s="4"/>
    </row>
    <row r="4487" spans="7:8" x14ac:dyDescent="0.3">
      <c r="G4487" s="4"/>
      <c r="H4487" s="4"/>
    </row>
    <row r="4488" spans="7:8" x14ac:dyDescent="0.3">
      <c r="G4488" s="4"/>
      <c r="H4488" s="4"/>
    </row>
    <row r="4489" spans="7:8" x14ac:dyDescent="0.3">
      <c r="G4489" s="4"/>
      <c r="H4489" s="4"/>
    </row>
    <row r="4490" spans="7:8" x14ac:dyDescent="0.3">
      <c r="G4490" s="4"/>
      <c r="H4490" s="4"/>
    </row>
    <row r="4491" spans="7:8" x14ac:dyDescent="0.3">
      <c r="G4491" s="4"/>
      <c r="H4491" s="4"/>
    </row>
    <row r="4492" spans="7:8" x14ac:dyDescent="0.3">
      <c r="G4492" s="4"/>
      <c r="H4492" s="4"/>
    </row>
    <row r="4493" spans="7:8" x14ac:dyDescent="0.3">
      <c r="G4493" s="4"/>
      <c r="H4493" s="4"/>
    </row>
    <row r="4494" spans="7:8" x14ac:dyDescent="0.3">
      <c r="G4494" s="4"/>
      <c r="H4494" s="4"/>
    </row>
    <row r="4495" spans="7:8" x14ac:dyDescent="0.3">
      <c r="G4495" s="4"/>
      <c r="H4495" s="4"/>
    </row>
    <row r="4496" spans="7:8" x14ac:dyDescent="0.3">
      <c r="G4496" s="4"/>
      <c r="H4496" s="4"/>
    </row>
    <row r="4497" spans="7:8" x14ac:dyDescent="0.3">
      <c r="G4497" s="4"/>
      <c r="H4497" s="4"/>
    </row>
    <row r="4498" spans="7:8" x14ac:dyDescent="0.3">
      <c r="G4498" s="4"/>
      <c r="H4498" s="4"/>
    </row>
    <row r="4499" spans="7:8" x14ac:dyDescent="0.3">
      <c r="G4499" s="4"/>
      <c r="H4499" s="4"/>
    </row>
    <row r="4500" spans="7:8" x14ac:dyDescent="0.3">
      <c r="G4500" s="4"/>
      <c r="H4500" s="4"/>
    </row>
    <row r="4501" spans="7:8" x14ac:dyDescent="0.3">
      <c r="G4501" s="4"/>
      <c r="H4501" s="4"/>
    </row>
    <row r="4502" spans="7:8" x14ac:dyDescent="0.3">
      <c r="G4502" s="4"/>
      <c r="H4502" s="4"/>
    </row>
    <row r="4503" spans="7:8" x14ac:dyDescent="0.3">
      <c r="G4503" s="4"/>
      <c r="H4503" s="4"/>
    </row>
    <row r="4504" spans="7:8" x14ac:dyDescent="0.3">
      <c r="G4504" s="4"/>
      <c r="H4504" s="4"/>
    </row>
    <row r="4505" spans="7:8" x14ac:dyDescent="0.3">
      <c r="G4505" s="4"/>
      <c r="H4505" s="4"/>
    </row>
    <row r="4506" spans="7:8" x14ac:dyDescent="0.3">
      <c r="G4506" s="4"/>
      <c r="H4506" s="4"/>
    </row>
    <row r="4507" spans="7:8" x14ac:dyDescent="0.3">
      <c r="G4507" s="4"/>
      <c r="H4507" s="4"/>
    </row>
    <row r="4508" spans="7:8" x14ac:dyDescent="0.3">
      <c r="G4508" s="4"/>
      <c r="H4508" s="4"/>
    </row>
    <row r="4509" spans="7:8" x14ac:dyDescent="0.3">
      <c r="G4509" s="4"/>
      <c r="H4509" s="4"/>
    </row>
    <row r="4510" spans="7:8" x14ac:dyDescent="0.3">
      <c r="G4510" s="4"/>
      <c r="H4510" s="4"/>
    </row>
    <row r="4511" spans="7:8" x14ac:dyDescent="0.3">
      <c r="G4511" s="4"/>
      <c r="H4511" s="4"/>
    </row>
    <row r="4512" spans="7:8" x14ac:dyDescent="0.3">
      <c r="G4512" s="4"/>
      <c r="H4512" s="4"/>
    </row>
    <row r="4513" spans="7:8" x14ac:dyDescent="0.3">
      <c r="G4513" s="4"/>
      <c r="H4513" s="4"/>
    </row>
    <row r="4514" spans="7:8" x14ac:dyDescent="0.3">
      <c r="G4514" s="4"/>
      <c r="H4514" s="4"/>
    </row>
    <row r="4515" spans="7:8" x14ac:dyDescent="0.3">
      <c r="G4515" s="4"/>
      <c r="H4515" s="4"/>
    </row>
    <row r="4516" spans="7:8" x14ac:dyDescent="0.3">
      <c r="G4516" s="4"/>
      <c r="H4516" s="4"/>
    </row>
    <row r="4517" spans="7:8" x14ac:dyDescent="0.3">
      <c r="G4517" s="4"/>
      <c r="H4517" s="4"/>
    </row>
    <row r="4518" spans="7:8" x14ac:dyDescent="0.3">
      <c r="G4518" s="4"/>
      <c r="H4518" s="4"/>
    </row>
    <row r="4519" spans="7:8" x14ac:dyDescent="0.3">
      <c r="G4519" s="4"/>
      <c r="H4519" s="4"/>
    </row>
    <row r="4520" spans="7:8" x14ac:dyDescent="0.3">
      <c r="G4520" s="4"/>
      <c r="H4520" s="4"/>
    </row>
    <row r="4521" spans="7:8" x14ac:dyDescent="0.3">
      <c r="G4521" s="4"/>
      <c r="H4521" s="4"/>
    </row>
    <row r="4522" spans="7:8" x14ac:dyDescent="0.3">
      <c r="G4522" s="4"/>
      <c r="H4522" s="4"/>
    </row>
    <row r="4523" spans="7:8" x14ac:dyDescent="0.3">
      <c r="G4523" s="4"/>
      <c r="H4523" s="4"/>
    </row>
    <row r="4524" spans="7:8" x14ac:dyDescent="0.3">
      <c r="G4524" s="4"/>
      <c r="H4524" s="4"/>
    </row>
    <row r="4525" spans="7:8" x14ac:dyDescent="0.3">
      <c r="G4525" s="4"/>
      <c r="H4525" s="4"/>
    </row>
    <row r="4526" spans="7:8" x14ac:dyDescent="0.3">
      <c r="G4526" s="4"/>
      <c r="H4526" s="4"/>
    </row>
    <row r="4527" spans="7:8" x14ac:dyDescent="0.3">
      <c r="G4527" s="4"/>
      <c r="H4527" s="4"/>
    </row>
    <row r="4528" spans="7:8" x14ac:dyDescent="0.3">
      <c r="G4528" s="4"/>
      <c r="H4528" s="4"/>
    </row>
    <row r="4529" spans="7:8" x14ac:dyDescent="0.3">
      <c r="G4529" s="4"/>
      <c r="H4529" s="4"/>
    </row>
    <row r="4530" spans="7:8" x14ac:dyDescent="0.3">
      <c r="G4530" s="4"/>
      <c r="H4530" s="4"/>
    </row>
    <row r="4531" spans="7:8" x14ac:dyDescent="0.3">
      <c r="G4531" s="4"/>
      <c r="H4531" s="4"/>
    </row>
    <row r="4532" spans="7:8" x14ac:dyDescent="0.3">
      <c r="G4532" s="4"/>
      <c r="H4532" s="4"/>
    </row>
    <row r="4533" spans="7:8" x14ac:dyDescent="0.3">
      <c r="G4533" s="4"/>
      <c r="H4533" s="4"/>
    </row>
    <row r="4534" spans="7:8" x14ac:dyDescent="0.3">
      <c r="G4534" s="4"/>
      <c r="H4534" s="4"/>
    </row>
    <row r="4535" spans="7:8" x14ac:dyDescent="0.3">
      <c r="G4535" s="4"/>
      <c r="H4535" s="4"/>
    </row>
    <row r="4536" spans="7:8" x14ac:dyDescent="0.3">
      <c r="G4536" s="4"/>
      <c r="H4536" s="4"/>
    </row>
    <row r="4537" spans="7:8" x14ac:dyDescent="0.3">
      <c r="G4537" s="4"/>
      <c r="H4537" s="4"/>
    </row>
    <row r="4538" spans="7:8" x14ac:dyDescent="0.3">
      <c r="G4538" s="4"/>
      <c r="H4538" s="4"/>
    </row>
    <row r="4539" spans="7:8" x14ac:dyDescent="0.3">
      <c r="G4539" s="4"/>
      <c r="H4539" s="4"/>
    </row>
    <row r="4540" spans="7:8" x14ac:dyDescent="0.3">
      <c r="G4540" s="4"/>
      <c r="H4540" s="4"/>
    </row>
    <row r="4541" spans="7:8" x14ac:dyDescent="0.3">
      <c r="G4541" s="4"/>
      <c r="H4541" s="4"/>
    </row>
    <row r="4542" spans="7:8" x14ac:dyDescent="0.3">
      <c r="G4542" s="4"/>
      <c r="H4542" s="4"/>
    </row>
    <row r="4543" spans="7:8" x14ac:dyDescent="0.3">
      <c r="G4543" s="4"/>
      <c r="H4543" s="4"/>
    </row>
    <row r="4544" spans="7:8" x14ac:dyDescent="0.3">
      <c r="G4544" s="4"/>
      <c r="H4544" s="4"/>
    </row>
    <row r="4545" spans="7:8" x14ac:dyDescent="0.3">
      <c r="G4545" s="4"/>
      <c r="H4545" s="4"/>
    </row>
    <row r="4546" spans="7:8" x14ac:dyDescent="0.3">
      <c r="G4546" s="4"/>
      <c r="H4546" s="4"/>
    </row>
    <row r="4547" spans="7:8" x14ac:dyDescent="0.3">
      <c r="G4547" s="4"/>
      <c r="H4547" s="4"/>
    </row>
    <row r="4548" spans="7:8" x14ac:dyDescent="0.3">
      <c r="G4548" s="4"/>
      <c r="H4548" s="4"/>
    </row>
    <row r="4549" spans="7:8" x14ac:dyDescent="0.3">
      <c r="G4549" s="4"/>
      <c r="H4549" s="4"/>
    </row>
    <row r="4550" spans="7:8" x14ac:dyDescent="0.3">
      <c r="G4550" s="4"/>
      <c r="H4550" s="4"/>
    </row>
    <row r="4551" spans="7:8" x14ac:dyDescent="0.3">
      <c r="G4551" s="4"/>
      <c r="H4551" s="4"/>
    </row>
    <row r="4552" spans="7:8" x14ac:dyDescent="0.3">
      <c r="G4552" s="4"/>
      <c r="H4552" s="4"/>
    </row>
    <row r="4553" spans="7:8" x14ac:dyDescent="0.3">
      <c r="G4553" s="4"/>
      <c r="H4553" s="4"/>
    </row>
    <row r="4554" spans="7:8" x14ac:dyDescent="0.3">
      <c r="G4554" s="4"/>
      <c r="H4554" s="4"/>
    </row>
    <row r="4555" spans="7:8" x14ac:dyDescent="0.3">
      <c r="G4555" s="4"/>
      <c r="H4555" s="4"/>
    </row>
    <row r="4556" spans="7:8" x14ac:dyDescent="0.3">
      <c r="G4556" s="4"/>
      <c r="H4556" s="4"/>
    </row>
    <row r="4557" spans="7:8" x14ac:dyDescent="0.3">
      <c r="G4557" s="4"/>
      <c r="H4557" s="4"/>
    </row>
    <row r="4558" spans="7:8" x14ac:dyDescent="0.3">
      <c r="G4558" s="4"/>
      <c r="H4558" s="4"/>
    </row>
    <row r="4559" spans="7:8" x14ac:dyDescent="0.3">
      <c r="G4559" s="4"/>
      <c r="H4559" s="4"/>
    </row>
    <row r="4560" spans="7:8" x14ac:dyDescent="0.3">
      <c r="G4560" s="4"/>
      <c r="H4560" s="4"/>
    </row>
    <row r="4561" spans="7:8" x14ac:dyDescent="0.3">
      <c r="G4561" s="4"/>
      <c r="H4561" s="4"/>
    </row>
    <row r="4562" spans="7:8" x14ac:dyDescent="0.3">
      <c r="G4562" s="4"/>
      <c r="H4562" s="4"/>
    </row>
    <row r="4563" spans="7:8" x14ac:dyDescent="0.3">
      <c r="G4563" s="4"/>
      <c r="H4563" s="4"/>
    </row>
    <row r="4564" spans="7:8" x14ac:dyDescent="0.3">
      <c r="G4564" s="4"/>
      <c r="H4564" s="4"/>
    </row>
    <row r="4565" spans="7:8" x14ac:dyDescent="0.3">
      <c r="G4565" s="4"/>
      <c r="H4565" s="4"/>
    </row>
    <row r="4566" spans="7:8" x14ac:dyDescent="0.3">
      <c r="G4566" s="4"/>
      <c r="H4566" s="4"/>
    </row>
    <row r="4567" spans="7:8" x14ac:dyDescent="0.3">
      <c r="G4567" s="4"/>
      <c r="H4567" s="4"/>
    </row>
    <row r="4568" spans="7:8" x14ac:dyDescent="0.3">
      <c r="G4568" s="4"/>
      <c r="H4568" s="4"/>
    </row>
    <row r="4569" spans="7:8" x14ac:dyDescent="0.3">
      <c r="G4569" s="4"/>
      <c r="H4569" s="4"/>
    </row>
    <row r="4570" spans="7:8" x14ac:dyDescent="0.3">
      <c r="G4570" s="4"/>
      <c r="H4570" s="4"/>
    </row>
    <row r="4571" spans="7:8" x14ac:dyDescent="0.3">
      <c r="G4571" s="4"/>
      <c r="H4571" s="4"/>
    </row>
    <row r="4572" spans="7:8" x14ac:dyDescent="0.3">
      <c r="G4572" s="4"/>
      <c r="H4572" s="4"/>
    </row>
    <row r="4573" spans="7:8" x14ac:dyDescent="0.3">
      <c r="G4573" s="4"/>
      <c r="H4573" s="4"/>
    </row>
    <row r="4574" spans="7:8" x14ac:dyDescent="0.3">
      <c r="G4574" s="4"/>
      <c r="H4574" s="4"/>
    </row>
    <row r="4575" spans="7:8" x14ac:dyDescent="0.3">
      <c r="G4575" s="4"/>
      <c r="H4575" s="4"/>
    </row>
    <row r="4576" spans="7:8" x14ac:dyDescent="0.3">
      <c r="G4576" s="4"/>
      <c r="H4576" s="4"/>
    </row>
    <row r="4577" spans="7:8" x14ac:dyDescent="0.3">
      <c r="G4577" s="4"/>
      <c r="H4577" s="4"/>
    </row>
    <row r="4578" spans="7:8" x14ac:dyDescent="0.3">
      <c r="G4578" s="4"/>
      <c r="H4578" s="4"/>
    </row>
    <row r="4579" spans="7:8" x14ac:dyDescent="0.3">
      <c r="G4579" s="4"/>
      <c r="H4579" s="4"/>
    </row>
    <row r="4580" spans="7:8" x14ac:dyDescent="0.3">
      <c r="G4580" s="4"/>
      <c r="H4580" s="4"/>
    </row>
    <row r="4581" spans="7:8" x14ac:dyDescent="0.3">
      <c r="G4581" s="4"/>
      <c r="H4581" s="4"/>
    </row>
    <row r="4582" spans="7:8" x14ac:dyDescent="0.3">
      <c r="G4582" s="4"/>
      <c r="H4582" s="4"/>
    </row>
    <row r="4583" spans="7:8" x14ac:dyDescent="0.3">
      <c r="G4583" s="4"/>
      <c r="H4583" s="4"/>
    </row>
    <row r="4584" spans="7:8" x14ac:dyDescent="0.3">
      <c r="G4584" s="4"/>
      <c r="H4584" s="4"/>
    </row>
    <row r="4585" spans="7:8" x14ac:dyDescent="0.3">
      <c r="G4585" s="4"/>
      <c r="H4585" s="4"/>
    </row>
    <row r="4586" spans="7:8" x14ac:dyDescent="0.3">
      <c r="G4586" s="4"/>
      <c r="H4586" s="4"/>
    </row>
    <row r="4587" spans="7:8" x14ac:dyDescent="0.3">
      <c r="G4587" s="4"/>
      <c r="H4587" s="4"/>
    </row>
    <row r="4588" spans="7:8" x14ac:dyDescent="0.3">
      <c r="G4588" s="4"/>
      <c r="H4588" s="4"/>
    </row>
    <row r="4589" spans="7:8" x14ac:dyDescent="0.3">
      <c r="G4589" s="4"/>
      <c r="H4589" s="4"/>
    </row>
    <row r="4590" spans="7:8" x14ac:dyDescent="0.3">
      <c r="G4590" s="4"/>
      <c r="H4590" s="4"/>
    </row>
    <row r="4591" spans="7:8" x14ac:dyDescent="0.3">
      <c r="G4591" s="4"/>
      <c r="H4591" s="4"/>
    </row>
    <row r="4592" spans="7:8" x14ac:dyDescent="0.3">
      <c r="G4592" s="4"/>
      <c r="H4592" s="4"/>
    </row>
    <row r="4593" spans="7:8" x14ac:dyDescent="0.3">
      <c r="G4593" s="4"/>
      <c r="H4593" s="4"/>
    </row>
    <row r="4594" spans="7:8" x14ac:dyDescent="0.3">
      <c r="G4594" s="4"/>
      <c r="H4594" s="4"/>
    </row>
    <row r="4595" spans="7:8" x14ac:dyDescent="0.3">
      <c r="G4595" s="4"/>
      <c r="H4595" s="4"/>
    </row>
    <row r="4596" spans="7:8" x14ac:dyDescent="0.3">
      <c r="G4596" s="4"/>
      <c r="H4596" s="4"/>
    </row>
    <row r="4597" spans="7:8" x14ac:dyDescent="0.3">
      <c r="G4597" s="4"/>
      <c r="H4597" s="4"/>
    </row>
    <row r="4598" spans="7:8" x14ac:dyDescent="0.3">
      <c r="G4598" s="4"/>
      <c r="H4598" s="4"/>
    </row>
    <row r="4599" spans="7:8" x14ac:dyDescent="0.3">
      <c r="G4599" s="4"/>
      <c r="H4599" s="4"/>
    </row>
    <row r="4600" spans="7:8" x14ac:dyDescent="0.3">
      <c r="G4600" s="4"/>
      <c r="H4600" s="4"/>
    </row>
    <row r="4601" spans="7:8" x14ac:dyDescent="0.3">
      <c r="G4601" s="4"/>
      <c r="H4601" s="4"/>
    </row>
    <row r="4602" spans="7:8" x14ac:dyDescent="0.3">
      <c r="G4602" s="4"/>
      <c r="H4602" s="4"/>
    </row>
    <row r="4603" spans="7:8" x14ac:dyDescent="0.3">
      <c r="G4603" s="4"/>
      <c r="H4603" s="4"/>
    </row>
    <row r="4604" spans="7:8" x14ac:dyDescent="0.3">
      <c r="G4604" s="4"/>
      <c r="H4604" s="4"/>
    </row>
    <row r="4605" spans="7:8" x14ac:dyDescent="0.3">
      <c r="G4605" s="4"/>
      <c r="H4605" s="4"/>
    </row>
    <row r="4606" spans="7:8" x14ac:dyDescent="0.3">
      <c r="G4606" s="4"/>
      <c r="H4606" s="4"/>
    </row>
    <row r="4607" spans="7:8" x14ac:dyDescent="0.3">
      <c r="G4607" s="4"/>
      <c r="H4607" s="4"/>
    </row>
    <row r="4608" spans="7:8" x14ac:dyDescent="0.3">
      <c r="G4608" s="4"/>
      <c r="H4608" s="4"/>
    </row>
    <row r="4609" spans="7:8" x14ac:dyDescent="0.3">
      <c r="G4609" s="4"/>
      <c r="H4609" s="4"/>
    </row>
    <row r="4610" spans="7:8" x14ac:dyDescent="0.3">
      <c r="G4610" s="4"/>
      <c r="H4610" s="4"/>
    </row>
    <row r="4611" spans="7:8" x14ac:dyDescent="0.3">
      <c r="G4611" s="4"/>
      <c r="H4611" s="4"/>
    </row>
    <row r="4612" spans="7:8" x14ac:dyDescent="0.3">
      <c r="G4612" s="4"/>
      <c r="H4612" s="4"/>
    </row>
    <row r="4613" spans="7:8" x14ac:dyDescent="0.3">
      <c r="G4613" s="4"/>
      <c r="H4613" s="4"/>
    </row>
    <row r="4614" spans="7:8" x14ac:dyDescent="0.3">
      <c r="G4614" s="4"/>
      <c r="H4614" s="4"/>
    </row>
    <row r="4615" spans="7:8" x14ac:dyDescent="0.3">
      <c r="G4615" s="4"/>
      <c r="H4615" s="4"/>
    </row>
    <row r="4616" spans="7:8" x14ac:dyDescent="0.3">
      <c r="G4616" s="4"/>
      <c r="H4616" s="4"/>
    </row>
    <row r="4617" spans="7:8" x14ac:dyDescent="0.3">
      <c r="G4617" s="4"/>
      <c r="H4617" s="4"/>
    </row>
    <row r="4618" spans="7:8" x14ac:dyDescent="0.3">
      <c r="G4618" s="4"/>
      <c r="H4618" s="4"/>
    </row>
    <row r="4619" spans="7:8" x14ac:dyDescent="0.3">
      <c r="G4619" s="4"/>
      <c r="H4619" s="4"/>
    </row>
    <row r="4620" spans="7:8" x14ac:dyDescent="0.3">
      <c r="G4620" s="4"/>
      <c r="H4620" s="4"/>
    </row>
    <row r="4621" spans="7:8" x14ac:dyDescent="0.3">
      <c r="G4621" s="4"/>
      <c r="H4621" s="4"/>
    </row>
    <row r="4622" spans="7:8" x14ac:dyDescent="0.3">
      <c r="G4622" s="4"/>
      <c r="H4622" s="4"/>
    </row>
    <row r="4623" spans="7:8" x14ac:dyDescent="0.3">
      <c r="G4623" s="4"/>
      <c r="H4623" s="4"/>
    </row>
    <row r="4624" spans="7:8" x14ac:dyDescent="0.3">
      <c r="G4624" s="4"/>
      <c r="H4624" s="4"/>
    </row>
    <row r="4625" spans="7:8" x14ac:dyDescent="0.3">
      <c r="G4625" s="4"/>
      <c r="H4625" s="4"/>
    </row>
    <row r="4626" spans="7:8" x14ac:dyDescent="0.3">
      <c r="G4626" s="4"/>
      <c r="H4626" s="4"/>
    </row>
    <row r="4627" spans="7:8" x14ac:dyDescent="0.3">
      <c r="G4627" s="4"/>
      <c r="H4627" s="4"/>
    </row>
    <row r="4628" spans="7:8" x14ac:dyDescent="0.3">
      <c r="G4628" s="4"/>
      <c r="H4628" s="4"/>
    </row>
    <row r="4629" spans="7:8" x14ac:dyDescent="0.3">
      <c r="G4629" s="4"/>
      <c r="H4629" s="4"/>
    </row>
    <row r="4630" spans="7:8" x14ac:dyDescent="0.3">
      <c r="G4630" s="4"/>
      <c r="H4630" s="4"/>
    </row>
    <row r="4631" spans="7:8" x14ac:dyDescent="0.3">
      <c r="G4631" s="4"/>
      <c r="H4631" s="4"/>
    </row>
    <row r="4632" spans="7:8" x14ac:dyDescent="0.3">
      <c r="G4632" s="4"/>
      <c r="H4632" s="4"/>
    </row>
    <row r="4633" spans="7:8" x14ac:dyDescent="0.3">
      <c r="G4633" s="4"/>
      <c r="H4633" s="4"/>
    </row>
    <row r="4634" spans="7:8" x14ac:dyDescent="0.3">
      <c r="G4634" s="4"/>
      <c r="H4634" s="4"/>
    </row>
    <row r="4635" spans="7:8" x14ac:dyDescent="0.3">
      <c r="G4635" s="4"/>
      <c r="H4635" s="4"/>
    </row>
    <row r="4636" spans="7:8" x14ac:dyDescent="0.3">
      <c r="G4636" s="4"/>
      <c r="H4636" s="4"/>
    </row>
    <row r="4637" spans="7:8" x14ac:dyDescent="0.3">
      <c r="G4637" s="4"/>
      <c r="H4637" s="4"/>
    </row>
    <row r="4638" spans="7:8" x14ac:dyDescent="0.3">
      <c r="G4638" s="4"/>
      <c r="H4638" s="4"/>
    </row>
    <row r="4639" spans="7:8" x14ac:dyDescent="0.3">
      <c r="G4639" s="4"/>
      <c r="H4639" s="4"/>
    </row>
    <row r="4640" spans="7:8" x14ac:dyDescent="0.3">
      <c r="G4640" s="4"/>
      <c r="H4640" s="4"/>
    </row>
    <row r="4641" spans="7:8" x14ac:dyDescent="0.3">
      <c r="G4641" s="4"/>
      <c r="H4641" s="4"/>
    </row>
    <row r="4642" spans="7:8" x14ac:dyDescent="0.3">
      <c r="G4642" s="4"/>
      <c r="H4642" s="4"/>
    </row>
    <row r="4643" spans="7:8" x14ac:dyDescent="0.3">
      <c r="G4643" s="4"/>
      <c r="H4643" s="4"/>
    </row>
    <row r="4644" spans="7:8" x14ac:dyDescent="0.3">
      <c r="G4644" s="4"/>
      <c r="H4644" s="4"/>
    </row>
    <row r="4645" spans="7:8" x14ac:dyDescent="0.3">
      <c r="G4645" s="4"/>
      <c r="H4645" s="4"/>
    </row>
    <row r="4646" spans="7:8" x14ac:dyDescent="0.3">
      <c r="G4646" s="4"/>
      <c r="H4646" s="4"/>
    </row>
    <row r="4647" spans="7:8" x14ac:dyDescent="0.3">
      <c r="G4647" s="4"/>
      <c r="H4647" s="4"/>
    </row>
    <row r="4648" spans="7:8" x14ac:dyDescent="0.3">
      <c r="G4648" s="4"/>
      <c r="H4648" s="4"/>
    </row>
    <row r="4649" spans="7:8" x14ac:dyDescent="0.3">
      <c r="G4649" s="4"/>
      <c r="H4649" s="4"/>
    </row>
    <row r="4650" spans="7:8" x14ac:dyDescent="0.3">
      <c r="G4650" s="4"/>
      <c r="H4650" s="4"/>
    </row>
    <row r="4651" spans="7:8" x14ac:dyDescent="0.3">
      <c r="G4651" s="4"/>
      <c r="H4651" s="4"/>
    </row>
    <row r="4652" spans="7:8" x14ac:dyDescent="0.3">
      <c r="G4652" s="4"/>
      <c r="H4652" s="4"/>
    </row>
    <row r="4653" spans="7:8" x14ac:dyDescent="0.3">
      <c r="G4653" s="4"/>
      <c r="H4653" s="4"/>
    </row>
    <row r="4654" spans="7:8" x14ac:dyDescent="0.3">
      <c r="G4654" s="4"/>
      <c r="H4654" s="4"/>
    </row>
    <row r="4655" spans="7:8" x14ac:dyDescent="0.3">
      <c r="G4655" s="4"/>
      <c r="H4655" s="4"/>
    </row>
    <row r="4656" spans="7:8" x14ac:dyDescent="0.3">
      <c r="G4656" s="4"/>
      <c r="H4656" s="4"/>
    </row>
    <row r="4657" spans="7:8" x14ac:dyDescent="0.3">
      <c r="G4657" s="4"/>
      <c r="H4657" s="4"/>
    </row>
    <row r="4658" spans="7:8" x14ac:dyDescent="0.3">
      <c r="G4658" s="4"/>
      <c r="H4658" s="4"/>
    </row>
    <row r="4659" spans="7:8" x14ac:dyDescent="0.3">
      <c r="G4659" s="4"/>
      <c r="H4659" s="4"/>
    </row>
    <row r="4660" spans="7:8" x14ac:dyDescent="0.3">
      <c r="G4660" s="4"/>
      <c r="H4660" s="4"/>
    </row>
    <row r="4661" spans="7:8" x14ac:dyDescent="0.3">
      <c r="G4661" s="4"/>
      <c r="H4661" s="4"/>
    </row>
    <row r="4662" spans="7:8" x14ac:dyDescent="0.3">
      <c r="G4662" s="4"/>
      <c r="H4662" s="4"/>
    </row>
    <row r="4663" spans="7:8" x14ac:dyDescent="0.3">
      <c r="G4663" s="4"/>
      <c r="H4663" s="4"/>
    </row>
    <row r="4664" spans="7:8" x14ac:dyDescent="0.3">
      <c r="G4664" s="4"/>
      <c r="H4664" s="4"/>
    </row>
    <row r="4665" spans="7:8" x14ac:dyDescent="0.3">
      <c r="G4665" s="4"/>
      <c r="H4665" s="4"/>
    </row>
    <row r="4666" spans="7:8" x14ac:dyDescent="0.3">
      <c r="G4666" s="4"/>
      <c r="H4666" s="4"/>
    </row>
    <row r="4667" spans="7:8" x14ac:dyDescent="0.3">
      <c r="G4667" s="4"/>
      <c r="H4667" s="4"/>
    </row>
    <row r="4668" spans="7:8" x14ac:dyDescent="0.3">
      <c r="G4668" s="4"/>
      <c r="H4668" s="4"/>
    </row>
    <row r="4669" spans="7:8" x14ac:dyDescent="0.3">
      <c r="G4669" s="4"/>
      <c r="H4669" s="4"/>
    </row>
    <row r="4670" spans="7:8" x14ac:dyDescent="0.3">
      <c r="G4670" s="4"/>
      <c r="H4670" s="4"/>
    </row>
    <row r="4671" spans="7:8" x14ac:dyDescent="0.3">
      <c r="G4671" s="4"/>
      <c r="H4671" s="4"/>
    </row>
    <row r="4672" spans="7:8" x14ac:dyDescent="0.3">
      <c r="G4672" s="4"/>
      <c r="H4672" s="4"/>
    </row>
    <row r="4673" spans="7:8" x14ac:dyDescent="0.3">
      <c r="G4673" s="4"/>
      <c r="H4673" s="4"/>
    </row>
    <row r="4674" spans="7:8" x14ac:dyDescent="0.3">
      <c r="G4674" s="4"/>
      <c r="H4674" s="4"/>
    </row>
    <row r="4675" spans="7:8" x14ac:dyDescent="0.3">
      <c r="G4675" s="4"/>
      <c r="H4675" s="4"/>
    </row>
    <row r="4676" spans="7:8" x14ac:dyDescent="0.3">
      <c r="G4676" s="4"/>
      <c r="H4676" s="4"/>
    </row>
    <row r="4677" spans="7:8" x14ac:dyDescent="0.3">
      <c r="G4677" s="4"/>
      <c r="H4677" s="4"/>
    </row>
    <row r="4678" spans="7:8" x14ac:dyDescent="0.3">
      <c r="G4678" s="4"/>
      <c r="H4678" s="4"/>
    </row>
    <row r="4679" spans="7:8" x14ac:dyDescent="0.3">
      <c r="G4679" s="4"/>
      <c r="H4679" s="4"/>
    </row>
    <row r="4680" spans="7:8" x14ac:dyDescent="0.3">
      <c r="G4680" s="4"/>
      <c r="H4680" s="4"/>
    </row>
    <row r="4681" spans="7:8" x14ac:dyDescent="0.3">
      <c r="G4681" s="4"/>
      <c r="H4681" s="4"/>
    </row>
    <row r="4682" spans="7:8" x14ac:dyDescent="0.3">
      <c r="G4682" s="4"/>
      <c r="H4682" s="4"/>
    </row>
    <row r="4683" spans="7:8" x14ac:dyDescent="0.3">
      <c r="G4683" s="4"/>
      <c r="H4683" s="4"/>
    </row>
    <row r="4684" spans="7:8" x14ac:dyDescent="0.3">
      <c r="G4684" s="4"/>
      <c r="H4684" s="4"/>
    </row>
    <row r="4685" spans="7:8" x14ac:dyDescent="0.3">
      <c r="G4685" s="4"/>
      <c r="H4685" s="4"/>
    </row>
    <row r="4686" spans="7:8" x14ac:dyDescent="0.3">
      <c r="G4686" s="4"/>
      <c r="H4686" s="4"/>
    </row>
    <row r="4687" spans="7:8" x14ac:dyDescent="0.3">
      <c r="G4687" s="4"/>
      <c r="H4687" s="4"/>
    </row>
    <row r="4688" spans="7:8" x14ac:dyDescent="0.3">
      <c r="G4688" s="4"/>
      <c r="H4688" s="4"/>
    </row>
    <row r="4689" spans="7:8" x14ac:dyDescent="0.3">
      <c r="G4689" s="4"/>
      <c r="H4689" s="4"/>
    </row>
    <row r="4690" spans="7:8" x14ac:dyDescent="0.3">
      <c r="G4690" s="4"/>
      <c r="H4690" s="4"/>
    </row>
    <row r="4691" spans="7:8" x14ac:dyDescent="0.3">
      <c r="G4691" s="4"/>
      <c r="H4691" s="4"/>
    </row>
    <row r="4692" spans="7:8" x14ac:dyDescent="0.3">
      <c r="G4692" s="4"/>
      <c r="H4692" s="4"/>
    </row>
    <row r="4693" spans="7:8" x14ac:dyDescent="0.3">
      <c r="G4693" s="4"/>
      <c r="H4693" s="4"/>
    </row>
    <row r="4694" spans="7:8" x14ac:dyDescent="0.3">
      <c r="G4694" s="4"/>
      <c r="H4694" s="4"/>
    </row>
    <row r="4695" spans="7:8" x14ac:dyDescent="0.3">
      <c r="G4695" s="4"/>
      <c r="H4695" s="4"/>
    </row>
    <row r="4696" spans="7:8" x14ac:dyDescent="0.3">
      <c r="G4696" s="4"/>
      <c r="H4696" s="4"/>
    </row>
    <row r="4697" spans="7:8" x14ac:dyDescent="0.3">
      <c r="G4697" s="4"/>
      <c r="H4697" s="4"/>
    </row>
    <row r="4698" spans="7:8" x14ac:dyDescent="0.3">
      <c r="G4698" s="4"/>
      <c r="H4698" s="4"/>
    </row>
    <row r="4699" spans="7:8" x14ac:dyDescent="0.3">
      <c r="G4699" s="4"/>
      <c r="H4699" s="4"/>
    </row>
    <row r="4700" spans="7:8" x14ac:dyDescent="0.3">
      <c r="G4700" s="4"/>
      <c r="H4700" s="4"/>
    </row>
    <row r="4701" spans="7:8" x14ac:dyDescent="0.3">
      <c r="G4701" s="4"/>
      <c r="H4701" s="4"/>
    </row>
    <row r="4702" spans="7:8" x14ac:dyDescent="0.3">
      <c r="G4702" s="4"/>
      <c r="H4702" s="4"/>
    </row>
    <row r="4703" spans="7:8" x14ac:dyDescent="0.3">
      <c r="G4703" s="4"/>
      <c r="H4703" s="4"/>
    </row>
    <row r="4704" spans="7:8" x14ac:dyDescent="0.3">
      <c r="G4704" s="4"/>
      <c r="H4704" s="4"/>
    </row>
    <row r="4705" spans="7:8" x14ac:dyDescent="0.3">
      <c r="G4705" s="4"/>
      <c r="H4705" s="4"/>
    </row>
    <row r="4706" spans="7:8" x14ac:dyDescent="0.3">
      <c r="G4706" s="4"/>
      <c r="H4706" s="4"/>
    </row>
    <row r="4707" spans="7:8" x14ac:dyDescent="0.3">
      <c r="G4707" s="4"/>
      <c r="H4707" s="4"/>
    </row>
    <row r="4708" spans="7:8" x14ac:dyDescent="0.3">
      <c r="G4708" s="4"/>
      <c r="H4708" s="4"/>
    </row>
    <row r="4709" spans="7:8" x14ac:dyDescent="0.3">
      <c r="G4709" s="4"/>
      <c r="H4709" s="4"/>
    </row>
    <row r="4710" spans="7:8" x14ac:dyDescent="0.3">
      <c r="G4710" s="4"/>
      <c r="H4710" s="4"/>
    </row>
    <row r="4711" spans="7:8" x14ac:dyDescent="0.3">
      <c r="G4711" s="4"/>
      <c r="H4711" s="4"/>
    </row>
    <row r="4712" spans="7:8" x14ac:dyDescent="0.3">
      <c r="G4712" s="4"/>
      <c r="H4712" s="4"/>
    </row>
    <row r="4713" spans="7:8" x14ac:dyDescent="0.3">
      <c r="G4713" s="4"/>
      <c r="H4713" s="4"/>
    </row>
    <row r="4714" spans="7:8" x14ac:dyDescent="0.3">
      <c r="G4714" s="4"/>
      <c r="H4714" s="4"/>
    </row>
    <row r="4715" spans="7:8" x14ac:dyDescent="0.3">
      <c r="G4715" s="4"/>
      <c r="H4715" s="4"/>
    </row>
    <row r="4716" spans="7:8" x14ac:dyDescent="0.3">
      <c r="G4716" s="4"/>
      <c r="H4716" s="4"/>
    </row>
    <row r="4717" spans="7:8" x14ac:dyDescent="0.3">
      <c r="G4717" s="4"/>
      <c r="H4717" s="4"/>
    </row>
    <row r="4718" spans="7:8" x14ac:dyDescent="0.3">
      <c r="G4718" s="4"/>
      <c r="H4718" s="4"/>
    </row>
    <row r="4719" spans="7:8" x14ac:dyDescent="0.3">
      <c r="G4719" s="4"/>
      <c r="H4719" s="4"/>
    </row>
    <row r="4720" spans="7:8" x14ac:dyDescent="0.3">
      <c r="G4720" s="4"/>
      <c r="H4720" s="4"/>
    </row>
    <row r="4721" spans="7:8" x14ac:dyDescent="0.3">
      <c r="G4721" s="4"/>
      <c r="H4721" s="4"/>
    </row>
    <row r="4722" spans="7:8" x14ac:dyDescent="0.3">
      <c r="G4722" s="4"/>
      <c r="H4722" s="4"/>
    </row>
    <row r="4723" spans="7:8" x14ac:dyDescent="0.3">
      <c r="G4723" s="4"/>
      <c r="H4723" s="4"/>
    </row>
    <row r="4724" spans="7:8" x14ac:dyDescent="0.3">
      <c r="G4724" s="4"/>
      <c r="H4724" s="4"/>
    </row>
    <row r="4725" spans="7:8" x14ac:dyDescent="0.3">
      <c r="G4725" s="4"/>
      <c r="H4725" s="4"/>
    </row>
    <row r="4726" spans="7:8" x14ac:dyDescent="0.3">
      <c r="G4726" s="4"/>
      <c r="H4726" s="4"/>
    </row>
    <row r="4727" spans="7:8" x14ac:dyDescent="0.3">
      <c r="G4727" s="4"/>
      <c r="H4727" s="4"/>
    </row>
    <row r="4728" spans="7:8" x14ac:dyDescent="0.3">
      <c r="G4728" s="4"/>
      <c r="H4728" s="4"/>
    </row>
    <row r="4729" spans="7:8" x14ac:dyDescent="0.3">
      <c r="G4729" s="4"/>
      <c r="H4729" s="4"/>
    </row>
    <row r="4730" spans="7:8" x14ac:dyDescent="0.3">
      <c r="G4730" s="4"/>
      <c r="H4730" s="4"/>
    </row>
    <row r="4731" spans="7:8" x14ac:dyDescent="0.3">
      <c r="G4731" s="4"/>
      <c r="H4731" s="4"/>
    </row>
    <row r="4732" spans="7:8" x14ac:dyDescent="0.3">
      <c r="G4732" s="4"/>
      <c r="H4732" s="4"/>
    </row>
    <row r="4733" spans="7:8" x14ac:dyDescent="0.3">
      <c r="G4733" s="4"/>
      <c r="H4733" s="4"/>
    </row>
    <row r="4734" spans="7:8" x14ac:dyDescent="0.3">
      <c r="G4734" s="4"/>
      <c r="H4734" s="4"/>
    </row>
    <row r="4735" spans="7:8" x14ac:dyDescent="0.3">
      <c r="G4735" s="4"/>
      <c r="H4735" s="4"/>
    </row>
    <row r="4736" spans="7:8" x14ac:dyDescent="0.3">
      <c r="G4736" s="4"/>
      <c r="H4736" s="4"/>
    </row>
    <row r="4737" spans="7:8" x14ac:dyDescent="0.3">
      <c r="G4737" s="4"/>
      <c r="H4737" s="4"/>
    </row>
    <row r="4738" spans="7:8" x14ac:dyDescent="0.3">
      <c r="G4738" s="4"/>
      <c r="H4738" s="4"/>
    </row>
    <row r="4739" spans="7:8" x14ac:dyDescent="0.3">
      <c r="G4739" s="4"/>
      <c r="H4739" s="4"/>
    </row>
    <row r="4740" spans="7:8" x14ac:dyDescent="0.3">
      <c r="G4740" s="4"/>
      <c r="H4740" s="4"/>
    </row>
    <row r="4741" spans="7:8" x14ac:dyDescent="0.3">
      <c r="G4741" s="4"/>
      <c r="H4741" s="4"/>
    </row>
    <row r="4742" spans="7:8" x14ac:dyDescent="0.3">
      <c r="G4742" s="4"/>
      <c r="H4742" s="4"/>
    </row>
    <row r="4743" spans="7:8" x14ac:dyDescent="0.3">
      <c r="G4743" s="4"/>
      <c r="H4743" s="4"/>
    </row>
    <row r="4744" spans="7:8" x14ac:dyDescent="0.3">
      <c r="G4744" s="4"/>
      <c r="H4744" s="4"/>
    </row>
    <row r="4745" spans="7:8" x14ac:dyDescent="0.3">
      <c r="G4745" s="4"/>
      <c r="H4745" s="4"/>
    </row>
    <row r="4746" spans="7:8" x14ac:dyDescent="0.3">
      <c r="G4746" s="4"/>
      <c r="H4746" s="4"/>
    </row>
    <row r="4747" spans="7:8" x14ac:dyDescent="0.3">
      <c r="G4747" s="4"/>
      <c r="H4747" s="4"/>
    </row>
    <row r="4748" spans="7:8" x14ac:dyDescent="0.3">
      <c r="G4748" s="4"/>
      <c r="H4748" s="4"/>
    </row>
    <row r="4749" spans="7:8" x14ac:dyDescent="0.3">
      <c r="G4749" s="4"/>
      <c r="H4749" s="4"/>
    </row>
    <row r="4750" spans="7:8" x14ac:dyDescent="0.3">
      <c r="G4750" s="4"/>
      <c r="H4750" s="4"/>
    </row>
    <row r="4751" spans="7:8" x14ac:dyDescent="0.3">
      <c r="G4751" s="4"/>
      <c r="H4751" s="4"/>
    </row>
    <row r="4752" spans="7:8" x14ac:dyDescent="0.3">
      <c r="G4752" s="4"/>
      <c r="H4752" s="4"/>
    </row>
    <row r="4753" spans="7:8" x14ac:dyDescent="0.3">
      <c r="G4753" s="4"/>
      <c r="H4753" s="4"/>
    </row>
    <row r="4754" spans="7:8" x14ac:dyDescent="0.3">
      <c r="G4754" s="4"/>
      <c r="H4754" s="4"/>
    </row>
    <row r="4755" spans="7:8" x14ac:dyDescent="0.3">
      <c r="G4755" s="4"/>
      <c r="H4755" s="4"/>
    </row>
    <row r="4756" spans="7:8" x14ac:dyDescent="0.3">
      <c r="G4756" s="4"/>
      <c r="H4756" s="4"/>
    </row>
    <row r="4757" spans="7:8" x14ac:dyDescent="0.3">
      <c r="G4757" s="4"/>
      <c r="H4757" s="4"/>
    </row>
    <row r="4758" spans="7:8" x14ac:dyDescent="0.3">
      <c r="G4758" s="4"/>
      <c r="H4758" s="4"/>
    </row>
    <row r="4759" spans="7:8" x14ac:dyDescent="0.3">
      <c r="G4759" s="4"/>
      <c r="H4759" s="4"/>
    </row>
    <row r="4760" spans="7:8" x14ac:dyDescent="0.3">
      <c r="G4760" s="4"/>
      <c r="H4760" s="4"/>
    </row>
    <row r="4761" spans="7:8" x14ac:dyDescent="0.3">
      <c r="G4761" s="4"/>
      <c r="H4761" s="4"/>
    </row>
    <row r="4762" spans="7:8" x14ac:dyDescent="0.3">
      <c r="G4762" s="4"/>
      <c r="H4762" s="4"/>
    </row>
    <row r="4763" spans="7:8" x14ac:dyDescent="0.3">
      <c r="G4763" s="4"/>
      <c r="H4763" s="4"/>
    </row>
    <row r="4764" spans="7:8" x14ac:dyDescent="0.3">
      <c r="G4764" s="4"/>
      <c r="H4764" s="4"/>
    </row>
    <row r="4765" spans="7:8" x14ac:dyDescent="0.3">
      <c r="G4765" s="4"/>
      <c r="H4765" s="4"/>
    </row>
    <row r="4766" spans="7:8" x14ac:dyDescent="0.3">
      <c r="G4766" s="4"/>
      <c r="H4766" s="4"/>
    </row>
    <row r="4767" spans="7:8" x14ac:dyDescent="0.3">
      <c r="G4767" s="4"/>
      <c r="H4767" s="4"/>
    </row>
    <row r="4768" spans="7:8" x14ac:dyDescent="0.3">
      <c r="G4768" s="4"/>
      <c r="H4768" s="4"/>
    </row>
    <row r="4769" spans="7:8" x14ac:dyDescent="0.3">
      <c r="G4769" s="4"/>
      <c r="H4769" s="4"/>
    </row>
    <row r="4770" spans="7:8" x14ac:dyDescent="0.3">
      <c r="G4770" s="4"/>
      <c r="H4770" s="4"/>
    </row>
    <row r="4771" spans="7:8" x14ac:dyDescent="0.3">
      <c r="G4771" s="4"/>
      <c r="H4771" s="4"/>
    </row>
    <row r="4772" spans="7:8" x14ac:dyDescent="0.3">
      <c r="G4772" s="4"/>
      <c r="H4772" s="4"/>
    </row>
    <row r="4773" spans="7:8" x14ac:dyDescent="0.3">
      <c r="G4773" s="4"/>
      <c r="H4773" s="4"/>
    </row>
    <row r="4774" spans="7:8" x14ac:dyDescent="0.3">
      <c r="G4774" s="4"/>
      <c r="H4774" s="4"/>
    </row>
    <row r="4775" spans="7:8" x14ac:dyDescent="0.3">
      <c r="G4775" s="4"/>
      <c r="H4775" s="4"/>
    </row>
    <row r="4776" spans="7:8" x14ac:dyDescent="0.3">
      <c r="G4776" s="4"/>
      <c r="H4776" s="4"/>
    </row>
    <row r="4777" spans="7:8" x14ac:dyDescent="0.3">
      <c r="G4777" s="4"/>
      <c r="H4777" s="4"/>
    </row>
    <row r="4778" spans="7:8" x14ac:dyDescent="0.3">
      <c r="G4778" s="4"/>
      <c r="H4778" s="4"/>
    </row>
    <row r="4779" spans="7:8" x14ac:dyDescent="0.3">
      <c r="G4779" s="4"/>
      <c r="H4779" s="4"/>
    </row>
    <row r="4780" spans="7:8" x14ac:dyDescent="0.3">
      <c r="G4780" s="4"/>
      <c r="H4780" s="4"/>
    </row>
    <row r="4781" spans="7:8" x14ac:dyDescent="0.3">
      <c r="G4781" s="4"/>
      <c r="H4781" s="4"/>
    </row>
    <row r="4782" spans="7:8" x14ac:dyDescent="0.3">
      <c r="G4782" s="4"/>
      <c r="H4782" s="4"/>
    </row>
    <row r="4783" spans="7:8" x14ac:dyDescent="0.3">
      <c r="G4783" s="4"/>
      <c r="H4783" s="4"/>
    </row>
    <row r="4784" spans="7:8" x14ac:dyDescent="0.3">
      <c r="G4784" s="4"/>
      <c r="H4784" s="4"/>
    </row>
    <row r="4785" spans="7:8" x14ac:dyDescent="0.3">
      <c r="G4785" s="4"/>
      <c r="H4785" s="4"/>
    </row>
    <row r="4786" spans="7:8" x14ac:dyDescent="0.3">
      <c r="G4786" s="4"/>
      <c r="H4786" s="4"/>
    </row>
    <row r="4787" spans="7:8" x14ac:dyDescent="0.3">
      <c r="G4787" s="4"/>
      <c r="H4787" s="4"/>
    </row>
    <row r="4788" spans="7:8" x14ac:dyDescent="0.3">
      <c r="G4788" s="4"/>
      <c r="H4788" s="4"/>
    </row>
    <row r="4789" spans="7:8" x14ac:dyDescent="0.3">
      <c r="G4789" s="4"/>
      <c r="H4789" s="4"/>
    </row>
    <row r="4790" spans="7:8" x14ac:dyDescent="0.3">
      <c r="G4790" s="4"/>
      <c r="H4790" s="4"/>
    </row>
    <row r="4791" spans="7:8" x14ac:dyDescent="0.3">
      <c r="G4791" s="4"/>
      <c r="H4791" s="4"/>
    </row>
    <row r="4792" spans="7:8" x14ac:dyDescent="0.3">
      <c r="G4792" s="4"/>
      <c r="H4792" s="4"/>
    </row>
    <row r="4793" spans="7:8" x14ac:dyDescent="0.3">
      <c r="G4793" s="4"/>
      <c r="H4793" s="4"/>
    </row>
    <row r="4794" spans="7:8" x14ac:dyDescent="0.3">
      <c r="G4794" s="4"/>
      <c r="H4794" s="4"/>
    </row>
    <row r="4795" spans="7:8" x14ac:dyDescent="0.3">
      <c r="G4795" s="4"/>
      <c r="H4795" s="4"/>
    </row>
    <row r="4796" spans="7:8" x14ac:dyDescent="0.3">
      <c r="G4796" s="4"/>
      <c r="H4796" s="4"/>
    </row>
    <row r="4797" spans="7:8" x14ac:dyDescent="0.3">
      <c r="G4797" s="4"/>
      <c r="H4797" s="4"/>
    </row>
    <row r="4798" spans="7:8" x14ac:dyDescent="0.3">
      <c r="G4798" s="4"/>
      <c r="H4798" s="4"/>
    </row>
    <row r="4799" spans="7:8" x14ac:dyDescent="0.3">
      <c r="G4799" s="4"/>
      <c r="H4799" s="4"/>
    </row>
    <row r="4800" spans="7:8" x14ac:dyDescent="0.3">
      <c r="G4800" s="4"/>
      <c r="H4800" s="4"/>
    </row>
    <row r="4801" spans="7:8" x14ac:dyDescent="0.3">
      <c r="G4801" s="4"/>
      <c r="H4801" s="4"/>
    </row>
    <row r="4802" spans="7:8" x14ac:dyDescent="0.3">
      <c r="G4802" s="4"/>
      <c r="H4802" s="4"/>
    </row>
    <row r="4803" spans="7:8" x14ac:dyDescent="0.3">
      <c r="G4803" s="4"/>
      <c r="H4803" s="4"/>
    </row>
    <row r="4804" spans="7:8" x14ac:dyDescent="0.3">
      <c r="G4804" s="4"/>
      <c r="H4804" s="4"/>
    </row>
    <row r="4805" spans="7:8" x14ac:dyDescent="0.3">
      <c r="G4805" s="4"/>
      <c r="H4805" s="4"/>
    </row>
    <row r="4806" spans="7:8" x14ac:dyDescent="0.3">
      <c r="G4806" s="4"/>
      <c r="H4806" s="4"/>
    </row>
    <row r="4807" spans="7:8" x14ac:dyDescent="0.3">
      <c r="G4807" s="4"/>
      <c r="H4807" s="4"/>
    </row>
    <row r="4808" spans="7:8" x14ac:dyDescent="0.3">
      <c r="G4808" s="4"/>
      <c r="H4808" s="4"/>
    </row>
    <row r="4809" spans="7:8" x14ac:dyDescent="0.3">
      <c r="G4809" s="4"/>
      <c r="H4809" s="4"/>
    </row>
    <row r="4810" spans="7:8" x14ac:dyDescent="0.3">
      <c r="G4810" s="4"/>
      <c r="H4810" s="4"/>
    </row>
    <row r="4811" spans="7:8" x14ac:dyDescent="0.3">
      <c r="G4811" s="4"/>
      <c r="H4811" s="4"/>
    </row>
    <row r="4812" spans="7:8" x14ac:dyDescent="0.3">
      <c r="G4812" s="4"/>
      <c r="H4812" s="4"/>
    </row>
    <row r="4813" spans="7:8" x14ac:dyDescent="0.3">
      <c r="G4813" s="4"/>
      <c r="H4813" s="4"/>
    </row>
    <row r="4814" spans="7:8" x14ac:dyDescent="0.3">
      <c r="G4814" s="4"/>
      <c r="H4814" s="4"/>
    </row>
    <row r="4815" spans="7:8" x14ac:dyDescent="0.3">
      <c r="G4815" s="4"/>
      <c r="H4815" s="4"/>
    </row>
    <row r="4816" spans="7:8" x14ac:dyDescent="0.3">
      <c r="G4816" s="4"/>
      <c r="H4816" s="4"/>
    </row>
    <row r="4817" spans="7:8" x14ac:dyDescent="0.3">
      <c r="G4817" s="4"/>
      <c r="H4817" s="4"/>
    </row>
    <row r="4818" spans="7:8" x14ac:dyDescent="0.3">
      <c r="G4818" s="4"/>
      <c r="H4818" s="4"/>
    </row>
    <row r="4819" spans="7:8" x14ac:dyDescent="0.3">
      <c r="G4819" s="4"/>
      <c r="H4819" s="4"/>
    </row>
    <row r="4820" spans="7:8" x14ac:dyDescent="0.3">
      <c r="G4820" s="4"/>
      <c r="H4820" s="4"/>
    </row>
    <row r="4821" spans="7:8" x14ac:dyDescent="0.3">
      <c r="G4821" s="4"/>
      <c r="H4821" s="4"/>
    </row>
    <row r="4822" spans="7:8" x14ac:dyDescent="0.3">
      <c r="G4822" s="4"/>
      <c r="H4822" s="4"/>
    </row>
    <row r="4823" spans="7:8" x14ac:dyDescent="0.3">
      <c r="G4823" s="4"/>
      <c r="H4823" s="4"/>
    </row>
    <row r="4824" spans="7:8" x14ac:dyDescent="0.3">
      <c r="G4824" s="4"/>
      <c r="H4824" s="4"/>
    </row>
    <row r="4825" spans="7:8" x14ac:dyDescent="0.3">
      <c r="G4825" s="4"/>
      <c r="H4825" s="4"/>
    </row>
    <row r="4826" spans="7:8" x14ac:dyDescent="0.3">
      <c r="G4826" s="4"/>
      <c r="H4826" s="4"/>
    </row>
    <row r="4827" spans="7:8" x14ac:dyDescent="0.3">
      <c r="G4827" s="4"/>
      <c r="H4827" s="4"/>
    </row>
    <row r="4828" spans="7:8" x14ac:dyDescent="0.3">
      <c r="G4828" s="4"/>
      <c r="H4828" s="4"/>
    </row>
    <row r="4829" spans="7:8" x14ac:dyDescent="0.3">
      <c r="G4829" s="4"/>
      <c r="H4829" s="4"/>
    </row>
    <row r="4830" spans="7:8" x14ac:dyDescent="0.3">
      <c r="G4830" s="4"/>
      <c r="H4830" s="4"/>
    </row>
    <row r="4831" spans="7:8" x14ac:dyDescent="0.3">
      <c r="G4831" s="4"/>
      <c r="H4831" s="4"/>
    </row>
    <row r="4832" spans="7:8" x14ac:dyDescent="0.3">
      <c r="G4832" s="4"/>
      <c r="H4832" s="4"/>
    </row>
    <row r="4833" spans="7:8" x14ac:dyDescent="0.3">
      <c r="G4833" s="4"/>
      <c r="H4833" s="4"/>
    </row>
    <row r="4834" spans="7:8" x14ac:dyDescent="0.3">
      <c r="G4834" s="4"/>
      <c r="H4834" s="4"/>
    </row>
    <row r="4835" spans="7:8" x14ac:dyDescent="0.3">
      <c r="G4835" s="4"/>
      <c r="H4835" s="4"/>
    </row>
    <row r="4836" spans="7:8" x14ac:dyDescent="0.3">
      <c r="G4836" s="4"/>
      <c r="H4836" s="4"/>
    </row>
    <row r="4837" spans="7:8" x14ac:dyDescent="0.3">
      <c r="G4837" s="4"/>
      <c r="H4837" s="4"/>
    </row>
    <row r="4838" spans="7:8" x14ac:dyDescent="0.3">
      <c r="G4838" s="4"/>
      <c r="H4838" s="4"/>
    </row>
    <row r="4839" spans="7:8" x14ac:dyDescent="0.3">
      <c r="G4839" s="4"/>
      <c r="H4839" s="4"/>
    </row>
    <row r="4840" spans="7:8" x14ac:dyDescent="0.3">
      <c r="G4840" s="4"/>
      <c r="H4840" s="4"/>
    </row>
    <row r="4841" spans="7:8" x14ac:dyDescent="0.3">
      <c r="G4841" s="4"/>
      <c r="H4841" s="4"/>
    </row>
    <row r="4842" spans="7:8" x14ac:dyDescent="0.3">
      <c r="G4842" s="4"/>
      <c r="H4842" s="4"/>
    </row>
    <row r="4843" spans="7:8" x14ac:dyDescent="0.3">
      <c r="G4843" s="4"/>
      <c r="H4843" s="4"/>
    </row>
    <row r="4844" spans="7:8" x14ac:dyDescent="0.3">
      <c r="G4844" s="4"/>
      <c r="H4844" s="4"/>
    </row>
    <row r="4845" spans="7:8" x14ac:dyDescent="0.3">
      <c r="G4845" s="4"/>
      <c r="H4845" s="4"/>
    </row>
    <row r="4846" spans="7:8" x14ac:dyDescent="0.3">
      <c r="G4846" s="4"/>
      <c r="H4846" s="4"/>
    </row>
    <row r="4847" spans="7:8" x14ac:dyDescent="0.3">
      <c r="G4847" s="4"/>
      <c r="H4847" s="4"/>
    </row>
    <row r="4848" spans="7:8" x14ac:dyDescent="0.3">
      <c r="G4848" s="4"/>
      <c r="H4848" s="4"/>
    </row>
    <row r="4849" spans="7:8" x14ac:dyDescent="0.3">
      <c r="G4849" s="4"/>
      <c r="H4849" s="4"/>
    </row>
    <row r="4850" spans="7:8" x14ac:dyDescent="0.3">
      <c r="G4850" s="4"/>
      <c r="H4850" s="4"/>
    </row>
    <row r="4851" spans="7:8" x14ac:dyDescent="0.3">
      <c r="G4851" s="4"/>
      <c r="H4851" s="4"/>
    </row>
    <row r="4852" spans="7:8" x14ac:dyDescent="0.3">
      <c r="G4852" s="4"/>
      <c r="H4852" s="4"/>
    </row>
    <row r="4853" spans="7:8" x14ac:dyDescent="0.3">
      <c r="G4853" s="4"/>
      <c r="H4853" s="4"/>
    </row>
    <row r="4854" spans="7:8" x14ac:dyDescent="0.3">
      <c r="G4854" s="4"/>
      <c r="H4854" s="4"/>
    </row>
    <row r="4855" spans="7:8" x14ac:dyDescent="0.3">
      <c r="G4855" s="4"/>
      <c r="H4855" s="4"/>
    </row>
    <row r="4856" spans="7:8" x14ac:dyDescent="0.3">
      <c r="G4856" s="4"/>
      <c r="H4856" s="4"/>
    </row>
    <row r="4857" spans="7:8" x14ac:dyDescent="0.3">
      <c r="G4857" s="4"/>
      <c r="H4857" s="4"/>
    </row>
    <row r="4858" spans="7:8" x14ac:dyDescent="0.3">
      <c r="G4858" s="4"/>
      <c r="H4858" s="4"/>
    </row>
    <row r="4859" spans="7:8" x14ac:dyDescent="0.3">
      <c r="G4859" s="4"/>
      <c r="H4859" s="4"/>
    </row>
    <row r="4860" spans="7:8" x14ac:dyDescent="0.3">
      <c r="G4860" s="4"/>
      <c r="H4860" s="4"/>
    </row>
    <row r="4861" spans="7:8" x14ac:dyDescent="0.3">
      <c r="G4861" s="4"/>
      <c r="H4861" s="4"/>
    </row>
    <row r="4862" spans="7:8" x14ac:dyDescent="0.3">
      <c r="G4862" s="4"/>
      <c r="H4862" s="4"/>
    </row>
    <row r="4863" spans="7:8" x14ac:dyDescent="0.3">
      <c r="G4863" s="4"/>
      <c r="H4863" s="4"/>
    </row>
    <row r="4864" spans="7:8" x14ac:dyDescent="0.3">
      <c r="G4864" s="4"/>
      <c r="H4864" s="4"/>
    </row>
    <row r="4865" spans="7:8" x14ac:dyDescent="0.3">
      <c r="G4865" s="4"/>
      <c r="H4865" s="4"/>
    </row>
    <row r="4866" spans="7:8" x14ac:dyDescent="0.3">
      <c r="G4866" s="4"/>
      <c r="H4866" s="4"/>
    </row>
    <row r="4867" spans="7:8" x14ac:dyDescent="0.3">
      <c r="G4867" s="4"/>
      <c r="H4867" s="4"/>
    </row>
    <row r="4868" spans="7:8" x14ac:dyDescent="0.3">
      <c r="G4868" s="4"/>
      <c r="H4868" s="4"/>
    </row>
    <row r="4869" spans="7:8" x14ac:dyDescent="0.3">
      <c r="G4869" s="4"/>
      <c r="H4869" s="4"/>
    </row>
    <row r="4870" spans="7:8" x14ac:dyDescent="0.3">
      <c r="G4870" s="4"/>
      <c r="H4870" s="4"/>
    </row>
    <row r="4871" spans="7:8" x14ac:dyDescent="0.3">
      <c r="G4871" s="4"/>
      <c r="H4871" s="4"/>
    </row>
    <row r="4872" spans="7:8" x14ac:dyDescent="0.3">
      <c r="G4872" s="4"/>
      <c r="H4872" s="4"/>
    </row>
    <row r="4873" spans="7:8" x14ac:dyDescent="0.3">
      <c r="G4873" s="4"/>
      <c r="H4873" s="4"/>
    </row>
    <row r="4874" spans="7:8" x14ac:dyDescent="0.3">
      <c r="G4874" s="4"/>
      <c r="H4874" s="4"/>
    </row>
    <row r="4875" spans="7:8" x14ac:dyDescent="0.3">
      <c r="G4875" s="4"/>
      <c r="H4875" s="4"/>
    </row>
    <row r="4876" spans="7:8" x14ac:dyDescent="0.3">
      <c r="G4876" s="4"/>
      <c r="H4876" s="4"/>
    </row>
    <row r="4877" spans="7:8" x14ac:dyDescent="0.3">
      <c r="G4877" s="4"/>
      <c r="H4877" s="4"/>
    </row>
    <row r="4878" spans="7:8" x14ac:dyDescent="0.3">
      <c r="G4878" s="4"/>
      <c r="H4878" s="4"/>
    </row>
    <row r="4879" spans="7:8" x14ac:dyDescent="0.3">
      <c r="G4879" s="4"/>
      <c r="H4879" s="4"/>
    </row>
    <row r="4880" spans="7:8" x14ac:dyDescent="0.3">
      <c r="G4880" s="4"/>
      <c r="H4880" s="4"/>
    </row>
    <row r="4881" spans="7:8" x14ac:dyDescent="0.3">
      <c r="G4881" s="4"/>
      <c r="H4881" s="4"/>
    </row>
    <row r="4882" spans="7:8" x14ac:dyDescent="0.3">
      <c r="G4882" s="4"/>
      <c r="H4882" s="4"/>
    </row>
    <row r="4883" spans="7:8" x14ac:dyDescent="0.3">
      <c r="G4883" s="4"/>
      <c r="H4883" s="4"/>
    </row>
    <row r="4884" spans="7:8" x14ac:dyDescent="0.3">
      <c r="G4884" s="4"/>
      <c r="H4884" s="4"/>
    </row>
    <row r="4885" spans="7:8" x14ac:dyDescent="0.3">
      <c r="G4885" s="4"/>
      <c r="H4885" s="4"/>
    </row>
    <row r="4886" spans="7:8" x14ac:dyDescent="0.3">
      <c r="G4886" s="4"/>
      <c r="H4886" s="4"/>
    </row>
    <row r="4887" spans="7:8" x14ac:dyDescent="0.3">
      <c r="G4887" s="4"/>
      <c r="H4887" s="4"/>
    </row>
    <row r="4888" spans="7:8" x14ac:dyDescent="0.3">
      <c r="G4888" s="4"/>
      <c r="H4888" s="4"/>
    </row>
    <row r="4889" spans="7:8" x14ac:dyDescent="0.3">
      <c r="G4889" s="4"/>
      <c r="H4889" s="4"/>
    </row>
    <row r="4890" spans="7:8" x14ac:dyDescent="0.3">
      <c r="G4890" s="4"/>
      <c r="H4890" s="4"/>
    </row>
    <row r="4891" spans="7:8" x14ac:dyDescent="0.3">
      <c r="G4891" s="4"/>
      <c r="H4891" s="4"/>
    </row>
    <row r="4892" spans="7:8" x14ac:dyDescent="0.3">
      <c r="G4892" s="4"/>
      <c r="H4892" s="4"/>
    </row>
    <row r="4893" spans="7:8" x14ac:dyDescent="0.3">
      <c r="G4893" s="4"/>
      <c r="H4893" s="4"/>
    </row>
    <row r="4894" spans="7:8" x14ac:dyDescent="0.3">
      <c r="G4894" s="4"/>
      <c r="H4894" s="4"/>
    </row>
    <row r="4895" spans="7:8" x14ac:dyDescent="0.3">
      <c r="G4895" s="4"/>
      <c r="H4895" s="4"/>
    </row>
    <row r="4896" spans="7:8" x14ac:dyDescent="0.3">
      <c r="G4896" s="4"/>
      <c r="H4896" s="4"/>
    </row>
    <row r="4897" spans="7:8" x14ac:dyDescent="0.3">
      <c r="G4897" s="4"/>
      <c r="H4897" s="4"/>
    </row>
    <row r="4898" spans="7:8" x14ac:dyDescent="0.3">
      <c r="G4898" s="4"/>
      <c r="H4898" s="4"/>
    </row>
    <row r="4899" spans="7:8" x14ac:dyDescent="0.3">
      <c r="G4899" s="4"/>
      <c r="H4899" s="4"/>
    </row>
    <row r="4900" spans="7:8" x14ac:dyDescent="0.3">
      <c r="G4900" s="4"/>
      <c r="H4900" s="4"/>
    </row>
    <row r="4901" spans="7:8" x14ac:dyDescent="0.3">
      <c r="G4901" s="4"/>
      <c r="H4901" s="4"/>
    </row>
    <row r="4902" spans="7:8" x14ac:dyDescent="0.3">
      <c r="G4902" s="4"/>
      <c r="H4902" s="4"/>
    </row>
    <row r="4903" spans="7:8" x14ac:dyDescent="0.3">
      <c r="G4903" s="4"/>
      <c r="H4903" s="4"/>
    </row>
    <row r="4904" spans="7:8" x14ac:dyDescent="0.3">
      <c r="G4904" s="4"/>
      <c r="H4904" s="4"/>
    </row>
    <row r="4905" spans="7:8" x14ac:dyDescent="0.3">
      <c r="G4905" s="4"/>
      <c r="H4905" s="4"/>
    </row>
    <row r="4906" spans="7:8" x14ac:dyDescent="0.3">
      <c r="G4906" s="4"/>
      <c r="H4906" s="4"/>
    </row>
    <row r="4907" spans="7:8" x14ac:dyDescent="0.3">
      <c r="G4907" s="4"/>
      <c r="H4907" s="4"/>
    </row>
    <row r="4908" spans="7:8" x14ac:dyDescent="0.3">
      <c r="G4908" s="4"/>
      <c r="H4908" s="4"/>
    </row>
    <row r="4909" spans="7:8" x14ac:dyDescent="0.3">
      <c r="G4909" s="4"/>
      <c r="H4909" s="4"/>
    </row>
    <row r="4910" spans="7:8" x14ac:dyDescent="0.3">
      <c r="G4910" s="4"/>
      <c r="H4910" s="4"/>
    </row>
    <row r="4911" spans="7:8" x14ac:dyDescent="0.3">
      <c r="G4911" s="4"/>
      <c r="H4911" s="4"/>
    </row>
    <row r="4912" spans="7:8" x14ac:dyDescent="0.3">
      <c r="G4912" s="4"/>
      <c r="H4912" s="4"/>
    </row>
    <row r="4913" spans="7:8" x14ac:dyDescent="0.3">
      <c r="G4913" s="4"/>
      <c r="H4913" s="4"/>
    </row>
    <row r="4914" spans="7:8" x14ac:dyDescent="0.3">
      <c r="G4914" s="4"/>
      <c r="H4914" s="4"/>
    </row>
    <row r="4915" spans="7:8" x14ac:dyDescent="0.3">
      <c r="G4915" s="4"/>
      <c r="H4915" s="4"/>
    </row>
    <row r="4916" spans="7:8" x14ac:dyDescent="0.3">
      <c r="G4916" s="4"/>
      <c r="H4916" s="4"/>
    </row>
    <row r="4917" spans="7:8" x14ac:dyDescent="0.3">
      <c r="G4917" s="4"/>
      <c r="H4917" s="4"/>
    </row>
    <row r="4918" spans="7:8" x14ac:dyDescent="0.3">
      <c r="G4918" s="4"/>
      <c r="H4918" s="4"/>
    </row>
    <row r="4919" spans="7:8" x14ac:dyDescent="0.3">
      <c r="G4919" s="4"/>
      <c r="H4919" s="4"/>
    </row>
    <row r="4920" spans="7:8" x14ac:dyDescent="0.3">
      <c r="G4920" s="4"/>
      <c r="H4920" s="4"/>
    </row>
    <row r="4921" spans="7:8" x14ac:dyDescent="0.3">
      <c r="G4921" s="4"/>
      <c r="H4921" s="4"/>
    </row>
    <row r="4922" spans="7:8" x14ac:dyDescent="0.3">
      <c r="G4922" s="4"/>
      <c r="H4922" s="4"/>
    </row>
    <row r="4923" spans="7:8" x14ac:dyDescent="0.3">
      <c r="G4923" s="4"/>
      <c r="H4923" s="4"/>
    </row>
    <row r="4924" spans="7:8" x14ac:dyDescent="0.3">
      <c r="G4924" s="4"/>
      <c r="H4924" s="4"/>
    </row>
    <row r="4925" spans="7:8" x14ac:dyDescent="0.3">
      <c r="G4925" s="4"/>
      <c r="H4925" s="4"/>
    </row>
    <row r="4926" spans="7:8" x14ac:dyDescent="0.3">
      <c r="G4926" s="4"/>
      <c r="H4926" s="4"/>
    </row>
    <row r="4927" spans="7:8" x14ac:dyDescent="0.3">
      <c r="G4927" s="4"/>
      <c r="H4927" s="4"/>
    </row>
    <row r="4928" spans="7:8" x14ac:dyDescent="0.3">
      <c r="G4928" s="4"/>
      <c r="H4928" s="4"/>
    </row>
    <row r="4929" spans="7:8" x14ac:dyDescent="0.3">
      <c r="G4929" s="4"/>
      <c r="H4929" s="4"/>
    </row>
    <row r="4930" spans="7:8" x14ac:dyDescent="0.3">
      <c r="G4930" s="4"/>
      <c r="H4930" s="4"/>
    </row>
    <row r="4931" spans="7:8" x14ac:dyDescent="0.3">
      <c r="G4931" s="4"/>
      <c r="H4931" s="4"/>
    </row>
    <row r="4932" spans="7:8" x14ac:dyDescent="0.3">
      <c r="G4932" s="4"/>
      <c r="H4932" s="4"/>
    </row>
    <row r="4933" spans="7:8" x14ac:dyDescent="0.3">
      <c r="G4933" s="4"/>
      <c r="H4933" s="4"/>
    </row>
    <row r="4934" spans="7:8" x14ac:dyDescent="0.3">
      <c r="G4934" s="4"/>
      <c r="H4934" s="4"/>
    </row>
    <row r="4935" spans="7:8" x14ac:dyDescent="0.3">
      <c r="G4935" s="4"/>
      <c r="H4935" s="4"/>
    </row>
    <row r="4936" spans="7:8" x14ac:dyDescent="0.3">
      <c r="G4936" s="4"/>
      <c r="H4936" s="4"/>
    </row>
    <row r="4937" spans="7:8" x14ac:dyDescent="0.3">
      <c r="G4937" s="4"/>
      <c r="H4937" s="4"/>
    </row>
    <row r="4938" spans="7:8" x14ac:dyDescent="0.3">
      <c r="G4938" s="4"/>
      <c r="H4938" s="4"/>
    </row>
    <row r="4939" spans="7:8" x14ac:dyDescent="0.3">
      <c r="G4939" s="4"/>
      <c r="H4939" s="4"/>
    </row>
    <row r="4940" spans="7:8" x14ac:dyDescent="0.3">
      <c r="G4940" s="4"/>
      <c r="H4940" s="4"/>
    </row>
    <row r="4941" spans="7:8" x14ac:dyDescent="0.3">
      <c r="G4941" s="4"/>
      <c r="H4941" s="4"/>
    </row>
    <row r="4942" spans="7:8" x14ac:dyDescent="0.3">
      <c r="G4942" s="4"/>
      <c r="H4942" s="4"/>
    </row>
    <row r="4943" spans="7:8" x14ac:dyDescent="0.3">
      <c r="G4943" s="4"/>
      <c r="H4943" s="4"/>
    </row>
    <row r="4944" spans="7:8" x14ac:dyDescent="0.3">
      <c r="G4944" s="4"/>
      <c r="H4944" s="4"/>
    </row>
    <row r="4945" spans="7:8" x14ac:dyDescent="0.3">
      <c r="G4945" s="4"/>
      <c r="H4945" s="4"/>
    </row>
    <row r="4946" spans="7:8" x14ac:dyDescent="0.3">
      <c r="G4946" s="4"/>
      <c r="H4946" s="4"/>
    </row>
    <row r="4947" spans="7:8" x14ac:dyDescent="0.3">
      <c r="G4947" s="4"/>
      <c r="H4947" s="4"/>
    </row>
    <row r="4948" spans="7:8" x14ac:dyDescent="0.3">
      <c r="G4948" s="4"/>
      <c r="H4948" s="4"/>
    </row>
    <row r="4949" spans="7:8" x14ac:dyDescent="0.3">
      <c r="G4949" s="4"/>
      <c r="H4949" s="4"/>
    </row>
    <row r="4950" spans="7:8" x14ac:dyDescent="0.3">
      <c r="G4950" s="4"/>
      <c r="H4950" s="4"/>
    </row>
    <row r="4951" spans="7:8" x14ac:dyDescent="0.3">
      <c r="G4951" s="4"/>
      <c r="H4951" s="4"/>
    </row>
    <row r="4952" spans="7:8" x14ac:dyDescent="0.3">
      <c r="G4952" s="4"/>
      <c r="H4952" s="4"/>
    </row>
    <row r="4953" spans="7:8" x14ac:dyDescent="0.3">
      <c r="G4953" s="4"/>
      <c r="H4953" s="4"/>
    </row>
    <row r="4954" spans="7:8" x14ac:dyDescent="0.3">
      <c r="G4954" s="4"/>
      <c r="H4954" s="4"/>
    </row>
    <row r="4955" spans="7:8" x14ac:dyDescent="0.3">
      <c r="G4955" s="4"/>
      <c r="H4955" s="4"/>
    </row>
    <row r="4956" spans="7:8" x14ac:dyDescent="0.3">
      <c r="G4956" s="4"/>
      <c r="H4956" s="4"/>
    </row>
    <row r="4957" spans="7:8" x14ac:dyDescent="0.3">
      <c r="G4957" s="4"/>
      <c r="H4957" s="4"/>
    </row>
    <row r="4958" spans="7:8" x14ac:dyDescent="0.3">
      <c r="G4958" s="4"/>
      <c r="H4958" s="4"/>
    </row>
    <row r="4959" spans="7:8" x14ac:dyDescent="0.3">
      <c r="G4959" s="4"/>
      <c r="H4959" s="4"/>
    </row>
    <row r="4960" spans="7:8" x14ac:dyDescent="0.3">
      <c r="G4960" s="4"/>
      <c r="H4960" s="4"/>
    </row>
    <row r="4961" spans="7:8" x14ac:dyDescent="0.3">
      <c r="G4961" s="4"/>
      <c r="H4961" s="4"/>
    </row>
    <row r="4962" spans="7:8" x14ac:dyDescent="0.3">
      <c r="G4962" s="4"/>
      <c r="H4962" s="4"/>
    </row>
    <row r="4963" spans="7:8" x14ac:dyDescent="0.3">
      <c r="G4963" s="4"/>
      <c r="H4963" s="4"/>
    </row>
    <row r="4964" spans="7:8" x14ac:dyDescent="0.3">
      <c r="G4964" s="4"/>
      <c r="H4964" s="4"/>
    </row>
    <row r="4965" spans="7:8" x14ac:dyDescent="0.3">
      <c r="G4965" s="4"/>
      <c r="H4965" s="4"/>
    </row>
    <row r="4966" spans="7:8" x14ac:dyDescent="0.3">
      <c r="G4966" s="4"/>
      <c r="H4966" s="4"/>
    </row>
    <row r="4967" spans="7:8" x14ac:dyDescent="0.3">
      <c r="G4967" s="4"/>
      <c r="H4967" s="4"/>
    </row>
    <row r="4968" spans="7:8" x14ac:dyDescent="0.3">
      <c r="G4968" s="4"/>
      <c r="H4968" s="4"/>
    </row>
    <row r="4969" spans="7:8" x14ac:dyDescent="0.3">
      <c r="G4969" s="4"/>
      <c r="H4969" s="4"/>
    </row>
    <row r="4970" spans="7:8" x14ac:dyDescent="0.3">
      <c r="G4970" s="4"/>
      <c r="H4970" s="4"/>
    </row>
    <row r="4971" spans="7:8" x14ac:dyDescent="0.3">
      <c r="G4971" s="4"/>
      <c r="H4971" s="4"/>
    </row>
    <row r="4972" spans="7:8" x14ac:dyDescent="0.3">
      <c r="G4972" s="4"/>
      <c r="H4972" s="4"/>
    </row>
    <row r="4973" spans="7:8" x14ac:dyDescent="0.3">
      <c r="G4973" s="4"/>
      <c r="H4973" s="4"/>
    </row>
    <row r="4974" spans="7:8" x14ac:dyDescent="0.3">
      <c r="G4974" s="4"/>
      <c r="H4974" s="4"/>
    </row>
    <row r="4975" spans="7:8" x14ac:dyDescent="0.3">
      <c r="G4975" s="4"/>
      <c r="H4975" s="4"/>
    </row>
    <row r="4976" spans="7:8" x14ac:dyDescent="0.3">
      <c r="G4976" s="4"/>
      <c r="H4976" s="4"/>
    </row>
    <row r="4977" spans="7:8" x14ac:dyDescent="0.3">
      <c r="G4977" s="4"/>
      <c r="H4977" s="4"/>
    </row>
    <row r="4978" spans="7:8" x14ac:dyDescent="0.3">
      <c r="G4978" s="4"/>
      <c r="H4978" s="4"/>
    </row>
    <row r="4979" spans="7:8" x14ac:dyDescent="0.3">
      <c r="G4979" s="4"/>
      <c r="H4979" s="4"/>
    </row>
    <row r="4980" spans="7:8" x14ac:dyDescent="0.3">
      <c r="G4980" s="4"/>
      <c r="H4980" s="4"/>
    </row>
    <row r="4981" spans="7:8" x14ac:dyDescent="0.3">
      <c r="G4981" s="4"/>
      <c r="H4981" s="4"/>
    </row>
    <row r="4982" spans="7:8" x14ac:dyDescent="0.3">
      <c r="G4982" s="4"/>
      <c r="H4982" s="4"/>
    </row>
    <row r="4983" spans="7:8" x14ac:dyDescent="0.3">
      <c r="G4983" s="4"/>
      <c r="H4983" s="4"/>
    </row>
    <row r="4984" spans="7:8" x14ac:dyDescent="0.3">
      <c r="G4984" s="4"/>
      <c r="H4984" s="4"/>
    </row>
    <row r="4985" spans="7:8" x14ac:dyDescent="0.3">
      <c r="G4985" s="4"/>
      <c r="H4985" s="4"/>
    </row>
    <row r="4986" spans="7:8" x14ac:dyDescent="0.3">
      <c r="G4986" s="4"/>
      <c r="H4986" s="4"/>
    </row>
    <row r="4987" spans="7:8" x14ac:dyDescent="0.3">
      <c r="G4987" s="4"/>
      <c r="H4987" s="4"/>
    </row>
    <row r="4988" spans="7:8" x14ac:dyDescent="0.3">
      <c r="G4988" s="4"/>
      <c r="H4988" s="4"/>
    </row>
    <row r="4989" spans="7:8" x14ac:dyDescent="0.3">
      <c r="G4989" s="4"/>
      <c r="H4989" s="4"/>
    </row>
    <row r="4990" spans="7:8" x14ac:dyDescent="0.3">
      <c r="G4990" s="4"/>
      <c r="H4990" s="4"/>
    </row>
    <row r="4991" spans="7:8" x14ac:dyDescent="0.3">
      <c r="G4991" s="4"/>
      <c r="H4991" s="4"/>
    </row>
    <row r="4992" spans="7:8" x14ac:dyDescent="0.3">
      <c r="G4992" s="4"/>
      <c r="H4992" s="4"/>
    </row>
    <row r="4993" spans="7:8" x14ac:dyDescent="0.3">
      <c r="G4993" s="4"/>
      <c r="H4993" s="4"/>
    </row>
    <row r="4994" spans="7:8" x14ac:dyDescent="0.3">
      <c r="G4994" s="4"/>
      <c r="H4994" s="4"/>
    </row>
    <row r="4995" spans="7:8" x14ac:dyDescent="0.3">
      <c r="G4995" s="4"/>
      <c r="H4995" s="4"/>
    </row>
    <row r="4996" spans="7:8" x14ac:dyDescent="0.3">
      <c r="G4996" s="4"/>
      <c r="H4996" s="4"/>
    </row>
    <row r="4997" spans="7:8" x14ac:dyDescent="0.3">
      <c r="G4997" s="4"/>
      <c r="H4997" s="4"/>
    </row>
    <row r="4998" spans="7:8" x14ac:dyDescent="0.3">
      <c r="G4998" s="4"/>
      <c r="H4998" s="4"/>
    </row>
    <row r="4999" spans="7:8" x14ac:dyDescent="0.3">
      <c r="G4999" s="4"/>
      <c r="H4999" s="4"/>
    </row>
    <row r="5000" spans="7:8" x14ac:dyDescent="0.3">
      <c r="G5000" s="4"/>
      <c r="H5000" s="4"/>
    </row>
    <row r="5001" spans="7:8" x14ac:dyDescent="0.3">
      <c r="G5001" s="4"/>
      <c r="H5001" s="4"/>
    </row>
    <row r="5002" spans="7:8" x14ac:dyDescent="0.3">
      <c r="G5002" s="4"/>
      <c r="H5002" s="4"/>
    </row>
    <row r="5003" spans="7:8" x14ac:dyDescent="0.3">
      <c r="G5003" s="4"/>
      <c r="H5003" s="4"/>
    </row>
    <row r="5004" spans="7:8" x14ac:dyDescent="0.3">
      <c r="G5004" s="4"/>
      <c r="H5004" s="4"/>
    </row>
    <row r="5005" spans="7:8" x14ac:dyDescent="0.3">
      <c r="G5005" s="4"/>
      <c r="H5005" s="4"/>
    </row>
    <row r="5006" spans="7:8" x14ac:dyDescent="0.3">
      <c r="G5006" s="4"/>
      <c r="H5006" s="4"/>
    </row>
    <row r="5007" spans="7:8" x14ac:dyDescent="0.3">
      <c r="G5007" s="4"/>
      <c r="H5007" s="4"/>
    </row>
    <row r="5008" spans="7:8" x14ac:dyDescent="0.3">
      <c r="G5008" s="4"/>
      <c r="H5008" s="4"/>
    </row>
    <row r="5009" spans="7:8" x14ac:dyDescent="0.3">
      <c r="G5009" s="4"/>
      <c r="H5009" s="4"/>
    </row>
    <row r="5010" spans="7:8" x14ac:dyDescent="0.3">
      <c r="G5010" s="4"/>
      <c r="H5010" s="4"/>
    </row>
    <row r="5011" spans="7:8" x14ac:dyDescent="0.3">
      <c r="G5011" s="4"/>
      <c r="H5011" s="4"/>
    </row>
    <row r="5012" spans="7:8" x14ac:dyDescent="0.3">
      <c r="G5012" s="4"/>
      <c r="H5012" s="4"/>
    </row>
    <row r="5013" spans="7:8" x14ac:dyDescent="0.3">
      <c r="G5013" s="4"/>
      <c r="H5013" s="4"/>
    </row>
    <row r="5014" spans="7:8" x14ac:dyDescent="0.3">
      <c r="G5014" s="4"/>
      <c r="H5014" s="4"/>
    </row>
    <row r="5015" spans="7:8" x14ac:dyDescent="0.3">
      <c r="G5015" s="4"/>
      <c r="H5015" s="4"/>
    </row>
    <row r="5016" spans="7:8" x14ac:dyDescent="0.3">
      <c r="G5016" s="4"/>
      <c r="H5016" s="4"/>
    </row>
    <row r="5017" spans="7:8" x14ac:dyDescent="0.3">
      <c r="G5017" s="4"/>
      <c r="H5017" s="4"/>
    </row>
    <row r="5018" spans="7:8" x14ac:dyDescent="0.3">
      <c r="G5018" s="4"/>
      <c r="H5018" s="4"/>
    </row>
    <row r="5019" spans="7:8" x14ac:dyDescent="0.3">
      <c r="G5019" s="4"/>
      <c r="H5019" s="4"/>
    </row>
    <row r="5020" spans="7:8" x14ac:dyDescent="0.3">
      <c r="G5020" s="4"/>
      <c r="H5020" s="4"/>
    </row>
    <row r="5021" spans="7:8" x14ac:dyDescent="0.3">
      <c r="G5021" s="4"/>
      <c r="H5021" s="4"/>
    </row>
    <row r="5022" spans="7:8" x14ac:dyDescent="0.3">
      <c r="G5022" s="4"/>
      <c r="H5022" s="4"/>
    </row>
    <row r="5023" spans="7:8" x14ac:dyDescent="0.3">
      <c r="G5023" s="4"/>
      <c r="H5023" s="4"/>
    </row>
    <row r="5024" spans="7:8" x14ac:dyDescent="0.3">
      <c r="G5024" s="4"/>
      <c r="H5024" s="4"/>
    </row>
    <row r="5025" spans="7:8" x14ac:dyDescent="0.3">
      <c r="G5025" s="4"/>
      <c r="H5025" s="4"/>
    </row>
    <row r="5026" spans="7:8" x14ac:dyDescent="0.3">
      <c r="G5026" s="4"/>
      <c r="H5026" s="4"/>
    </row>
    <row r="5027" spans="7:8" x14ac:dyDescent="0.3">
      <c r="G5027" s="4"/>
      <c r="H5027" s="4"/>
    </row>
    <row r="5028" spans="7:8" x14ac:dyDescent="0.3">
      <c r="G5028" s="4"/>
      <c r="H5028" s="4"/>
    </row>
    <row r="5029" spans="7:8" x14ac:dyDescent="0.3">
      <c r="G5029" s="4"/>
      <c r="H5029" s="4"/>
    </row>
    <row r="5030" spans="7:8" x14ac:dyDescent="0.3">
      <c r="G5030" s="4"/>
      <c r="H5030" s="4"/>
    </row>
    <row r="5031" spans="7:8" x14ac:dyDescent="0.3">
      <c r="G5031" s="4"/>
      <c r="H5031" s="4"/>
    </row>
    <row r="5032" spans="7:8" x14ac:dyDescent="0.3">
      <c r="G5032" s="4"/>
      <c r="H5032" s="4"/>
    </row>
    <row r="5033" spans="7:8" x14ac:dyDescent="0.3">
      <c r="G5033" s="4"/>
      <c r="H5033" s="4"/>
    </row>
    <row r="5034" spans="7:8" x14ac:dyDescent="0.3">
      <c r="G5034" s="4"/>
      <c r="H5034" s="4"/>
    </row>
    <row r="5035" spans="7:8" x14ac:dyDescent="0.3">
      <c r="G5035" s="4"/>
      <c r="H5035" s="4"/>
    </row>
    <row r="5036" spans="7:8" x14ac:dyDescent="0.3">
      <c r="G5036" s="4"/>
      <c r="H5036" s="4"/>
    </row>
    <row r="5037" spans="7:8" x14ac:dyDescent="0.3">
      <c r="G5037" s="4"/>
      <c r="H5037" s="4"/>
    </row>
    <row r="5038" spans="7:8" x14ac:dyDescent="0.3">
      <c r="G5038" s="4"/>
      <c r="H5038" s="4"/>
    </row>
    <row r="5039" spans="7:8" x14ac:dyDescent="0.3">
      <c r="G5039" s="4"/>
      <c r="H5039" s="4"/>
    </row>
    <row r="5040" spans="7:8" x14ac:dyDescent="0.3">
      <c r="G5040" s="4"/>
      <c r="H5040" s="4"/>
    </row>
    <row r="5041" spans="7:8" x14ac:dyDescent="0.3">
      <c r="G5041" s="4"/>
      <c r="H5041" s="4"/>
    </row>
    <row r="5042" spans="7:8" x14ac:dyDescent="0.3">
      <c r="G5042" s="4"/>
      <c r="H5042" s="4"/>
    </row>
    <row r="5043" spans="7:8" x14ac:dyDescent="0.3">
      <c r="G5043" s="4"/>
      <c r="H5043" s="4"/>
    </row>
    <row r="5044" spans="7:8" x14ac:dyDescent="0.3">
      <c r="G5044" s="4"/>
      <c r="H5044" s="4"/>
    </row>
    <row r="5045" spans="7:8" x14ac:dyDescent="0.3">
      <c r="G5045" s="4"/>
      <c r="H5045" s="4"/>
    </row>
    <row r="5046" spans="7:8" x14ac:dyDescent="0.3">
      <c r="G5046" s="4"/>
      <c r="H5046" s="4"/>
    </row>
    <row r="5047" spans="7:8" x14ac:dyDescent="0.3">
      <c r="G5047" s="4"/>
      <c r="H5047" s="4"/>
    </row>
    <row r="5048" spans="7:8" x14ac:dyDescent="0.3">
      <c r="G5048" s="4"/>
      <c r="H5048" s="4"/>
    </row>
    <row r="5049" spans="7:8" x14ac:dyDescent="0.3">
      <c r="G5049" s="4"/>
      <c r="H5049" s="4"/>
    </row>
    <row r="5050" spans="7:8" x14ac:dyDescent="0.3">
      <c r="G5050" s="4"/>
      <c r="H5050" s="4"/>
    </row>
    <row r="5051" spans="7:8" x14ac:dyDescent="0.3">
      <c r="G5051" s="4"/>
      <c r="H5051" s="4"/>
    </row>
    <row r="5052" spans="7:8" x14ac:dyDescent="0.3">
      <c r="G5052" s="4"/>
      <c r="H5052" s="4"/>
    </row>
    <row r="5053" spans="7:8" x14ac:dyDescent="0.3">
      <c r="G5053" s="4"/>
      <c r="H5053" s="4"/>
    </row>
    <row r="5054" spans="7:8" x14ac:dyDescent="0.3">
      <c r="G5054" s="4"/>
      <c r="H5054" s="4"/>
    </row>
    <row r="5055" spans="7:8" x14ac:dyDescent="0.3">
      <c r="G5055" s="4"/>
      <c r="H5055" s="4"/>
    </row>
    <row r="5056" spans="7:8" x14ac:dyDescent="0.3">
      <c r="G5056" s="4"/>
      <c r="H5056" s="4"/>
    </row>
    <row r="5057" spans="7:8" x14ac:dyDescent="0.3">
      <c r="G5057" s="4"/>
      <c r="H5057" s="4"/>
    </row>
    <row r="5058" spans="7:8" x14ac:dyDescent="0.3">
      <c r="G5058" s="4"/>
      <c r="H5058" s="4"/>
    </row>
    <row r="5059" spans="7:8" x14ac:dyDescent="0.3">
      <c r="G5059" s="4"/>
      <c r="H5059" s="4"/>
    </row>
    <row r="5060" spans="7:8" x14ac:dyDescent="0.3">
      <c r="G5060" s="4"/>
      <c r="H5060" s="4"/>
    </row>
    <row r="5061" spans="7:8" x14ac:dyDescent="0.3">
      <c r="G5061" s="4"/>
      <c r="H5061" s="4"/>
    </row>
    <row r="5062" spans="7:8" x14ac:dyDescent="0.3">
      <c r="G5062" s="4"/>
      <c r="H5062" s="4"/>
    </row>
    <row r="5063" spans="7:8" x14ac:dyDescent="0.3">
      <c r="G5063" s="4"/>
      <c r="H5063" s="4"/>
    </row>
    <row r="5064" spans="7:8" x14ac:dyDescent="0.3">
      <c r="G5064" s="4"/>
      <c r="H5064" s="4"/>
    </row>
    <row r="5065" spans="7:8" x14ac:dyDescent="0.3">
      <c r="G5065" s="4"/>
      <c r="H5065" s="4"/>
    </row>
    <row r="5066" spans="7:8" x14ac:dyDescent="0.3">
      <c r="G5066" s="4"/>
      <c r="H5066" s="4"/>
    </row>
    <row r="5067" spans="7:8" x14ac:dyDescent="0.3">
      <c r="G5067" s="4"/>
      <c r="H5067" s="4"/>
    </row>
    <row r="5068" spans="7:8" x14ac:dyDescent="0.3">
      <c r="G5068" s="4"/>
      <c r="H5068" s="4"/>
    </row>
    <row r="5069" spans="7:8" x14ac:dyDescent="0.3">
      <c r="G5069" s="4"/>
      <c r="H5069" s="4"/>
    </row>
    <row r="5070" spans="7:8" x14ac:dyDescent="0.3">
      <c r="G5070" s="4"/>
      <c r="H5070" s="4"/>
    </row>
    <row r="5071" spans="7:8" x14ac:dyDescent="0.3">
      <c r="G5071" s="4"/>
      <c r="H5071" s="4"/>
    </row>
    <row r="5072" spans="7:8" x14ac:dyDescent="0.3">
      <c r="G5072" s="4"/>
      <c r="H5072" s="4"/>
    </row>
    <row r="5073" spans="7:8" x14ac:dyDescent="0.3">
      <c r="G5073" s="4"/>
      <c r="H5073" s="4"/>
    </row>
    <row r="5074" spans="7:8" x14ac:dyDescent="0.3">
      <c r="G5074" s="4"/>
      <c r="H5074" s="4"/>
    </row>
    <row r="5075" spans="7:8" x14ac:dyDescent="0.3">
      <c r="G5075" s="4"/>
      <c r="H5075" s="4"/>
    </row>
    <row r="5076" spans="7:8" x14ac:dyDescent="0.3">
      <c r="G5076" s="4"/>
      <c r="H5076" s="4"/>
    </row>
    <row r="5077" spans="7:8" x14ac:dyDescent="0.3">
      <c r="G5077" s="4"/>
      <c r="H5077" s="4"/>
    </row>
    <row r="5078" spans="7:8" x14ac:dyDescent="0.3">
      <c r="G5078" s="4"/>
      <c r="H5078" s="4"/>
    </row>
    <row r="5079" spans="7:8" x14ac:dyDescent="0.3">
      <c r="G5079" s="4"/>
      <c r="H5079" s="4"/>
    </row>
    <row r="5080" spans="7:8" x14ac:dyDescent="0.3">
      <c r="G5080" s="4"/>
      <c r="H5080" s="4"/>
    </row>
    <row r="5081" spans="7:8" x14ac:dyDescent="0.3">
      <c r="G5081" s="4"/>
      <c r="H5081" s="4"/>
    </row>
    <row r="5082" spans="7:8" x14ac:dyDescent="0.3">
      <c r="G5082" s="4"/>
      <c r="H5082" s="4"/>
    </row>
    <row r="5083" spans="7:8" x14ac:dyDescent="0.3">
      <c r="G5083" s="4"/>
      <c r="H5083" s="4"/>
    </row>
    <row r="5084" spans="7:8" x14ac:dyDescent="0.3">
      <c r="G5084" s="4"/>
      <c r="H5084" s="4"/>
    </row>
    <row r="5085" spans="7:8" x14ac:dyDescent="0.3">
      <c r="G5085" s="4"/>
      <c r="H5085" s="4"/>
    </row>
    <row r="5086" spans="7:8" x14ac:dyDescent="0.3">
      <c r="G5086" s="4"/>
      <c r="H5086" s="4"/>
    </row>
    <row r="5087" spans="7:8" x14ac:dyDescent="0.3">
      <c r="G5087" s="4"/>
      <c r="H5087" s="4"/>
    </row>
    <row r="5088" spans="7:8" x14ac:dyDescent="0.3">
      <c r="G5088" s="4"/>
      <c r="H5088" s="4"/>
    </row>
    <row r="5089" spans="7:8" x14ac:dyDescent="0.3">
      <c r="G5089" s="4"/>
      <c r="H5089" s="4"/>
    </row>
    <row r="5090" spans="7:8" x14ac:dyDescent="0.3">
      <c r="G5090" s="4"/>
      <c r="H5090" s="4"/>
    </row>
    <row r="5091" spans="7:8" x14ac:dyDescent="0.3">
      <c r="G5091" s="4"/>
      <c r="H5091" s="4"/>
    </row>
    <row r="5092" spans="7:8" x14ac:dyDescent="0.3">
      <c r="G5092" s="4"/>
      <c r="H5092" s="4"/>
    </row>
    <row r="5093" spans="7:8" x14ac:dyDescent="0.3">
      <c r="G5093" s="4"/>
      <c r="H5093" s="4"/>
    </row>
    <row r="5094" spans="7:8" x14ac:dyDescent="0.3">
      <c r="G5094" s="4"/>
      <c r="H5094" s="4"/>
    </row>
    <row r="5095" spans="7:8" x14ac:dyDescent="0.3">
      <c r="G5095" s="4"/>
      <c r="H5095" s="4"/>
    </row>
    <row r="5096" spans="7:8" x14ac:dyDescent="0.3">
      <c r="G5096" s="4"/>
      <c r="H5096" s="4"/>
    </row>
    <row r="5097" spans="7:8" x14ac:dyDescent="0.3">
      <c r="G5097" s="4"/>
      <c r="H5097" s="4"/>
    </row>
    <row r="5098" spans="7:8" x14ac:dyDescent="0.3">
      <c r="G5098" s="4"/>
      <c r="H5098" s="4"/>
    </row>
    <row r="5099" spans="7:8" x14ac:dyDescent="0.3">
      <c r="G5099" s="4"/>
      <c r="H5099" s="4"/>
    </row>
    <row r="5100" spans="7:8" x14ac:dyDescent="0.3">
      <c r="G5100" s="4"/>
      <c r="H5100" s="4"/>
    </row>
    <row r="5101" spans="7:8" x14ac:dyDescent="0.3">
      <c r="G5101" s="4"/>
      <c r="H5101" s="4"/>
    </row>
    <row r="5102" spans="7:8" x14ac:dyDescent="0.3">
      <c r="G5102" s="4"/>
      <c r="H5102" s="4"/>
    </row>
    <row r="5103" spans="7:8" x14ac:dyDescent="0.3">
      <c r="G5103" s="4"/>
      <c r="H5103" s="4"/>
    </row>
    <row r="5104" spans="7:8" x14ac:dyDescent="0.3">
      <c r="G5104" s="4"/>
      <c r="H5104" s="4"/>
    </row>
    <row r="5105" spans="7:8" x14ac:dyDescent="0.3">
      <c r="G5105" s="4"/>
      <c r="H5105" s="4"/>
    </row>
    <row r="5106" spans="7:8" x14ac:dyDescent="0.3">
      <c r="G5106" s="4"/>
      <c r="H5106" s="4"/>
    </row>
    <row r="5107" spans="7:8" x14ac:dyDescent="0.3">
      <c r="G5107" s="4"/>
      <c r="H5107" s="4"/>
    </row>
    <row r="5108" spans="7:8" x14ac:dyDescent="0.3">
      <c r="G5108" s="4"/>
      <c r="H5108" s="4"/>
    </row>
    <row r="5109" spans="7:8" x14ac:dyDescent="0.3">
      <c r="G5109" s="4"/>
      <c r="H5109" s="4"/>
    </row>
    <row r="5110" spans="7:8" x14ac:dyDescent="0.3">
      <c r="G5110" s="4"/>
      <c r="H5110" s="4"/>
    </row>
    <row r="5111" spans="7:8" x14ac:dyDescent="0.3">
      <c r="G5111" s="4"/>
      <c r="H5111" s="4"/>
    </row>
    <row r="5112" spans="7:8" x14ac:dyDescent="0.3">
      <c r="G5112" s="4"/>
      <c r="H5112" s="4"/>
    </row>
    <row r="5113" spans="7:8" x14ac:dyDescent="0.3">
      <c r="G5113" s="4"/>
      <c r="H5113" s="4"/>
    </row>
    <row r="5114" spans="7:8" x14ac:dyDescent="0.3">
      <c r="G5114" s="4"/>
      <c r="H5114" s="4"/>
    </row>
    <row r="5115" spans="7:8" x14ac:dyDescent="0.3">
      <c r="G5115" s="4"/>
      <c r="H5115" s="4"/>
    </row>
    <row r="5116" spans="7:8" x14ac:dyDescent="0.3">
      <c r="G5116" s="4"/>
      <c r="H5116" s="4"/>
    </row>
    <row r="5117" spans="7:8" x14ac:dyDescent="0.3">
      <c r="G5117" s="4"/>
      <c r="H5117" s="4"/>
    </row>
    <row r="5118" spans="7:8" x14ac:dyDescent="0.3">
      <c r="G5118" s="4"/>
      <c r="H5118" s="4"/>
    </row>
    <row r="5119" spans="7:8" x14ac:dyDescent="0.3">
      <c r="G5119" s="4"/>
      <c r="H5119" s="4"/>
    </row>
    <row r="5120" spans="7:8" x14ac:dyDescent="0.3">
      <c r="G5120" s="4"/>
      <c r="H5120" s="4"/>
    </row>
    <row r="5121" spans="7:8" x14ac:dyDescent="0.3">
      <c r="G5121" s="4"/>
      <c r="H5121" s="4"/>
    </row>
    <row r="5122" spans="7:8" x14ac:dyDescent="0.3">
      <c r="G5122" s="4"/>
      <c r="H5122" s="4"/>
    </row>
    <row r="5123" spans="7:8" x14ac:dyDescent="0.3">
      <c r="G5123" s="4"/>
      <c r="H5123" s="4"/>
    </row>
    <row r="5124" spans="7:8" x14ac:dyDescent="0.3">
      <c r="G5124" s="4"/>
      <c r="H5124" s="4"/>
    </row>
    <row r="5125" spans="7:8" x14ac:dyDescent="0.3">
      <c r="G5125" s="4"/>
      <c r="H5125" s="4"/>
    </row>
    <row r="5126" spans="7:8" x14ac:dyDescent="0.3">
      <c r="G5126" s="4"/>
      <c r="H5126" s="4"/>
    </row>
    <row r="5127" spans="7:8" x14ac:dyDescent="0.3">
      <c r="G5127" s="4"/>
      <c r="H5127" s="4"/>
    </row>
    <row r="5128" spans="7:8" x14ac:dyDescent="0.3">
      <c r="G5128" s="4"/>
      <c r="H5128" s="4"/>
    </row>
    <row r="5129" spans="7:8" x14ac:dyDescent="0.3">
      <c r="G5129" s="4"/>
      <c r="H5129" s="4"/>
    </row>
    <row r="5130" spans="7:8" x14ac:dyDescent="0.3">
      <c r="G5130" s="4"/>
      <c r="H5130" s="4"/>
    </row>
    <row r="5131" spans="7:8" x14ac:dyDescent="0.3">
      <c r="G5131" s="4"/>
      <c r="H5131" s="4"/>
    </row>
    <row r="5132" spans="7:8" x14ac:dyDescent="0.3">
      <c r="G5132" s="4"/>
      <c r="H5132" s="4"/>
    </row>
    <row r="5133" spans="7:8" x14ac:dyDescent="0.3">
      <c r="G5133" s="4"/>
      <c r="H5133" s="4"/>
    </row>
    <row r="5134" spans="7:8" x14ac:dyDescent="0.3">
      <c r="G5134" s="4"/>
      <c r="H5134" s="4"/>
    </row>
    <row r="5135" spans="7:8" x14ac:dyDescent="0.3">
      <c r="G5135" s="4"/>
      <c r="H5135" s="4"/>
    </row>
    <row r="5136" spans="7:8" x14ac:dyDescent="0.3">
      <c r="G5136" s="4"/>
      <c r="H5136" s="4"/>
    </row>
    <row r="5137" spans="7:8" x14ac:dyDescent="0.3">
      <c r="G5137" s="4"/>
      <c r="H5137" s="4"/>
    </row>
    <row r="5138" spans="7:8" x14ac:dyDescent="0.3">
      <c r="G5138" s="4"/>
      <c r="H5138" s="4"/>
    </row>
    <row r="5139" spans="7:8" x14ac:dyDescent="0.3">
      <c r="G5139" s="4"/>
      <c r="H5139" s="4"/>
    </row>
    <row r="5140" spans="7:8" x14ac:dyDescent="0.3">
      <c r="G5140" s="4"/>
      <c r="H5140" s="4"/>
    </row>
    <row r="5141" spans="7:8" x14ac:dyDescent="0.3">
      <c r="G5141" s="4"/>
      <c r="H5141" s="4"/>
    </row>
    <row r="5142" spans="7:8" x14ac:dyDescent="0.3">
      <c r="G5142" s="4"/>
      <c r="H5142" s="4"/>
    </row>
    <row r="5143" spans="7:8" x14ac:dyDescent="0.3">
      <c r="G5143" s="4"/>
      <c r="H5143" s="4"/>
    </row>
    <row r="5144" spans="7:8" x14ac:dyDescent="0.3">
      <c r="G5144" s="4"/>
      <c r="H5144" s="4"/>
    </row>
    <row r="5145" spans="7:8" x14ac:dyDescent="0.3">
      <c r="G5145" s="4"/>
      <c r="H5145" s="4"/>
    </row>
    <row r="5146" spans="7:8" x14ac:dyDescent="0.3">
      <c r="G5146" s="4"/>
      <c r="H5146" s="4"/>
    </row>
    <row r="5147" spans="7:8" x14ac:dyDescent="0.3">
      <c r="G5147" s="4"/>
      <c r="H5147" s="4"/>
    </row>
    <row r="5148" spans="7:8" x14ac:dyDescent="0.3">
      <c r="G5148" s="4"/>
      <c r="H5148" s="4"/>
    </row>
    <row r="5149" spans="7:8" x14ac:dyDescent="0.3">
      <c r="G5149" s="4"/>
      <c r="H5149" s="4"/>
    </row>
    <row r="5150" spans="7:8" x14ac:dyDescent="0.3">
      <c r="G5150" s="4"/>
      <c r="H5150" s="4"/>
    </row>
    <row r="5151" spans="7:8" x14ac:dyDescent="0.3">
      <c r="G5151" s="4"/>
      <c r="H5151" s="4"/>
    </row>
    <row r="5152" spans="7:8" x14ac:dyDescent="0.3">
      <c r="G5152" s="4"/>
      <c r="H5152" s="4"/>
    </row>
    <row r="5153" spans="7:8" x14ac:dyDescent="0.3">
      <c r="G5153" s="4"/>
      <c r="H5153" s="4"/>
    </row>
    <row r="5154" spans="7:8" x14ac:dyDescent="0.3">
      <c r="G5154" s="4"/>
      <c r="H5154" s="4"/>
    </row>
    <row r="5155" spans="7:8" x14ac:dyDescent="0.3">
      <c r="G5155" s="4"/>
      <c r="H5155" s="4"/>
    </row>
    <row r="5156" spans="7:8" x14ac:dyDescent="0.3">
      <c r="G5156" s="4"/>
      <c r="H5156" s="4"/>
    </row>
    <row r="5157" spans="7:8" x14ac:dyDescent="0.3">
      <c r="G5157" s="4"/>
      <c r="H5157" s="4"/>
    </row>
    <row r="5158" spans="7:8" x14ac:dyDescent="0.3">
      <c r="G5158" s="4"/>
      <c r="H5158" s="4"/>
    </row>
    <row r="5159" spans="7:8" x14ac:dyDescent="0.3">
      <c r="G5159" s="4"/>
      <c r="H5159" s="4"/>
    </row>
    <row r="5160" spans="7:8" x14ac:dyDescent="0.3">
      <c r="G5160" s="4"/>
      <c r="H5160" s="4"/>
    </row>
    <row r="5161" spans="7:8" x14ac:dyDescent="0.3">
      <c r="G5161" s="4"/>
      <c r="H5161" s="4"/>
    </row>
    <row r="5162" spans="7:8" x14ac:dyDescent="0.3">
      <c r="G5162" s="4"/>
      <c r="H5162" s="4"/>
    </row>
    <row r="5163" spans="7:8" x14ac:dyDescent="0.3">
      <c r="G5163" s="4"/>
      <c r="H5163" s="4"/>
    </row>
    <row r="5164" spans="7:8" x14ac:dyDescent="0.3">
      <c r="G5164" s="4"/>
      <c r="H5164" s="4"/>
    </row>
    <row r="5165" spans="7:8" x14ac:dyDescent="0.3">
      <c r="G5165" s="4"/>
      <c r="H5165" s="4"/>
    </row>
    <row r="5166" spans="7:8" x14ac:dyDescent="0.3">
      <c r="G5166" s="4"/>
      <c r="H5166" s="4"/>
    </row>
    <row r="5167" spans="7:8" x14ac:dyDescent="0.3">
      <c r="G5167" s="4"/>
      <c r="H5167" s="4"/>
    </row>
    <row r="5168" spans="7:8" x14ac:dyDescent="0.3">
      <c r="G5168" s="4"/>
      <c r="H5168" s="4"/>
    </row>
    <row r="5169" spans="7:8" x14ac:dyDescent="0.3">
      <c r="G5169" s="4"/>
      <c r="H5169" s="4"/>
    </row>
    <row r="5170" spans="7:8" x14ac:dyDescent="0.3">
      <c r="G5170" s="4"/>
      <c r="H5170" s="4"/>
    </row>
    <row r="5171" spans="7:8" x14ac:dyDescent="0.3">
      <c r="G5171" s="4"/>
      <c r="H5171" s="4"/>
    </row>
    <row r="5172" spans="7:8" x14ac:dyDescent="0.3">
      <c r="G5172" s="4"/>
      <c r="H5172" s="4"/>
    </row>
    <row r="5173" spans="7:8" x14ac:dyDescent="0.3">
      <c r="G5173" s="4"/>
      <c r="H5173" s="4"/>
    </row>
    <row r="5174" spans="7:8" x14ac:dyDescent="0.3">
      <c r="G5174" s="4"/>
      <c r="H5174" s="4"/>
    </row>
    <row r="5175" spans="7:8" x14ac:dyDescent="0.3">
      <c r="G5175" s="4"/>
      <c r="H5175" s="4"/>
    </row>
    <row r="5176" spans="7:8" x14ac:dyDescent="0.3">
      <c r="G5176" s="4"/>
      <c r="H5176" s="4"/>
    </row>
    <row r="5177" spans="7:8" x14ac:dyDescent="0.3">
      <c r="G5177" s="4"/>
      <c r="H5177" s="4"/>
    </row>
    <row r="5178" spans="7:8" x14ac:dyDescent="0.3">
      <c r="G5178" s="4"/>
      <c r="H5178" s="4"/>
    </row>
    <row r="5179" spans="7:8" x14ac:dyDescent="0.3">
      <c r="G5179" s="4"/>
      <c r="H5179" s="4"/>
    </row>
    <row r="5180" spans="7:8" x14ac:dyDescent="0.3">
      <c r="G5180" s="4"/>
      <c r="H5180" s="4"/>
    </row>
    <row r="5181" spans="7:8" x14ac:dyDescent="0.3">
      <c r="G5181" s="4"/>
      <c r="H5181" s="4"/>
    </row>
    <row r="5182" spans="7:8" x14ac:dyDescent="0.3">
      <c r="G5182" s="4"/>
      <c r="H5182" s="4"/>
    </row>
    <row r="5183" spans="7:8" x14ac:dyDescent="0.3">
      <c r="G5183" s="4"/>
      <c r="H5183" s="4"/>
    </row>
    <row r="5184" spans="7:8" x14ac:dyDescent="0.3">
      <c r="G5184" s="4"/>
      <c r="H5184" s="4"/>
    </row>
    <row r="5185" spans="7:8" x14ac:dyDescent="0.3">
      <c r="G5185" s="4"/>
      <c r="H5185" s="4"/>
    </row>
    <row r="5186" spans="7:8" x14ac:dyDescent="0.3">
      <c r="G5186" s="4"/>
      <c r="H5186" s="4"/>
    </row>
    <row r="5187" spans="7:8" x14ac:dyDescent="0.3">
      <c r="G5187" s="4"/>
      <c r="H5187" s="4"/>
    </row>
    <row r="5188" spans="7:8" x14ac:dyDescent="0.3">
      <c r="G5188" s="4"/>
      <c r="H5188" s="4"/>
    </row>
    <row r="5189" spans="7:8" x14ac:dyDescent="0.3">
      <c r="G5189" s="4"/>
      <c r="H5189" s="4"/>
    </row>
    <row r="5190" spans="7:8" x14ac:dyDescent="0.3">
      <c r="G5190" s="4"/>
      <c r="H5190" s="4"/>
    </row>
    <row r="5191" spans="7:8" x14ac:dyDescent="0.3">
      <c r="G5191" s="4"/>
      <c r="H5191" s="4"/>
    </row>
    <row r="5192" spans="7:8" x14ac:dyDescent="0.3">
      <c r="G5192" s="4"/>
      <c r="H5192" s="4"/>
    </row>
    <row r="5193" spans="7:8" x14ac:dyDescent="0.3">
      <c r="G5193" s="4"/>
      <c r="H5193" s="4"/>
    </row>
    <row r="5194" spans="7:8" x14ac:dyDescent="0.3">
      <c r="G5194" s="4"/>
      <c r="H5194" s="4"/>
    </row>
    <row r="5195" spans="7:8" x14ac:dyDescent="0.3">
      <c r="G5195" s="4"/>
      <c r="H5195" s="4"/>
    </row>
    <row r="5196" spans="7:8" x14ac:dyDescent="0.3">
      <c r="G5196" s="4"/>
      <c r="H5196" s="4"/>
    </row>
    <row r="5197" spans="7:8" x14ac:dyDescent="0.3">
      <c r="G5197" s="4"/>
      <c r="H5197" s="4"/>
    </row>
    <row r="5198" spans="7:8" x14ac:dyDescent="0.3">
      <c r="G5198" s="4"/>
      <c r="H5198" s="4"/>
    </row>
    <row r="5199" spans="7:8" x14ac:dyDescent="0.3">
      <c r="G5199" s="4"/>
      <c r="H5199" s="4"/>
    </row>
    <row r="5200" spans="7:8" x14ac:dyDescent="0.3">
      <c r="G5200" s="4"/>
      <c r="H5200" s="4"/>
    </row>
    <row r="5201" spans="7:8" x14ac:dyDescent="0.3">
      <c r="G5201" s="4"/>
      <c r="H5201" s="4"/>
    </row>
    <row r="5202" spans="7:8" x14ac:dyDescent="0.3">
      <c r="G5202" s="4"/>
      <c r="H5202" s="4"/>
    </row>
    <row r="5203" spans="7:8" x14ac:dyDescent="0.3">
      <c r="G5203" s="4"/>
      <c r="H5203" s="4"/>
    </row>
    <row r="5204" spans="7:8" x14ac:dyDescent="0.3">
      <c r="G5204" s="4"/>
      <c r="H5204" s="4"/>
    </row>
    <row r="5205" spans="7:8" x14ac:dyDescent="0.3">
      <c r="G5205" s="4"/>
      <c r="H5205" s="4"/>
    </row>
    <row r="5206" spans="7:8" x14ac:dyDescent="0.3">
      <c r="G5206" s="4"/>
      <c r="H5206" s="4"/>
    </row>
    <row r="5207" spans="7:8" x14ac:dyDescent="0.3">
      <c r="G5207" s="4"/>
      <c r="H5207" s="4"/>
    </row>
    <row r="5208" spans="7:8" x14ac:dyDescent="0.3">
      <c r="G5208" s="4"/>
      <c r="H5208" s="4"/>
    </row>
    <row r="5209" spans="7:8" x14ac:dyDescent="0.3">
      <c r="G5209" s="4"/>
      <c r="H5209" s="4"/>
    </row>
    <row r="5210" spans="7:8" x14ac:dyDescent="0.3">
      <c r="G5210" s="4"/>
      <c r="H5210" s="4"/>
    </row>
    <row r="5211" spans="7:8" x14ac:dyDescent="0.3">
      <c r="G5211" s="4"/>
      <c r="H5211" s="4"/>
    </row>
    <row r="5212" spans="7:8" x14ac:dyDescent="0.3">
      <c r="G5212" s="4"/>
      <c r="H5212" s="4"/>
    </row>
    <row r="5213" spans="7:8" x14ac:dyDescent="0.3">
      <c r="G5213" s="4"/>
      <c r="H5213" s="4"/>
    </row>
    <row r="5214" spans="7:8" x14ac:dyDescent="0.3">
      <c r="G5214" s="4"/>
      <c r="H5214" s="4"/>
    </row>
    <row r="5215" spans="7:8" x14ac:dyDescent="0.3">
      <c r="G5215" s="4"/>
      <c r="H5215" s="4"/>
    </row>
    <row r="5216" spans="7:8" x14ac:dyDescent="0.3">
      <c r="G5216" s="4"/>
      <c r="H5216" s="4"/>
    </row>
    <row r="5217" spans="7:8" x14ac:dyDescent="0.3">
      <c r="G5217" s="4"/>
      <c r="H5217" s="4"/>
    </row>
    <row r="5218" spans="7:8" x14ac:dyDescent="0.3">
      <c r="G5218" s="4"/>
      <c r="H5218" s="4"/>
    </row>
    <row r="5219" spans="7:8" x14ac:dyDescent="0.3">
      <c r="G5219" s="4"/>
      <c r="H5219" s="4"/>
    </row>
    <row r="5220" spans="7:8" x14ac:dyDescent="0.3">
      <c r="G5220" s="4"/>
      <c r="H5220" s="4"/>
    </row>
    <row r="5221" spans="7:8" x14ac:dyDescent="0.3">
      <c r="G5221" s="4"/>
      <c r="H5221" s="4"/>
    </row>
    <row r="5222" spans="7:8" x14ac:dyDescent="0.3">
      <c r="G5222" s="4"/>
      <c r="H5222" s="4"/>
    </row>
    <row r="5223" spans="7:8" x14ac:dyDescent="0.3">
      <c r="G5223" s="4"/>
      <c r="H5223" s="4"/>
    </row>
    <row r="5224" spans="7:8" x14ac:dyDescent="0.3">
      <c r="G5224" s="4"/>
      <c r="H5224" s="4"/>
    </row>
    <row r="5225" spans="7:8" x14ac:dyDescent="0.3">
      <c r="G5225" s="4"/>
      <c r="H5225" s="4"/>
    </row>
    <row r="5226" spans="7:8" x14ac:dyDescent="0.3">
      <c r="G5226" s="4"/>
      <c r="H5226" s="4"/>
    </row>
    <row r="5227" spans="7:8" x14ac:dyDescent="0.3">
      <c r="G5227" s="4"/>
      <c r="H5227" s="4"/>
    </row>
    <row r="5228" spans="7:8" x14ac:dyDescent="0.3">
      <c r="G5228" s="4"/>
      <c r="H5228" s="4"/>
    </row>
    <row r="5229" spans="7:8" x14ac:dyDescent="0.3">
      <c r="G5229" s="4"/>
      <c r="H5229" s="4"/>
    </row>
    <row r="5230" spans="7:8" x14ac:dyDescent="0.3">
      <c r="G5230" s="4"/>
      <c r="H5230" s="4"/>
    </row>
    <row r="5231" spans="7:8" x14ac:dyDescent="0.3">
      <c r="G5231" s="4"/>
      <c r="H5231" s="4"/>
    </row>
    <row r="5232" spans="7:8" x14ac:dyDescent="0.3">
      <c r="G5232" s="4"/>
      <c r="H5232" s="4"/>
    </row>
    <row r="5233" spans="7:8" x14ac:dyDescent="0.3">
      <c r="G5233" s="4"/>
      <c r="H5233" s="4"/>
    </row>
    <row r="5234" spans="7:8" x14ac:dyDescent="0.3">
      <c r="G5234" s="4"/>
      <c r="H5234" s="4"/>
    </row>
    <row r="5235" spans="7:8" x14ac:dyDescent="0.3">
      <c r="G5235" s="4"/>
      <c r="H5235" s="4"/>
    </row>
    <row r="5236" spans="7:8" x14ac:dyDescent="0.3">
      <c r="G5236" s="4"/>
      <c r="H5236" s="4"/>
    </row>
    <row r="5237" spans="7:8" x14ac:dyDescent="0.3">
      <c r="G5237" s="4"/>
      <c r="H5237" s="4"/>
    </row>
    <row r="5238" spans="7:8" x14ac:dyDescent="0.3">
      <c r="G5238" s="4"/>
      <c r="H5238" s="4"/>
    </row>
    <row r="5239" spans="7:8" x14ac:dyDescent="0.3">
      <c r="G5239" s="4"/>
      <c r="H5239" s="4"/>
    </row>
    <row r="5240" spans="7:8" x14ac:dyDescent="0.3">
      <c r="G5240" s="4"/>
      <c r="H5240" s="4"/>
    </row>
    <row r="5241" spans="7:8" x14ac:dyDescent="0.3">
      <c r="G5241" s="4"/>
      <c r="H5241" s="4"/>
    </row>
    <row r="5242" spans="7:8" x14ac:dyDescent="0.3">
      <c r="G5242" s="4"/>
      <c r="H5242" s="4"/>
    </row>
    <row r="5243" spans="7:8" x14ac:dyDescent="0.3">
      <c r="G5243" s="4"/>
      <c r="H5243" s="4"/>
    </row>
    <row r="5244" spans="7:8" x14ac:dyDescent="0.3">
      <c r="G5244" s="4"/>
      <c r="H5244" s="4"/>
    </row>
    <row r="5245" spans="7:8" x14ac:dyDescent="0.3">
      <c r="G5245" s="4"/>
      <c r="H5245" s="4"/>
    </row>
    <row r="5246" spans="7:8" x14ac:dyDescent="0.3">
      <c r="G5246" s="4"/>
      <c r="H5246" s="4"/>
    </row>
    <row r="5247" spans="7:8" x14ac:dyDescent="0.3">
      <c r="G5247" s="4"/>
      <c r="H5247" s="4"/>
    </row>
    <row r="5248" spans="7:8" x14ac:dyDescent="0.3">
      <c r="G5248" s="4"/>
      <c r="H5248" s="4"/>
    </row>
    <row r="5249" spans="7:8" x14ac:dyDescent="0.3">
      <c r="G5249" s="4"/>
      <c r="H5249" s="4"/>
    </row>
    <row r="5250" spans="7:8" x14ac:dyDescent="0.3">
      <c r="G5250" s="4"/>
      <c r="H5250" s="4"/>
    </row>
    <row r="5251" spans="7:8" x14ac:dyDescent="0.3">
      <c r="G5251" s="4"/>
      <c r="H5251" s="4"/>
    </row>
    <row r="5252" spans="7:8" x14ac:dyDescent="0.3">
      <c r="G5252" s="4"/>
      <c r="H5252" s="4"/>
    </row>
    <row r="5253" spans="7:8" x14ac:dyDescent="0.3">
      <c r="G5253" s="4"/>
      <c r="H5253" s="4"/>
    </row>
    <row r="5254" spans="7:8" x14ac:dyDescent="0.3">
      <c r="G5254" s="4"/>
      <c r="H5254" s="4"/>
    </row>
    <row r="5255" spans="7:8" x14ac:dyDescent="0.3">
      <c r="G5255" s="4"/>
      <c r="H5255" s="4"/>
    </row>
    <row r="5256" spans="7:8" x14ac:dyDescent="0.3">
      <c r="G5256" s="4"/>
      <c r="H5256" s="4"/>
    </row>
    <row r="5257" spans="7:8" x14ac:dyDescent="0.3">
      <c r="G5257" s="4"/>
      <c r="H5257" s="4"/>
    </row>
    <row r="5258" spans="7:8" x14ac:dyDescent="0.3">
      <c r="G5258" s="4"/>
      <c r="H5258" s="4"/>
    </row>
    <row r="5259" spans="7:8" x14ac:dyDescent="0.3">
      <c r="G5259" s="4"/>
      <c r="H5259" s="4"/>
    </row>
    <row r="5260" spans="7:8" x14ac:dyDescent="0.3">
      <c r="G5260" s="4"/>
      <c r="H5260" s="4"/>
    </row>
    <row r="5261" spans="7:8" x14ac:dyDescent="0.3">
      <c r="G5261" s="4"/>
      <c r="H5261" s="4"/>
    </row>
    <row r="5262" spans="7:8" x14ac:dyDescent="0.3">
      <c r="G5262" s="4"/>
      <c r="H5262" s="4"/>
    </row>
    <row r="5263" spans="7:8" x14ac:dyDescent="0.3">
      <c r="G5263" s="4"/>
      <c r="H5263" s="4"/>
    </row>
    <row r="5264" spans="7:8" x14ac:dyDescent="0.3">
      <c r="G5264" s="4"/>
      <c r="H5264" s="4"/>
    </row>
    <row r="5265" spans="7:8" x14ac:dyDescent="0.3">
      <c r="G5265" s="4"/>
      <c r="H5265" s="4"/>
    </row>
    <row r="5266" spans="7:8" x14ac:dyDescent="0.3">
      <c r="G5266" s="4"/>
      <c r="H5266" s="4"/>
    </row>
    <row r="5267" spans="7:8" x14ac:dyDescent="0.3">
      <c r="G5267" s="4"/>
      <c r="H5267" s="4"/>
    </row>
    <row r="5268" spans="7:8" x14ac:dyDescent="0.3">
      <c r="G5268" s="4"/>
      <c r="H5268" s="4"/>
    </row>
    <row r="5269" spans="7:8" x14ac:dyDescent="0.3">
      <c r="G5269" s="4"/>
      <c r="H5269" s="4"/>
    </row>
    <row r="5270" spans="7:8" x14ac:dyDescent="0.3">
      <c r="G5270" s="4"/>
      <c r="H5270" s="4"/>
    </row>
    <row r="5271" spans="7:8" x14ac:dyDescent="0.3">
      <c r="G5271" s="4"/>
      <c r="H5271" s="4"/>
    </row>
    <row r="5272" spans="7:8" x14ac:dyDescent="0.3">
      <c r="G5272" s="4"/>
      <c r="H5272" s="4"/>
    </row>
    <row r="5273" spans="7:8" x14ac:dyDescent="0.3">
      <c r="G5273" s="4"/>
      <c r="H5273" s="4"/>
    </row>
    <row r="5274" spans="7:8" x14ac:dyDescent="0.3">
      <c r="G5274" s="4"/>
      <c r="H5274" s="4"/>
    </row>
    <row r="5275" spans="7:8" x14ac:dyDescent="0.3">
      <c r="G5275" s="4"/>
      <c r="H5275" s="4"/>
    </row>
    <row r="5276" spans="7:8" x14ac:dyDescent="0.3">
      <c r="G5276" s="4"/>
      <c r="H5276" s="4"/>
    </row>
    <row r="5277" spans="7:8" x14ac:dyDescent="0.3">
      <c r="G5277" s="4"/>
      <c r="H5277" s="4"/>
    </row>
    <row r="5278" spans="7:8" x14ac:dyDescent="0.3">
      <c r="G5278" s="4"/>
      <c r="H5278" s="4"/>
    </row>
    <row r="5279" spans="7:8" x14ac:dyDescent="0.3">
      <c r="G5279" s="4"/>
      <c r="H5279" s="4"/>
    </row>
    <row r="5280" spans="7:8" x14ac:dyDescent="0.3">
      <c r="G5280" s="4"/>
      <c r="H5280" s="4"/>
    </row>
    <row r="5281" spans="7:8" x14ac:dyDescent="0.3">
      <c r="G5281" s="4"/>
      <c r="H5281" s="4"/>
    </row>
    <row r="5282" spans="7:8" x14ac:dyDescent="0.3">
      <c r="G5282" s="4"/>
      <c r="H5282" s="4"/>
    </row>
    <row r="5283" spans="7:8" x14ac:dyDescent="0.3">
      <c r="G5283" s="4"/>
      <c r="H5283" s="4"/>
    </row>
    <row r="5284" spans="7:8" x14ac:dyDescent="0.3">
      <c r="G5284" s="4"/>
      <c r="H5284" s="4"/>
    </row>
    <row r="5285" spans="7:8" x14ac:dyDescent="0.3">
      <c r="G5285" s="4"/>
      <c r="H5285" s="4"/>
    </row>
    <row r="5286" spans="7:8" x14ac:dyDescent="0.3">
      <c r="G5286" s="4"/>
      <c r="H5286" s="4"/>
    </row>
    <row r="5287" spans="7:8" x14ac:dyDescent="0.3">
      <c r="G5287" s="4"/>
      <c r="H5287" s="4"/>
    </row>
    <row r="5288" spans="7:8" x14ac:dyDescent="0.3">
      <c r="G5288" s="4"/>
      <c r="H5288" s="4"/>
    </row>
    <row r="5289" spans="7:8" x14ac:dyDescent="0.3">
      <c r="G5289" s="4"/>
      <c r="H5289" s="4"/>
    </row>
    <row r="5290" spans="7:8" x14ac:dyDescent="0.3">
      <c r="G5290" s="4"/>
      <c r="H5290" s="4"/>
    </row>
    <row r="5291" spans="7:8" x14ac:dyDescent="0.3">
      <c r="G5291" s="4"/>
      <c r="H5291" s="4"/>
    </row>
    <row r="5292" spans="7:8" x14ac:dyDescent="0.3">
      <c r="G5292" s="4"/>
      <c r="H5292" s="4"/>
    </row>
    <row r="5293" spans="7:8" x14ac:dyDescent="0.3">
      <c r="G5293" s="4"/>
      <c r="H5293" s="4"/>
    </row>
    <row r="5294" spans="7:8" x14ac:dyDescent="0.3">
      <c r="G5294" s="4"/>
      <c r="H5294" s="4"/>
    </row>
    <row r="5295" spans="7:8" x14ac:dyDescent="0.3">
      <c r="G5295" s="4"/>
      <c r="H5295" s="4"/>
    </row>
    <row r="5296" spans="7:8" x14ac:dyDescent="0.3">
      <c r="G5296" s="4"/>
      <c r="H5296" s="4"/>
    </row>
    <row r="5297" spans="7:8" x14ac:dyDescent="0.3">
      <c r="G5297" s="4"/>
      <c r="H5297" s="4"/>
    </row>
    <row r="5298" spans="7:8" x14ac:dyDescent="0.3">
      <c r="G5298" s="4"/>
      <c r="H5298" s="4"/>
    </row>
    <row r="5299" spans="7:8" x14ac:dyDescent="0.3">
      <c r="G5299" s="4"/>
      <c r="H5299" s="4"/>
    </row>
    <row r="5300" spans="7:8" x14ac:dyDescent="0.3">
      <c r="G5300" s="4"/>
      <c r="H5300" s="4"/>
    </row>
    <row r="5301" spans="7:8" x14ac:dyDescent="0.3">
      <c r="G5301" s="4"/>
      <c r="H5301" s="4"/>
    </row>
    <row r="5302" spans="7:8" x14ac:dyDescent="0.3">
      <c r="G5302" s="4"/>
      <c r="H5302" s="4"/>
    </row>
    <row r="5303" spans="7:8" x14ac:dyDescent="0.3">
      <c r="G5303" s="4"/>
      <c r="H5303" s="4"/>
    </row>
    <row r="5304" spans="7:8" x14ac:dyDescent="0.3">
      <c r="G5304" s="4"/>
      <c r="H5304" s="4"/>
    </row>
    <row r="5305" spans="7:8" x14ac:dyDescent="0.3">
      <c r="G5305" s="4"/>
      <c r="H5305" s="4"/>
    </row>
    <row r="5306" spans="7:8" x14ac:dyDescent="0.3">
      <c r="G5306" s="4"/>
      <c r="H5306" s="4"/>
    </row>
    <row r="5307" spans="7:8" x14ac:dyDescent="0.3">
      <c r="G5307" s="4"/>
      <c r="H5307" s="4"/>
    </row>
    <row r="5308" spans="7:8" x14ac:dyDescent="0.3">
      <c r="G5308" s="4"/>
      <c r="H5308" s="4"/>
    </row>
    <row r="5309" spans="7:8" x14ac:dyDescent="0.3">
      <c r="G5309" s="4"/>
      <c r="H5309" s="4"/>
    </row>
    <row r="5310" spans="7:8" x14ac:dyDescent="0.3">
      <c r="G5310" s="4"/>
      <c r="H5310" s="4"/>
    </row>
    <row r="5311" spans="7:8" x14ac:dyDescent="0.3">
      <c r="G5311" s="4"/>
      <c r="H5311" s="4"/>
    </row>
    <row r="5312" spans="7:8" x14ac:dyDescent="0.3">
      <c r="G5312" s="4"/>
      <c r="H5312" s="4"/>
    </row>
    <row r="5313" spans="7:8" x14ac:dyDescent="0.3">
      <c r="G5313" s="4"/>
      <c r="H5313" s="4"/>
    </row>
    <row r="5314" spans="7:8" x14ac:dyDescent="0.3">
      <c r="G5314" s="4"/>
      <c r="H5314" s="4"/>
    </row>
    <row r="5315" spans="7:8" x14ac:dyDescent="0.3">
      <c r="G5315" s="4"/>
      <c r="H5315" s="4"/>
    </row>
    <row r="5316" spans="7:8" x14ac:dyDescent="0.3">
      <c r="G5316" s="4"/>
      <c r="H5316" s="4"/>
    </row>
    <row r="5317" spans="7:8" x14ac:dyDescent="0.3">
      <c r="G5317" s="4"/>
      <c r="H5317" s="4"/>
    </row>
    <row r="5318" spans="7:8" x14ac:dyDescent="0.3">
      <c r="G5318" s="4"/>
      <c r="H5318" s="4"/>
    </row>
    <row r="5319" spans="7:8" x14ac:dyDescent="0.3">
      <c r="G5319" s="4"/>
      <c r="H5319" s="4"/>
    </row>
    <row r="5320" spans="7:8" x14ac:dyDescent="0.3">
      <c r="G5320" s="4"/>
      <c r="H5320" s="4"/>
    </row>
    <row r="5321" spans="7:8" x14ac:dyDescent="0.3">
      <c r="G5321" s="4"/>
      <c r="H5321" s="4"/>
    </row>
    <row r="5322" spans="7:8" x14ac:dyDescent="0.3">
      <c r="G5322" s="4"/>
      <c r="H5322" s="4"/>
    </row>
    <row r="5323" spans="7:8" x14ac:dyDescent="0.3">
      <c r="G5323" s="4"/>
      <c r="H5323" s="4"/>
    </row>
    <row r="5324" spans="7:8" x14ac:dyDescent="0.3">
      <c r="G5324" s="4"/>
      <c r="H5324" s="4"/>
    </row>
    <row r="5325" spans="7:8" x14ac:dyDescent="0.3">
      <c r="G5325" s="4"/>
      <c r="H5325" s="4"/>
    </row>
    <row r="5326" spans="7:8" x14ac:dyDescent="0.3">
      <c r="G5326" s="4"/>
      <c r="H5326" s="4"/>
    </row>
    <row r="5327" spans="7:8" x14ac:dyDescent="0.3">
      <c r="G5327" s="4"/>
      <c r="H5327" s="4"/>
    </row>
    <row r="5328" spans="7:8" x14ac:dyDescent="0.3">
      <c r="G5328" s="4"/>
      <c r="H5328" s="4"/>
    </row>
    <row r="5329" spans="7:8" x14ac:dyDescent="0.3">
      <c r="G5329" s="4"/>
      <c r="H5329" s="4"/>
    </row>
    <row r="5330" spans="7:8" x14ac:dyDescent="0.3">
      <c r="G5330" s="4"/>
      <c r="H5330" s="4"/>
    </row>
    <row r="5331" spans="7:8" x14ac:dyDescent="0.3">
      <c r="G5331" s="4"/>
      <c r="H5331" s="4"/>
    </row>
    <row r="5332" spans="7:8" x14ac:dyDescent="0.3">
      <c r="G5332" s="4"/>
      <c r="H5332" s="4"/>
    </row>
    <row r="5333" spans="7:8" x14ac:dyDescent="0.3">
      <c r="G5333" s="4"/>
      <c r="H5333" s="4"/>
    </row>
    <row r="5334" spans="7:8" x14ac:dyDescent="0.3">
      <c r="G5334" s="4"/>
      <c r="H5334" s="4"/>
    </row>
    <row r="5335" spans="7:8" x14ac:dyDescent="0.3">
      <c r="G5335" s="4"/>
      <c r="H5335" s="4"/>
    </row>
    <row r="5336" spans="7:8" x14ac:dyDescent="0.3">
      <c r="G5336" s="4"/>
      <c r="H5336" s="4"/>
    </row>
    <row r="5337" spans="7:8" x14ac:dyDescent="0.3">
      <c r="G5337" s="4"/>
      <c r="H5337" s="4"/>
    </row>
    <row r="5338" spans="7:8" x14ac:dyDescent="0.3">
      <c r="G5338" s="4"/>
      <c r="H5338" s="4"/>
    </row>
    <row r="5339" spans="7:8" x14ac:dyDescent="0.3">
      <c r="G5339" s="4"/>
      <c r="H5339" s="4"/>
    </row>
    <row r="5340" spans="7:8" x14ac:dyDescent="0.3">
      <c r="G5340" s="4"/>
      <c r="H5340" s="4"/>
    </row>
    <row r="5341" spans="7:8" x14ac:dyDescent="0.3">
      <c r="G5341" s="4"/>
      <c r="H5341" s="4"/>
    </row>
    <row r="5342" spans="7:8" x14ac:dyDescent="0.3">
      <c r="G5342" s="4"/>
      <c r="H5342" s="4"/>
    </row>
    <row r="5343" spans="7:8" x14ac:dyDescent="0.3">
      <c r="G5343" s="4"/>
      <c r="H5343" s="4"/>
    </row>
    <row r="5344" spans="7:8" x14ac:dyDescent="0.3">
      <c r="G5344" s="4"/>
      <c r="H5344" s="4"/>
    </row>
    <row r="5345" spans="7:8" x14ac:dyDescent="0.3">
      <c r="G5345" s="4"/>
      <c r="H5345" s="4"/>
    </row>
    <row r="5346" spans="7:8" x14ac:dyDescent="0.3">
      <c r="G5346" s="4"/>
      <c r="H5346" s="4"/>
    </row>
    <row r="5347" spans="7:8" x14ac:dyDescent="0.3">
      <c r="G5347" s="4"/>
      <c r="H5347" s="4"/>
    </row>
    <row r="5348" spans="7:8" x14ac:dyDescent="0.3">
      <c r="G5348" s="4"/>
      <c r="H5348" s="4"/>
    </row>
    <row r="5349" spans="7:8" x14ac:dyDescent="0.3">
      <c r="G5349" s="4"/>
      <c r="H5349" s="4"/>
    </row>
    <row r="5350" spans="7:8" x14ac:dyDescent="0.3">
      <c r="G5350" s="4"/>
      <c r="H5350" s="4"/>
    </row>
    <row r="5351" spans="7:8" x14ac:dyDescent="0.3">
      <c r="G5351" s="4"/>
      <c r="H5351" s="4"/>
    </row>
    <row r="5352" spans="7:8" x14ac:dyDescent="0.3">
      <c r="G5352" s="4"/>
      <c r="H5352" s="4"/>
    </row>
    <row r="5353" spans="7:8" x14ac:dyDescent="0.3">
      <c r="G5353" s="4"/>
      <c r="H5353" s="4"/>
    </row>
    <row r="5354" spans="7:8" x14ac:dyDescent="0.3">
      <c r="G5354" s="4"/>
      <c r="H5354" s="4"/>
    </row>
    <row r="5355" spans="7:8" x14ac:dyDescent="0.3">
      <c r="G5355" s="4"/>
      <c r="H5355" s="4"/>
    </row>
    <row r="5356" spans="7:8" x14ac:dyDescent="0.3">
      <c r="G5356" s="4"/>
      <c r="H5356" s="4"/>
    </row>
    <row r="5357" spans="7:8" x14ac:dyDescent="0.3">
      <c r="G5357" s="4"/>
      <c r="H5357" s="4"/>
    </row>
    <row r="5358" spans="7:8" x14ac:dyDescent="0.3">
      <c r="G5358" s="4"/>
      <c r="H5358" s="4"/>
    </row>
    <row r="5359" spans="7:8" x14ac:dyDescent="0.3">
      <c r="G5359" s="4"/>
      <c r="H5359" s="4"/>
    </row>
    <row r="5360" spans="7:8" x14ac:dyDescent="0.3">
      <c r="G5360" s="4"/>
      <c r="H5360" s="4"/>
    </row>
    <row r="5361" spans="7:8" x14ac:dyDescent="0.3">
      <c r="G5361" s="4"/>
      <c r="H5361" s="4"/>
    </row>
    <row r="5362" spans="7:8" x14ac:dyDescent="0.3">
      <c r="G5362" s="4"/>
      <c r="H5362" s="4"/>
    </row>
    <row r="5363" spans="7:8" x14ac:dyDescent="0.3">
      <c r="G5363" s="4"/>
      <c r="H5363" s="4"/>
    </row>
    <row r="5364" spans="7:8" x14ac:dyDescent="0.3">
      <c r="G5364" s="4"/>
      <c r="H5364" s="4"/>
    </row>
    <row r="5365" spans="7:8" x14ac:dyDescent="0.3">
      <c r="G5365" s="4"/>
      <c r="H5365" s="4"/>
    </row>
    <row r="5366" spans="7:8" x14ac:dyDescent="0.3">
      <c r="G5366" s="4"/>
      <c r="H5366" s="4"/>
    </row>
    <row r="5367" spans="7:8" x14ac:dyDescent="0.3">
      <c r="G5367" s="4"/>
      <c r="H5367" s="4"/>
    </row>
    <row r="5368" spans="7:8" x14ac:dyDescent="0.3">
      <c r="G5368" s="4"/>
      <c r="H5368" s="4"/>
    </row>
    <row r="5369" spans="7:8" x14ac:dyDescent="0.3">
      <c r="G5369" s="4"/>
      <c r="H5369" s="4"/>
    </row>
    <row r="5370" spans="7:8" x14ac:dyDescent="0.3">
      <c r="G5370" s="4"/>
      <c r="H5370" s="4"/>
    </row>
    <row r="5371" spans="7:8" x14ac:dyDescent="0.3">
      <c r="G5371" s="4"/>
      <c r="H5371" s="4"/>
    </row>
    <row r="5372" spans="7:8" x14ac:dyDescent="0.3">
      <c r="G5372" s="4"/>
      <c r="H5372" s="4"/>
    </row>
    <row r="5373" spans="7:8" x14ac:dyDescent="0.3">
      <c r="G5373" s="4"/>
      <c r="H5373" s="4"/>
    </row>
    <row r="5374" spans="7:8" x14ac:dyDescent="0.3">
      <c r="G5374" s="4"/>
      <c r="H5374" s="4"/>
    </row>
    <row r="5375" spans="7:8" x14ac:dyDescent="0.3">
      <c r="G5375" s="4"/>
      <c r="H5375" s="4"/>
    </row>
    <row r="5376" spans="7:8" x14ac:dyDescent="0.3">
      <c r="G5376" s="4"/>
      <c r="H5376" s="4"/>
    </row>
    <row r="5377" spans="7:8" x14ac:dyDescent="0.3">
      <c r="G5377" s="4"/>
      <c r="H5377" s="4"/>
    </row>
    <row r="5378" spans="7:8" x14ac:dyDescent="0.3">
      <c r="G5378" s="4"/>
      <c r="H5378" s="4"/>
    </row>
    <row r="5379" spans="7:8" x14ac:dyDescent="0.3">
      <c r="G5379" s="4"/>
      <c r="H5379" s="4"/>
    </row>
    <row r="5380" spans="7:8" x14ac:dyDescent="0.3">
      <c r="G5380" s="4"/>
      <c r="H5380" s="4"/>
    </row>
    <row r="5381" spans="7:8" x14ac:dyDescent="0.3">
      <c r="G5381" s="4"/>
      <c r="H5381" s="4"/>
    </row>
    <row r="5382" spans="7:8" x14ac:dyDescent="0.3">
      <c r="G5382" s="4"/>
      <c r="H5382" s="4"/>
    </row>
    <row r="5383" spans="7:8" x14ac:dyDescent="0.3">
      <c r="G5383" s="4"/>
      <c r="H5383" s="4"/>
    </row>
    <row r="5384" spans="7:8" x14ac:dyDescent="0.3">
      <c r="G5384" s="4"/>
      <c r="H5384" s="4"/>
    </row>
    <row r="5385" spans="7:8" x14ac:dyDescent="0.3">
      <c r="G5385" s="4"/>
      <c r="H5385" s="4"/>
    </row>
    <row r="5386" spans="7:8" x14ac:dyDescent="0.3">
      <c r="G5386" s="4"/>
      <c r="H5386" s="4"/>
    </row>
    <row r="5387" spans="7:8" x14ac:dyDescent="0.3">
      <c r="G5387" s="4"/>
      <c r="H5387" s="4"/>
    </row>
    <row r="5388" spans="7:8" x14ac:dyDescent="0.3">
      <c r="G5388" s="4"/>
      <c r="H5388" s="4"/>
    </row>
    <row r="5389" spans="7:8" x14ac:dyDescent="0.3">
      <c r="G5389" s="4"/>
      <c r="H5389" s="4"/>
    </row>
    <row r="5390" spans="7:8" x14ac:dyDescent="0.3">
      <c r="G5390" s="4"/>
      <c r="H5390" s="4"/>
    </row>
    <row r="5391" spans="7:8" x14ac:dyDescent="0.3">
      <c r="G5391" s="4"/>
      <c r="H5391" s="4"/>
    </row>
    <row r="5392" spans="7:8" x14ac:dyDescent="0.3">
      <c r="G5392" s="4"/>
      <c r="H5392" s="4"/>
    </row>
    <row r="5393" spans="7:8" x14ac:dyDescent="0.3">
      <c r="G5393" s="4"/>
      <c r="H5393" s="4"/>
    </row>
    <row r="5394" spans="7:8" x14ac:dyDescent="0.3">
      <c r="G5394" s="4"/>
      <c r="H5394" s="4"/>
    </row>
    <row r="5395" spans="7:8" x14ac:dyDescent="0.3">
      <c r="G5395" s="4"/>
      <c r="H5395" s="4"/>
    </row>
    <row r="5396" spans="7:8" x14ac:dyDescent="0.3">
      <c r="G5396" s="4"/>
      <c r="H5396" s="4"/>
    </row>
    <row r="5397" spans="7:8" x14ac:dyDescent="0.3">
      <c r="G5397" s="4"/>
      <c r="H5397" s="4"/>
    </row>
    <row r="5398" spans="7:8" x14ac:dyDescent="0.3">
      <c r="G5398" s="4"/>
      <c r="H5398" s="4"/>
    </row>
    <row r="5399" spans="7:8" x14ac:dyDescent="0.3">
      <c r="G5399" s="4"/>
      <c r="H5399" s="4"/>
    </row>
    <row r="5400" spans="7:8" x14ac:dyDescent="0.3">
      <c r="G5400" s="4"/>
      <c r="H5400" s="4"/>
    </row>
    <row r="5401" spans="7:8" x14ac:dyDescent="0.3">
      <c r="G5401" s="4"/>
      <c r="H5401" s="4"/>
    </row>
    <row r="5402" spans="7:8" x14ac:dyDescent="0.3">
      <c r="G5402" s="4"/>
      <c r="H5402" s="4"/>
    </row>
    <row r="5403" spans="7:8" x14ac:dyDescent="0.3">
      <c r="G5403" s="4"/>
      <c r="H5403" s="4"/>
    </row>
    <row r="5404" spans="7:8" x14ac:dyDescent="0.3">
      <c r="G5404" s="4"/>
      <c r="H5404" s="4"/>
    </row>
    <row r="5405" spans="7:8" x14ac:dyDescent="0.3">
      <c r="G5405" s="4"/>
      <c r="H5405" s="4"/>
    </row>
    <row r="5406" spans="7:8" x14ac:dyDescent="0.3">
      <c r="G5406" s="4"/>
      <c r="H5406" s="4"/>
    </row>
    <row r="5407" spans="7:8" x14ac:dyDescent="0.3">
      <c r="G5407" s="4"/>
      <c r="H5407" s="4"/>
    </row>
    <row r="5408" spans="7:8" x14ac:dyDescent="0.3">
      <c r="G5408" s="4"/>
      <c r="H5408" s="4"/>
    </row>
    <row r="5409" spans="7:8" x14ac:dyDescent="0.3">
      <c r="G5409" s="4"/>
      <c r="H5409" s="4"/>
    </row>
    <row r="5410" spans="7:8" x14ac:dyDescent="0.3">
      <c r="G5410" s="4"/>
      <c r="H5410" s="4"/>
    </row>
    <row r="5411" spans="7:8" x14ac:dyDescent="0.3">
      <c r="G5411" s="4"/>
      <c r="H5411" s="4"/>
    </row>
    <row r="5412" spans="7:8" x14ac:dyDescent="0.3">
      <c r="G5412" s="4"/>
      <c r="H5412" s="4"/>
    </row>
    <row r="5413" spans="7:8" x14ac:dyDescent="0.3">
      <c r="G5413" s="4"/>
      <c r="H5413" s="4"/>
    </row>
    <row r="5414" spans="7:8" x14ac:dyDescent="0.3">
      <c r="G5414" s="4"/>
      <c r="H5414" s="4"/>
    </row>
    <row r="5415" spans="7:8" x14ac:dyDescent="0.3">
      <c r="G5415" s="4"/>
      <c r="H5415" s="4"/>
    </row>
    <row r="5416" spans="7:8" x14ac:dyDescent="0.3">
      <c r="G5416" s="4"/>
      <c r="H5416" s="4"/>
    </row>
    <row r="5417" spans="7:8" x14ac:dyDescent="0.3">
      <c r="G5417" s="4"/>
      <c r="H5417" s="4"/>
    </row>
    <row r="5418" spans="7:8" x14ac:dyDescent="0.3">
      <c r="G5418" s="4"/>
      <c r="H5418" s="4"/>
    </row>
    <row r="5419" spans="7:8" x14ac:dyDescent="0.3">
      <c r="G5419" s="4"/>
      <c r="H5419" s="4"/>
    </row>
    <row r="5420" spans="7:8" x14ac:dyDescent="0.3">
      <c r="G5420" s="4"/>
      <c r="H5420" s="4"/>
    </row>
    <row r="5421" spans="7:8" x14ac:dyDescent="0.3">
      <c r="G5421" s="4"/>
      <c r="H5421" s="4"/>
    </row>
    <row r="5422" spans="7:8" x14ac:dyDescent="0.3">
      <c r="G5422" s="4"/>
      <c r="H5422" s="4"/>
    </row>
    <row r="5423" spans="7:8" x14ac:dyDescent="0.3">
      <c r="G5423" s="4"/>
      <c r="H5423" s="4"/>
    </row>
    <row r="5424" spans="7:8" x14ac:dyDescent="0.3">
      <c r="G5424" s="4"/>
      <c r="H5424" s="4"/>
    </row>
    <row r="5425" spans="7:8" x14ac:dyDescent="0.3">
      <c r="G5425" s="4"/>
      <c r="H5425" s="4"/>
    </row>
    <row r="5426" spans="7:8" x14ac:dyDescent="0.3">
      <c r="G5426" s="4"/>
      <c r="H5426" s="4"/>
    </row>
    <row r="5427" spans="7:8" x14ac:dyDescent="0.3">
      <c r="G5427" s="4"/>
      <c r="H5427" s="4"/>
    </row>
    <row r="5428" spans="7:8" x14ac:dyDescent="0.3">
      <c r="G5428" s="4"/>
      <c r="H5428" s="4"/>
    </row>
    <row r="5429" spans="7:8" x14ac:dyDescent="0.3">
      <c r="G5429" s="4"/>
      <c r="H5429" s="4"/>
    </row>
    <row r="5430" spans="7:8" x14ac:dyDescent="0.3">
      <c r="G5430" s="4"/>
      <c r="H5430" s="4"/>
    </row>
    <row r="5431" spans="7:8" x14ac:dyDescent="0.3">
      <c r="G5431" s="4"/>
      <c r="H5431" s="4"/>
    </row>
    <row r="5432" spans="7:8" x14ac:dyDescent="0.3">
      <c r="G5432" s="4"/>
      <c r="H5432" s="4"/>
    </row>
    <row r="5433" spans="7:8" x14ac:dyDescent="0.3">
      <c r="G5433" s="4"/>
      <c r="H5433" s="4"/>
    </row>
    <row r="5434" spans="7:8" x14ac:dyDescent="0.3">
      <c r="G5434" s="4"/>
      <c r="H5434" s="4"/>
    </row>
    <row r="5435" spans="7:8" x14ac:dyDescent="0.3">
      <c r="G5435" s="4"/>
      <c r="H5435" s="4"/>
    </row>
    <row r="5436" spans="7:8" x14ac:dyDescent="0.3">
      <c r="G5436" s="4"/>
      <c r="H5436" s="4"/>
    </row>
    <row r="5437" spans="7:8" x14ac:dyDescent="0.3">
      <c r="G5437" s="4"/>
      <c r="H5437" s="4"/>
    </row>
    <row r="5438" spans="7:8" x14ac:dyDescent="0.3">
      <c r="G5438" s="4"/>
      <c r="H5438" s="4"/>
    </row>
    <row r="5439" spans="7:8" x14ac:dyDescent="0.3">
      <c r="G5439" s="4"/>
      <c r="H5439" s="4"/>
    </row>
    <row r="5440" spans="7:8" x14ac:dyDescent="0.3">
      <c r="G5440" s="4"/>
      <c r="H5440" s="4"/>
    </row>
    <row r="5441" spans="7:8" x14ac:dyDescent="0.3">
      <c r="G5441" s="4"/>
      <c r="H5441" s="4"/>
    </row>
    <row r="5442" spans="7:8" x14ac:dyDescent="0.3">
      <c r="G5442" s="4"/>
      <c r="H5442" s="4"/>
    </row>
    <row r="5443" spans="7:8" x14ac:dyDescent="0.3">
      <c r="G5443" s="4"/>
      <c r="H5443" s="4"/>
    </row>
    <row r="5444" spans="7:8" x14ac:dyDescent="0.3">
      <c r="G5444" s="4"/>
      <c r="H5444" s="4"/>
    </row>
    <row r="5445" spans="7:8" x14ac:dyDescent="0.3">
      <c r="G5445" s="4"/>
      <c r="H5445" s="4"/>
    </row>
    <row r="5446" spans="7:8" x14ac:dyDescent="0.3">
      <c r="G5446" s="4"/>
      <c r="H5446" s="4"/>
    </row>
    <row r="5447" spans="7:8" x14ac:dyDescent="0.3">
      <c r="G5447" s="4"/>
      <c r="H5447" s="4"/>
    </row>
    <row r="5448" spans="7:8" x14ac:dyDescent="0.3">
      <c r="G5448" s="4"/>
      <c r="H5448" s="4"/>
    </row>
    <row r="5449" spans="7:8" x14ac:dyDescent="0.3">
      <c r="G5449" s="4"/>
      <c r="H5449" s="4"/>
    </row>
    <row r="5450" spans="7:8" x14ac:dyDescent="0.3">
      <c r="G5450" s="4"/>
      <c r="H5450" s="4"/>
    </row>
    <row r="5451" spans="7:8" x14ac:dyDescent="0.3">
      <c r="G5451" s="4"/>
      <c r="H5451" s="4"/>
    </row>
    <row r="5452" spans="7:8" x14ac:dyDescent="0.3">
      <c r="G5452" s="4"/>
      <c r="H5452" s="4"/>
    </row>
    <row r="5453" spans="7:8" x14ac:dyDescent="0.3">
      <c r="G5453" s="4"/>
      <c r="H5453" s="4"/>
    </row>
    <row r="5454" spans="7:8" x14ac:dyDescent="0.3">
      <c r="G5454" s="4"/>
      <c r="H5454" s="4"/>
    </row>
    <row r="5455" spans="7:8" x14ac:dyDescent="0.3">
      <c r="G5455" s="4"/>
      <c r="H5455" s="4"/>
    </row>
    <row r="5456" spans="7:8" x14ac:dyDescent="0.3">
      <c r="G5456" s="4"/>
      <c r="H5456" s="4"/>
    </row>
    <row r="5457" spans="7:8" x14ac:dyDescent="0.3">
      <c r="G5457" s="4"/>
      <c r="H5457" s="4"/>
    </row>
    <row r="5458" spans="7:8" x14ac:dyDescent="0.3">
      <c r="G5458" s="4"/>
      <c r="H5458" s="4"/>
    </row>
    <row r="5459" spans="7:8" x14ac:dyDescent="0.3">
      <c r="G5459" s="4"/>
      <c r="H5459" s="4"/>
    </row>
    <row r="5460" spans="7:8" x14ac:dyDescent="0.3">
      <c r="G5460" s="4"/>
      <c r="H5460" s="4"/>
    </row>
    <row r="5461" spans="7:8" x14ac:dyDescent="0.3">
      <c r="G5461" s="4"/>
      <c r="H5461" s="4"/>
    </row>
    <row r="5462" spans="7:8" x14ac:dyDescent="0.3">
      <c r="G5462" s="4"/>
      <c r="H5462" s="4"/>
    </row>
    <row r="5463" spans="7:8" x14ac:dyDescent="0.3">
      <c r="G5463" s="4"/>
      <c r="H5463" s="4"/>
    </row>
    <row r="5464" spans="7:8" x14ac:dyDescent="0.3">
      <c r="G5464" s="4"/>
      <c r="H5464" s="4"/>
    </row>
    <row r="5465" spans="7:8" x14ac:dyDescent="0.3">
      <c r="G5465" s="4"/>
      <c r="H5465" s="4"/>
    </row>
    <row r="5466" spans="7:8" x14ac:dyDescent="0.3">
      <c r="G5466" s="4"/>
      <c r="H5466" s="4"/>
    </row>
    <row r="5467" spans="7:8" x14ac:dyDescent="0.3">
      <c r="G5467" s="4"/>
      <c r="H5467" s="4"/>
    </row>
    <row r="5468" spans="7:8" x14ac:dyDescent="0.3">
      <c r="G5468" s="4"/>
      <c r="H5468" s="4"/>
    </row>
    <row r="5469" spans="7:8" x14ac:dyDescent="0.3">
      <c r="G5469" s="4"/>
      <c r="H5469" s="4"/>
    </row>
    <row r="5470" spans="7:8" x14ac:dyDescent="0.3">
      <c r="G5470" s="4"/>
      <c r="H5470" s="4"/>
    </row>
    <row r="5471" spans="7:8" x14ac:dyDescent="0.3">
      <c r="G5471" s="4"/>
      <c r="H5471" s="4"/>
    </row>
    <row r="5472" spans="7:8" x14ac:dyDescent="0.3">
      <c r="G5472" s="4"/>
      <c r="H5472" s="4"/>
    </row>
    <row r="5473" spans="7:8" x14ac:dyDescent="0.3">
      <c r="G5473" s="4"/>
      <c r="H5473" s="4"/>
    </row>
    <row r="5474" spans="7:8" x14ac:dyDescent="0.3">
      <c r="G5474" s="4"/>
      <c r="H5474" s="4"/>
    </row>
    <row r="5475" spans="7:8" x14ac:dyDescent="0.3">
      <c r="G5475" s="4"/>
      <c r="H5475" s="4"/>
    </row>
    <row r="5476" spans="7:8" x14ac:dyDescent="0.3">
      <c r="G5476" s="4"/>
      <c r="H5476" s="4"/>
    </row>
    <row r="5477" spans="7:8" x14ac:dyDescent="0.3">
      <c r="G5477" s="4"/>
      <c r="H5477" s="4"/>
    </row>
    <row r="5478" spans="7:8" x14ac:dyDescent="0.3">
      <c r="G5478" s="4"/>
      <c r="H5478" s="4"/>
    </row>
    <row r="5479" spans="7:8" x14ac:dyDescent="0.3">
      <c r="G5479" s="4"/>
      <c r="H5479" s="4"/>
    </row>
    <row r="5480" spans="7:8" x14ac:dyDescent="0.3">
      <c r="G5480" s="4"/>
      <c r="H5480" s="4"/>
    </row>
    <row r="5481" spans="7:8" x14ac:dyDescent="0.3">
      <c r="G5481" s="4"/>
      <c r="H5481" s="4"/>
    </row>
    <row r="5482" spans="7:8" x14ac:dyDescent="0.3">
      <c r="G5482" s="4"/>
      <c r="H5482" s="4"/>
    </row>
    <row r="5483" spans="7:8" x14ac:dyDescent="0.3">
      <c r="G5483" s="4"/>
      <c r="H5483" s="4"/>
    </row>
    <row r="5484" spans="7:8" x14ac:dyDescent="0.3">
      <c r="G5484" s="4"/>
      <c r="H5484" s="4"/>
    </row>
    <row r="5485" spans="7:8" x14ac:dyDescent="0.3">
      <c r="G5485" s="4"/>
      <c r="H5485" s="4"/>
    </row>
    <row r="5486" spans="7:8" x14ac:dyDescent="0.3">
      <c r="G5486" s="4"/>
      <c r="H5486" s="4"/>
    </row>
    <row r="5487" spans="7:8" x14ac:dyDescent="0.3">
      <c r="G5487" s="4"/>
      <c r="H5487" s="4"/>
    </row>
    <row r="5488" spans="7:8" x14ac:dyDescent="0.3">
      <c r="G5488" s="4"/>
      <c r="H5488" s="4"/>
    </row>
    <row r="5489" spans="7:8" x14ac:dyDescent="0.3">
      <c r="G5489" s="4"/>
      <c r="H5489" s="4"/>
    </row>
    <row r="5490" spans="7:8" x14ac:dyDescent="0.3">
      <c r="G5490" s="4"/>
      <c r="H5490" s="4"/>
    </row>
    <row r="5491" spans="7:8" x14ac:dyDescent="0.3">
      <c r="G5491" s="4"/>
      <c r="H5491" s="4"/>
    </row>
    <row r="5492" spans="7:8" x14ac:dyDescent="0.3">
      <c r="G5492" s="4"/>
      <c r="H5492" s="4"/>
    </row>
    <row r="5493" spans="7:8" x14ac:dyDescent="0.3">
      <c r="G5493" s="4"/>
      <c r="H5493" s="4"/>
    </row>
    <row r="5494" spans="7:8" x14ac:dyDescent="0.3">
      <c r="G5494" s="4"/>
      <c r="H5494" s="4"/>
    </row>
    <row r="5495" spans="7:8" x14ac:dyDescent="0.3">
      <c r="G5495" s="4"/>
      <c r="H5495" s="4"/>
    </row>
    <row r="5496" spans="7:8" x14ac:dyDescent="0.3">
      <c r="G5496" s="4"/>
      <c r="H5496" s="4"/>
    </row>
    <row r="5497" spans="7:8" x14ac:dyDescent="0.3">
      <c r="G5497" s="4"/>
      <c r="H5497" s="4"/>
    </row>
    <row r="5498" spans="7:8" x14ac:dyDescent="0.3">
      <c r="G5498" s="4"/>
      <c r="H5498" s="4"/>
    </row>
    <row r="5499" spans="7:8" x14ac:dyDescent="0.3">
      <c r="G5499" s="4"/>
      <c r="H5499" s="4"/>
    </row>
    <row r="5500" spans="7:8" x14ac:dyDescent="0.3">
      <c r="G5500" s="4"/>
      <c r="H5500" s="4"/>
    </row>
    <row r="5501" spans="7:8" x14ac:dyDescent="0.3">
      <c r="G5501" s="4"/>
      <c r="H5501" s="4"/>
    </row>
    <row r="5502" spans="7:8" x14ac:dyDescent="0.3">
      <c r="G5502" s="4"/>
      <c r="H5502" s="4"/>
    </row>
    <row r="5503" spans="7:8" x14ac:dyDescent="0.3">
      <c r="G5503" s="4"/>
      <c r="H5503" s="4"/>
    </row>
    <row r="5504" spans="7:8" x14ac:dyDescent="0.3">
      <c r="G5504" s="4"/>
      <c r="H5504" s="4"/>
    </row>
    <row r="5505" spans="7:8" x14ac:dyDescent="0.3">
      <c r="G5505" s="4"/>
      <c r="H5505" s="4"/>
    </row>
    <row r="5506" spans="7:8" x14ac:dyDescent="0.3">
      <c r="G5506" s="4"/>
      <c r="H5506" s="4"/>
    </row>
    <row r="5507" spans="7:8" x14ac:dyDescent="0.3">
      <c r="G5507" s="4"/>
      <c r="H5507" s="4"/>
    </row>
    <row r="5508" spans="7:8" x14ac:dyDescent="0.3">
      <c r="G5508" s="4"/>
      <c r="H5508" s="4"/>
    </row>
    <row r="5509" spans="7:8" x14ac:dyDescent="0.3">
      <c r="G5509" s="4"/>
      <c r="H5509" s="4"/>
    </row>
    <row r="5510" spans="7:8" x14ac:dyDescent="0.3">
      <c r="G5510" s="4"/>
      <c r="H5510" s="4"/>
    </row>
    <row r="5511" spans="7:8" x14ac:dyDescent="0.3">
      <c r="G5511" s="4"/>
      <c r="H5511" s="4"/>
    </row>
    <row r="5512" spans="7:8" x14ac:dyDescent="0.3">
      <c r="G5512" s="4"/>
      <c r="H5512" s="4"/>
    </row>
    <row r="5513" spans="7:8" x14ac:dyDescent="0.3">
      <c r="G5513" s="4"/>
      <c r="H5513" s="4"/>
    </row>
    <row r="5514" spans="7:8" x14ac:dyDescent="0.3">
      <c r="G5514" s="4"/>
      <c r="H5514" s="4"/>
    </row>
    <row r="5515" spans="7:8" x14ac:dyDescent="0.3">
      <c r="G5515" s="4"/>
      <c r="H5515" s="4"/>
    </row>
    <row r="5516" spans="7:8" x14ac:dyDescent="0.3">
      <c r="G5516" s="4"/>
      <c r="H5516" s="4"/>
    </row>
    <row r="5517" spans="7:8" x14ac:dyDescent="0.3">
      <c r="G5517" s="4"/>
      <c r="H5517" s="4"/>
    </row>
    <row r="5518" spans="7:8" x14ac:dyDescent="0.3">
      <c r="G5518" s="4"/>
      <c r="H5518" s="4"/>
    </row>
    <row r="5519" spans="7:8" x14ac:dyDescent="0.3">
      <c r="G5519" s="4"/>
      <c r="H5519" s="4"/>
    </row>
    <row r="5520" spans="7:8" x14ac:dyDescent="0.3">
      <c r="G5520" s="4"/>
      <c r="H5520" s="4"/>
    </row>
    <row r="5521" spans="7:8" x14ac:dyDescent="0.3">
      <c r="G5521" s="4"/>
      <c r="H5521" s="4"/>
    </row>
    <row r="5522" spans="7:8" x14ac:dyDescent="0.3">
      <c r="G5522" s="4"/>
      <c r="H5522" s="4"/>
    </row>
    <row r="5523" spans="7:8" x14ac:dyDescent="0.3">
      <c r="G5523" s="4"/>
      <c r="H5523" s="4"/>
    </row>
    <row r="5524" spans="7:8" x14ac:dyDescent="0.3">
      <c r="G5524" s="4"/>
      <c r="H5524" s="4"/>
    </row>
    <row r="5525" spans="7:8" x14ac:dyDescent="0.3">
      <c r="G5525" s="4"/>
      <c r="H5525" s="4"/>
    </row>
    <row r="5526" spans="7:8" x14ac:dyDescent="0.3">
      <c r="G5526" s="4"/>
      <c r="H5526" s="4"/>
    </row>
    <row r="5527" spans="7:8" x14ac:dyDescent="0.3">
      <c r="G5527" s="4"/>
      <c r="H5527" s="4"/>
    </row>
    <row r="5528" spans="7:8" x14ac:dyDescent="0.3">
      <c r="G5528" s="4"/>
      <c r="H5528" s="4"/>
    </row>
    <row r="5529" spans="7:8" x14ac:dyDescent="0.3">
      <c r="G5529" s="4"/>
      <c r="H5529" s="4"/>
    </row>
    <row r="5530" spans="7:8" x14ac:dyDescent="0.3">
      <c r="G5530" s="4"/>
      <c r="H5530" s="4"/>
    </row>
    <row r="5531" spans="7:8" x14ac:dyDescent="0.3">
      <c r="G5531" s="4"/>
      <c r="H5531" s="4"/>
    </row>
    <row r="5532" spans="7:8" x14ac:dyDescent="0.3">
      <c r="G5532" s="4"/>
      <c r="H5532" s="4"/>
    </row>
    <row r="5533" spans="7:8" x14ac:dyDescent="0.3">
      <c r="G5533" s="4"/>
      <c r="H5533" s="4"/>
    </row>
    <row r="5534" spans="7:8" x14ac:dyDescent="0.3">
      <c r="G5534" s="4"/>
      <c r="H5534" s="4"/>
    </row>
    <row r="5535" spans="7:8" x14ac:dyDescent="0.3">
      <c r="G5535" s="4"/>
      <c r="H5535" s="4"/>
    </row>
    <row r="5536" spans="7:8" x14ac:dyDescent="0.3">
      <c r="G5536" s="4"/>
      <c r="H5536" s="4"/>
    </row>
    <row r="5537" spans="7:8" x14ac:dyDescent="0.3">
      <c r="G5537" s="4"/>
      <c r="H5537" s="4"/>
    </row>
    <row r="5538" spans="7:8" x14ac:dyDescent="0.3">
      <c r="G5538" s="4"/>
      <c r="H5538" s="4"/>
    </row>
    <row r="5539" spans="7:8" x14ac:dyDescent="0.3">
      <c r="G5539" s="4"/>
      <c r="H5539" s="4"/>
    </row>
    <row r="5540" spans="7:8" x14ac:dyDescent="0.3">
      <c r="G5540" s="4"/>
      <c r="H5540" s="4"/>
    </row>
    <row r="5541" spans="7:8" x14ac:dyDescent="0.3">
      <c r="G5541" s="4"/>
      <c r="H5541" s="4"/>
    </row>
    <row r="5542" spans="7:8" x14ac:dyDescent="0.3">
      <c r="G5542" s="4"/>
      <c r="H5542" s="4"/>
    </row>
    <row r="5543" spans="7:8" x14ac:dyDescent="0.3">
      <c r="G5543" s="4"/>
      <c r="H5543" s="4"/>
    </row>
    <row r="5544" spans="7:8" x14ac:dyDescent="0.3">
      <c r="G5544" s="4"/>
      <c r="H5544" s="4"/>
    </row>
    <row r="5545" spans="7:8" x14ac:dyDescent="0.3">
      <c r="G5545" s="4"/>
      <c r="H5545" s="4"/>
    </row>
    <row r="5546" spans="7:8" x14ac:dyDescent="0.3">
      <c r="G5546" s="4"/>
      <c r="H5546" s="4"/>
    </row>
    <row r="5547" spans="7:8" x14ac:dyDescent="0.3">
      <c r="G5547" s="4"/>
      <c r="H5547" s="4"/>
    </row>
    <row r="5548" spans="7:8" x14ac:dyDescent="0.3">
      <c r="G5548" s="4"/>
      <c r="H5548" s="4"/>
    </row>
    <row r="5549" spans="7:8" x14ac:dyDescent="0.3">
      <c r="G5549" s="4"/>
      <c r="H5549" s="4"/>
    </row>
    <row r="5550" spans="7:8" x14ac:dyDescent="0.3">
      <c r="G5550" s="4"/>
      <c r="H5550" s="4"/>
    </row>
    <row r="5551" spans="7:8" x14ac:dyDescent="0.3">
      <c r="G5551" s="4"/>
      <c r="H5551" s="4"/>
    </row>
    <row r="5552" spans="7:8" x14ac:dyDescent="0.3">
      <c r="G5552" s="4"/>
      <c r="H5552" s="4"/>
    </row>
    <row r="5553" spans="7:8" x14ac:dyDescent="0.3">
      <c r="G5553" s="4"/>
      <c r="H5553" s="4"/>
    </row>
    <row r="5554" spans="7:8" x14ac:dyDescent="0.3">
      <c r="G5554" s="4"/>
      <c r="H5554" s="4"/>
    </row>
    <row r="5555" spans="7:8" x14ac:dyDescent="0.3">
      <c r="G5555" s="4"/>
      <c r="H5555" s="4"/>
    </row>
    <row r="5556" spans="7:8" x14ac:dyDescent="0.3">
      <c r="G5556" s="4"/>
      <c r="H5556" s="4"/>
    </row>
    <row r="5557" spans="7:8" x14ac:dyDescent="0.3">
      <c r="G5557" s="4"/>
      <c r="H5557" s="4"/>
    </row>
    <row r="5558" spans="7:8" x14ac:dyDescent="0.3">
      <c r="G5558" s="4"/>
      <c r="H5558" s="4"/>
    </row>
    <row r="5559" spans="7:8" x14ac:dyDescent="0.3">
      <c r="G5559" s="4"/>
      <c r="H5559" s="4"/>
    </row>
    <row r="5560" spans="7:8" x14ac:dyDescent="0.3">
      <c r="G5560" s="4"/>
      <c r="H5560" s="4"/>
    </row>
    <row r="5561" spans="7:8" x14ac:dyDescent="0.3">
      <c r="G5561" s="4"/>
      <c r="H5561" s="4"/>
    </row>
    <row r="5562" spans="7:8" x14ac:dyDescent="0.3">
      <c r="G5562" s="4"/>
      <c r="H5562" s="4"/>
    </row>
    <row r="5563" spans="7:8" x14ac:dyDescent="0.3">
      <c r="G5563" s="4"/>
      <c r="H5563" s="4"/>
    </row>
    <row r="5564" spans="7:8" x14ac:dyDescent="0.3">
      <c r="G5564" s="4"/>
      <c r="H5564" s="4"/>
    </row>
    <row r="5565" spans="7:8" x14ac:dyDescent="0.3">
      <c r="G5565" s="4"/>
      <c r="H5565" s="4"/>
    </row>
    <row r="5566" spans="7:8" x14ac:dyDescent="0.3">
      <c r="G5566" s="4"/>
      <c r="H5566" s="4"/>
    </row>
    <row r="5567" spans="7:8" x14ac:dyDescent="0.3">
      <c r="G5567" s="4"/>
      <c r="H5567" s="4"/>
    </row>
    <row r="5568" spans="7:8" x14ac:dyDescent="0.3">
      <c r="G5568" s="4"/>
      <c r="H5568" s="4"/>
    </row>
    <row r="5569" spans="7:8" x14ac:dyDescent="0.3">
      <c r="G5569" s="4"/>
      <c r="H5569" s="4"/>
    </row>
    <row r="5570" spans="7:8" x14ac:dyDescent="0.3">
      <c r="G5570" s="4"/>
      <c r="H5570" s="4"/>
    </row>
    <row r="5571" spans="7:8" x14ac:dyDescent="0.3">
      <c r="G5571" s="4"/>
      <c r="H5571" s="4"/>
    </row>
    <row r="5572" spans="7:8" x14ac:dyDescent="0.3">
      <c r="G5572" s="4"/>
      <c r="H5572" s="4"/>
    </row>
    <row r="5573" spans="7:8" x14ac:dyDescent="0.3">
      <c r="G5573" s="4"/>
      <c r="H5573" s="4"/>
    </row>
    <row r="5574" spans="7:8" x14ac:dyDescent="0.3">
      <c r="G5574" s="4"/>
      <c r="H5574" s="4"/>
    </row>
    <row r="5575" spans="7:8" x14ac:dyDescent="0.3">
      <c r="G5575" s="4"/>
      <c r="H5575" s="4"/>
    </row>
    <row r="5576" spans="7:8" x14ac:dyDescent="0.3">
      <c r="G5576" s="4"/>
      <c r="H5576" s="4"/>
    </row>
    <row r="5577" spans="7:8" x14ac:dyDescent="0.3">
      <c r="G5577" s="4"/>
      <c r="H5577" s="4"/>
    </row>
    <row r="5578" spans="7:8" x14ac:dyDescent="0.3">
      <c r="G5578" s="4"/>
      <c r="H5578" s="4"/>
    </row>
    <row r="5579" spans="7:8" x14ac:dyDescent="0.3">
      <c r="G5579" s="4"/>
      <c r="H5579" s="4"/>
    </row>
    <row r="5580" spans="7:8" x14ac:dyDescent="0.3">
      <c r="G5580" s="4"/>
      <c r="H5580" s="4"/>
    </row>
    <row r="5581" spans="7:8" x14ac:dyDescent="0.3">
      <c r="G5581" s="4"/>
      <c r="H5581" s="4"/>
    </row>
    <row r="5582" spans="7:8" x14ac:dyDescent="0.3">
      <c r="G5582" s="4"/>
      <c r="H5582" s="4"/>
    </row>
    <row r="5583" spans="7:8" x14ac:dyDescent="0.3">
      <c r="G5583" s="4"/>
      <c r="H5583" s="4"/>
    </row>
    <row r="5584" spans="7:8" x14ac:dyDescent="0.3">
      <c r="G5584" s="4"/>
      <c r="H5584" s="4"/>
    </row>
    <row r="5585" spans="7:8" x14ac:dyDescent="0.3">
      <c r="G5585" s="4"/>
      <c r="H5585" s="4"/>
    </row>
    <row r="5586" spans="7:8" x14ac:dyDescent="0.3">
      <c r="G5586" s="4"/>
      <c r="H5586" s="4"/>
    </row>
    <row r="5587" spans="7:8" x14ac:dyDescent="0.3">
      <c r="G5587" s="4"/>
      <c r="H5587" s="4"/>
    </row>
    <row r="5588" spans="7:8" x14ac:dyDescent="0.3">
      <c r="G5588" s="4"/>
      <c r="H5588" s="4"/>
    </row>
    <row r="5589" spans="7:8" x14ac:dyDescent="0.3">
      <c r="G5589" s="4"/>
      <c r="H5589" s="4"/>
    </row>
    <row r="5590" spans="7:8" x14ac:dyDescent="0.3">
      <c r="G5590" s="4"/>
      <c r="H5590" s="4"/>
    </row>
    <row r="5591" spans="7:8" x14ac:dyDescent="0.3">
      <c r="G5591" s="4"/>
      <c r="H5591" s="4"/>
    </row>
    <row r="5592" spans="7:8" x14ac:dyDescent="0.3">
      <c r="G5592" s="4"/>
      <c r="H5592" s="4"/>
    </row>
    <row r="5593" spans="7:8" x14ac:dyDescent="0.3">
      <c r="G5593" s="4"/>
      <c r="H5593" s="4"/>
    </row>
    <row r="5594" spans="7:8" x14ac:dyDescent="0.3">
      <c r="G5594" s="4"/>
      <c r="H5594" s="4"/>
    </row>
    <row r="5595" spans="7:8" x14ac:dyDescent="0.3">
      <c r="G5595" s="4"/>
      <c r="H5595" s="4"/>
    </row>
    <row r="5596" spans="7:8" x14ac:dyDescent="0.3">
      <c r="G5596" s="4"/>
      <c r="H5596" s="4"/>
    </row>
    <row r="5597" spans="7:8" x14ac:dyDescent="0.3">
      <c r="G5597" s="4"/>
      <c r="H5597" s="4"/>
    </row>
    <row r="5598" spans="7:8" x14ac:dyDescent="0.3">
      <c r="G5598" s="4"/>
      <c r="H5598" s="4"/>
    </row>
    <row r="5599" spans="7:8" x14ac:dyDescent="0.3">
      <c r="G5599" s="4"/>
      <c r="H5599" s="4"/>
    </row>
    <row r="5600" spans="7:8" x14ac:dyDescent="0.3">
      <c r="G5600" s="4"/>
      <c r="H5600" s="4"/>
    </row>
    <row r="5601" spans="7:8" x14ac:dyDescent="0.3">
      <c r="G5601" s="4"/>
      <c r="H5601" s="4"/>
    </row>
    <row r="5602" spans="7:8" x14ac:dyDescent="0.3">
      <c r="G5602" s="4"/>
      <c r="H5602" s="4"/>
    </row>
    <row r="5603" spans="7:8" x14ac:dyDescent="0.3">
      <c r="G5603" s="4"/>
      <c r="H5603" s="4"/>
    </row>
    <row r="5604" spans="7:8" x14ac:dyDescent="0.3">
      <c r="G5604" s="4"/>
      <c r="H5604" s="4"/>
    </row>
    <row r="5605" spans="7:8" x14ac:dyDescent="0.3">
      <c r="G5605" s="4"/>
      <c r="H5605" s="4"/>
    </row>
    <row r="5606" spans="7:8" x14ac:dyDescent="0.3">
      <c r="G5606" s="4"/>
      <c r="H5606" s="4"/>
    </row>
    <row r="5607" spans="7:8" x14ac:dyDescent="0.3">
      <c r="G5607" s="4"/>
      <c r="H5607" s="4"/>
    </row>
    <row r="5608" spans="7:8" x14ac:dyDescent="0.3">
      <c r="G5608" s="4"/>
      <c r="H5608" s="4"/>
    </row>
    <row r="5609" spans="7:8" x14ac:dyDescent="0.3">
      <c r="G5609" s="4"/>
      <c r="H5609" s="4"/>
    </row>
    <row r="5610" spans="7:8" x14ac:dyDescent="0.3">
      <c r="G5610" s="4"/>
      <c r="H5610" s="4"/>
    </row>
    <row r="5611" spans="7:8" x14ac:dyDescent="0.3">
      <c r="G5611" s="4"/>
      <c r="H5611" s="4"/>
    </row>
    <row r="5612" spans="7:8" x14ac:dyDescent="0.3">
      <c r="G5612" s="4"/>
      <c r="H5612" s="4"/>
    </row>
    <row r="5613" spans="7:8" x14ac:dyDescent="0.3">
      <c r="G5613" s="4"/>
      <c r="H5613" s="4"/>
    </row>
    <row r="5614" spans="7:8" x14ac:dyDescent="0.3">
      <c r="G5614" s="4"/>
      <c r="H5614" s="4"/>
    </row>
    <row r="5615" spans="7:8" x14ac:dyDescent="0.3">
      <c r="G5615" s="4"/>
      <c r="H5615" s="4"/>
    </row>
    <row r="5616" spans="7:8" x14ac:dyDescent="0.3">
      <c r="G5616" s="4"/>
      <c r="H5616" s="4"/>
    </row>
    <row r="5617" spans="7:8" x14ac:dyDescent="0.3">
      <c r="G5617" s="4"/>
      <c r="H5617" s="4"/>
    </row>
    <row r="5618" spans="7:8" x14ac:dyDescent="0.3">
      <c r="G5618" s="4"/>
      <c r="H5618" s="4"/>
    </row>
    <row r="5619" spans="7:8" x14ac:dyDescent="0.3">
      <c r="G5619" s="4"/>
      <c r="H5619" s="4"/>
    </row>
    <row r="5620" spans="7:8" x14ac:dyDescent="0.3">
      <c r="G5620" s="4"/>
      <c r="H5620" s="4"/>
    </row>
    <row r="5621" spans="7:8" x14ac:dyDescent="0.3">
      <c r="G5621" s="4"/>
      <c r="H5621" s="4"/>
    </row>
    <row r="5622" spans="7:8" x14ac:dyDescent="0.3">
      <c r="G5622" s="4"/>
      <c r="H5622" s="4"/>
    </row>
    <row r="5623" spans="7:8" x14ac:dyDescent="0.3">
      <c r="G5623" s="4"/>
      <c r="H5623" s="4"/>
    </row>
    <row r="5624" spans="7:8" x14ac:dyDescent="0.3">
      <c r="G5624" s="4"/>
      <c r="H5624" s="4"/>
    </row>
    <row r="5625" spans="7:8" x14ac:dyDescent="0.3">
      <c r="G5625" s="4"/>
      <c r="H5625" s="4"/>
    </row>
    <row r="5626" spans="7:8" x14ac:dyDescent="0.3">
      <c r="G5626" s="4"/>
      <c r="H5626" s="4"/>
    </row>
    <row r="5627" spans="7:8" x14ac:dyDescent="0.3">
      <c r="G5627" s="4"/>
      <c r="H5627" s="4"/>
    </row>
    <row r="5628" spans="7:8" x14ac:dyDescent="0.3">
      <c r="G5628" s="4"/>
      <c r="H5628" s="4"/>
    </row>
    <row r="5629" spans="7:8" x14ac:dyDescent="0.3">
      <c r="G5629" s="4"/>
      <c r="H5629" s="4"/>
    </row>
    <row r="5630" spans="7:8" x14ac:dyDescent="0.3">
      <c r="G5630" s="4"/>
      <c r="H5630" s="4"/>
    </row>
    <row r="5631" spans="7:8" x14ac:dyDescent="0.3">
      <c r="G5631" s="4"/>
      <c r="H5631" s="4"/>
    </row>
    <row r="5632" spans="7:8" x14ac:dyDescent="0.3">
      <c r="G5632" s="4"/>
      <c r="H5632" s="4"/>
    </row>
    <row r="5633" spans="7:8" x14ac:dyDescent="0.3">
      <c r="G5633" s="4"/>
      <c r="H5633" s="4"/>
    </row>
    <row r="5634" spans="7:8" x14ac:dyDescent="0.3">
      <c r="G5634" s="4"/>
      <c r="H5634" s="4"/>
    </row>
    <row r="5635" spans="7:8" x14ac:dyDescent="0.3">
      <c r="G5635" s="4"/>
      <c r="H5635" s="4"/>
    </row>
    <row r="5636" spans="7:8" x14ac:dyDescent="0.3">
      <c r="G5636" s="4"/>
      <c r="H5636" s="4"/>
    </row>
    <row r="5637" spans="7:8" x14ac:dyDescent="0.3">
      <c r="G5637" s="4"/>
      <c r="H5637" s="4"/>
    </row>
    <row r="5638" spans="7:8" x14ac:dyDescent="0.3">
      <c r="G5638" s="4"/>
      <c r="H5638" s="4"/>
    </row>
    <row r="5639" spans="7:8" x14ac:dyDescent="0.3">
      <c r="G5639" s="4"/>
      <c r="H5639" s="4"/>
    </row>
    <row r="5640" spans="7:8" x14ac:dyDescent="0.3">
      <c r="G5640" s="4"/>
      <c r="H5640" s="4"/>
    </row>
    <row r="5641" spans="7:8" x14ac:dyDescent="0.3">
      <c r="G5641" s="4"/>
      <c r="H5641" s="4"/>
    </row>
    <row r="5642" spans="7:8" x14ac:dyDescent="0.3">
      <c r="G5642" s="4"/>
      <c r="H5642" s="4"/>
    </row>
    <row r="5643" spans="7:8" x14ac:dyDescent="0.3">
      <c r="G5643" s="4"/>
      <c r="H5643" s="4"/>
    </row>
    <row r="5644" spans="7:8" x14ac:dyDescent="0.3">
      <c r="G5644" s="4"/>
      <c r="H5644" s="4"/>
    </row>
    <row r="5645" spans="7:8" x14ac:dyDescent="0.3">
      <c r="G5645" s="4"/>
      <c r="H5645" s="4"/>
    </row>
    <row r="5646" spans="7:8" x14ac:dyDescent="0.3">
      <c r="G5646" s="4"/>
      <c r="H5646" s="4"/>
    </row>
    <row r="5647" spans="7:8" x14ac:dyDescent="0.3">
      <c r="G5647" s="4"/>
      <c r="H5647" s="4"/>
    </row>
    <row r="5648" spans="7:8" x14ac:dyDescent="0.3">
      <c r="G5648" s="4"/>
      <c r="H5648" s="4"/>
    </row>
    <row r="5649" spans="7:8" x14ac:dyDescent="0.3">
      <c r="G5649" s="4"/>
      <c r="H5649" s="4"/>
    </row>
    <row r="5650" spans="7:8" x14ac:dyDescent="0.3">
      <c r="G5650" s="4"/>
      <c r="H5650" s="4"/>
    </row>
    <row r="5651" spans="7:8" x14ac:dyDescent="0.3">
      <c r="G5651" s="4"/>
      <c r="H5651" s="4"/>
    </row>
    <row r="5652" spans="7:8" x14ac:dyDescent="0.3">
      <c r="G5652" s="4"/>
      <c r="H5652" s="4"/>
    </row>
    <row r="5653" spans="7:8" x14ac:dyDescent="0.3">
      <c r="G5653" s="4"/>
      <c r="H5653" s="4"/>
    </row>
    <row r="5654" spans="7:8" x14ac:dyDescent="0.3">
      <c r="G5654" s="4"/>
      <c r="H5654" s="4"/>
    </row>
    <row r="5655" spans="7:8" x14ac:dyDescent="0.3">
      <c r="G5655" s="4"/>
      <c r="H5655" s="4"/>
    </row>
    <row r="5656" spans="7:8" x14ac:dyDescent="0.3">
      <c r="G5656" s="4"/>
      <c r="H5656" s="4"/>
    </row>
    <row r="5657" spans="7:8" x14ac:dyDescent="0.3">
      <c r="G5657" s="4"/>
      <c r="H5657" s="4"/>
    </row>
    <row r="5658" spans="7:8" x14ac:dyDescent="0.3">
      <c r="G5658" s="4"/>
      <c r="H5658" s="4"/>
    </row>
    <row r="5659" spans="7:8" x14ac:dyDescent="0.3">
      <c r="G5659" s="4"/>
      <c r="H5659" s="4"/>
    </row>
    <row r="5660" spans="7:8" x14ac:dyDescent="0.3">
      <c r="G5660" s="4"/>
      <c r="H5660" s="4"/>
    </row>
    <row r="5661" spans="7:8" x14ac:dyDescent="0.3">
      <c r="G5661" s="4"/>
      <c r="H5661" s="4"/>
    </row>
    <row r="5662" spans="7:8" x14ac:dyDescent="0.3">
      <c r="G5662" s="4"/>
      <c r="H5662" s="4"/>
    </row>
    <row r="5663" spans="7:8" x14ac:dyDescent="0.3">
      <c r="G5663" s="4"/>
      <c r="H5663" s="4"/>
    </row>
    <row r="5664" spans="7:8" x14ac:dyDescent="0.3">
      <c r="G5664" s="4"/>
      <c r="H5664" s="4"/>
    </row>
    <row r="5665" spans="7:8" x14ac:dyDescent="0.3">
      <c r="G5665" s="4"/>
      <c r="H5665" s="4"/>
    </row>
    <row r="5666" spans="7:8" x14ac:dyDescent="0.3">
      <c r="G5666" s="4"/>
      <c r="H5666" s="4"/>
    </row>
    <row r="5667" spans="7:8" x14ac:dyDescent="0.3">
      <c r="G5667" s="4"/>
      <c r="H5667" s="4"/>
    </row>
    <row r="5668" spans="7:8" x14ac:dyDescent="0.3">
      <c r="G5668" s="4"/>
      <c r="H5668" s="4"/>
    </row>
    <row r="5669" spans="7:8" x14ac:dyDescent="0.3">
      <c r="G5669" s="4"/>
      <c r="H5669" s="4"/>
    </row>
    <row r="5670" spans="7:8" x14ac:dyDescent="0.3">
      <c r="G5670" s="4"/>
      <c r="H5670" s="4"/>
    </row>
    <row r="5671" spans="7:8" x14ac:dyDescent="0.3">
      <c r="G5671" s="4"/>
      <c r="H5671" s="4"/>
    </row>
    <row r="5672" spans="7:8" x14ac:dyDescent="0.3">
      <c r="G5672" s="4"/>
      <c r="H5672" s="4"/>
    </row>
    <row r="5673" spans="7:8" x14ac:dyDescent="0.3">
      <c r="G5673" s="4"/>
      <c r="H5673" s="4"/>
    </row>
    <row r="5674" spans="7:8" x14ac:dyDescent="0.3">
      <c r="G5674" s="4"/>
      <c r="H5674" s="4"/>
    </row>
    <row r="5675" spans="7:8" x14ac:dyDescent="0.3">
      <c r="G5675" s="4"/>
      <c r="H5675" s="4"/>
    </row>
    <row r="5676" spans="7:8" x14ac:dyDescent="0.3">
      <c r="G5676" s="4"/>
      <c r="H5676" s="4"/>
    </row>
    <row r="5677" spans="7:8" x14ac:dyDescent="0.3">
      <c r="G5677" s="4"/>
      <c r="H5677" s="4"/>
    </row>
    <row r="5678" spans="7:8" x14ac:dyDescent="0.3">
      <c r="G5678" s="4"/>
      <c r="H5678" s="4"/>
    </row>
    <row r="5679" spans="7:8" x14ac:dyDescent="0.3">
      <c r="G5679" s="4"/>
      <c r="H5679" s="4"/>
    </row>
    <row r="5680" spans="7:8" x14ac:dyDescent="0.3">
      <c r="G5680" s="4"/>
      <c r="H5680" s="4"/>
    </row>
    <row r="5681" spans="7:8" x14ac:dyDescent="0.3">
      <c r="G5681" s="4"/>
      <c r="H5681" s="4"/>
    </row>
    <row r="5682" spans="7:8" x14ac:dyDescent="0.3">
      <c r="G5682" s="4"/>
      <c r="H5682" s="4"/>
    </row>
    <row r="5683" spans="7:8" x14ac:dyDescent="0.3">
      <c r="G5683" s="4"/>
      <c r="H5683" s="4"/>
    </row>
    <row r="5684" spans="7:8" x14ac:dyDescent="0.3">
      <c r="G5684" s="4"/>
      <c r="H5684" s="4"/>
    </row>
    <row r="5685" spans="7:8" x14ac:dyDescent="0.3">
      <c r="G5685" s="4"/>
      <c r="H5685" s="4"/>
    </row>
    <row r="5686" spans="7:8" x14ac:dyDescent="0.3">
      <c r="G5686" s="4"/>
      <c r="H5686" s="4"/>
    </row>
    <row r="5687" spans="7:8" x14ac:dyDescent="0.3">
      <c r="G5687" s="4"/>
      <c r="H5687" s="4"/>
    </row>
    <row r="5688" spans="7:8" x14ac:dyDescent="0.3">
      <c r="G5688" s="4"/>
      <c r="H5688" s="4"/>
    </row>
    <row r="5689" spans="7:8" x14ac:dyDescent="0.3">
      <c r="G5689" s="4"/>
      <c r="H5689" s="4"/>
    </row>
    <row r="5690" spans="7:8" x14ac:dyDescent="0.3">
      <c r="G5690" s="4"/>
      <c r="H5690" s="4"/>
    </row>
    <row r="5691" spans="7:8" x14ac:dyDescent="0.3">
      <c r="G5691" s="4"/>
      <c r="H5691" s="4"/>
    </row>
    <row r="5692" spans="7:8" x14ac:dyDescent="0.3">
      <c r="G5692" s="4"/>
      <c r="H5692" s="4"/>
    </row>
    <row r="5693" spans="7:8" x14ac:dyDescent="0.3">
      <c r="G5693" s="4"/>
      <c r="H5693" s="4"/>
    </row>
    <row r="5694" spans="7:8" x14ac:dyDescent="0.3">
      <c r="G5694" s="4"/>
      <c r="H5694" s="4"/>
    </row>
    <row r="5695" spans="7:8" x14ac:dyDescent="0.3">
      <c r="G5695" s="4"/>
      <c r="H5695" s="4"/>
    </row>
    <row r="5696" spans="7:8" x14ac:dyDescent="0.3">
      <c r="G5696" s="4"/>
      <c r="H5696" s="4"/>
    </row>
    <row r="5697" spans="7:8" x14ac:dyDescent="0.3">
      <c r="G5697" s="4"/>
      <c r="H5697" s="4"/>
    </row>
    <row r="5698" spans="7:8" x14ac:dyDescent="0.3">
      <c r="G5698" s="4"/>
      <c r="H5698" s="4"/>
    </row>
    <row r="5699" spans="7:8" x14ac:dyDescent="0.3">
      <c r="G5699" s="4"/>
      <c r="H5699" s="4"/>
    </row>
    <row r="5700" spans="7:8" x14ac:dyDescent="0.3">
      <c r="G5700" s="4"/>
      <c r="H5700" s="4"/>
    </row>
    <row r="5701" spans="7:8" x14ac:dyDescent="0.3">
      <c r="G5701" s="4"/>
      <c r="H5701" s="4"/>
    </row>
    <row r="5702" spans="7:8" x14ac:dyDescent="0.3">
      <c r="G5702" s="4"/>
      <c r="H5702" s="4"/>
    </row>
    <row r="5703" spans="7:8" x14ac:dyDescent="0.3">
      <c r="G5703" s="4"/>
      <c r="H5703" s="4"/>
    </row>
    <row r="5704" spans="7:8" x14ac:dyDescent="0.3">
      <c r="G5704" s="4"/>
      <c r="H5704" s="4"/>
    </row>
    <row r="5705" spans="7:8" x14ac:dyDescent="0.3">
      <c r="G5705" s="4"/>
      <c r="H5705" s="4"/>
    </row>
    <row r="5706" spans="7:8" x14ac:dyDescent="0.3">
      <c r="G5706" s="4"/>
      <c r="H5706" s="4"/>
    </row>
    <row r="5707" spans="7:8" x14ac:dyDescent="0.3">
      <c r="G5707" s="4"/>
      <c r="H5707" s="4"/>
    </row>
    <row r="5708" spans="7:8" x14ac:dyDescent="0.3">
      <c r="G5708" s="4"/>
      <c r="H5708" s="4"/>
    </row>
    <row r="5709" spans="7:8" x14ac:dyDescent="0.3">
      <c r="G5709" s="4"/>
      <c r="H5709" s="4"/>
    </row>
    <row r="5710" spans="7:8" x14ac:dyDescent="0.3">
      <c r="G5710" s="4"/>
      <c r="H5710" s="4"/>
    </row>
    <row r="5711" spans="7:8" x14ac:dyDescent="0.3">
      <c r="G5711" s="4"/>
      <c r="H5711" s="4"/>
    </row>
    <row r="5712" spans="7:8" x14ac:dyDescent="0.3">
      <c r="G5712" s="4"/>
      <c r="H5712" s="4"/>
    </row>
    <row r="5713" spans="7:8" x14ac:dyDescent="0.3">
      <c r="G5713" s="4"/>
      <c r="H5713" s="4"/>
    </row>
    <row r="5714" spans="7:8" x14ac:dyDescent="0.3">
      <c r="G5714" s="4"/>
      <c r="H5714" s="4"/>
    </row>
    <row r="5715" spans="7:8" x14ac:dyDescent="0.3">
      <c r="G5715" s="4"/>
      <c r="H5715" s="4"/>
    </row>
    <row r="5716" spans="7:8" x14ac:dyDescent="0.3">
      <c r="G5716" s="4"/>
      <c r="H5716" s="4"/>
    </row>
    <row r="5717" spans="7:8" x14ac:dyDescent="0.3">
      <c r="G5717" s="4"/>
      <c r="H5717" s="4"/>
    </row>
    <row r="5718" spans="7:8" x14ac:dyDescent="0.3">
      <c r="G5718" s="4"/>
      <c r="H5718" s="4"/>
    </row>
    <row r="5719" spans="7:8" x14ac:dyDescent="0.3">
      <c r="G5719" s="4"/>
      <c r="H5719" s="4"/>
    </row>
    <row r="5720" spans="7:8" x14ac:dyDescent="0.3">
      <c r="G5720" s="4"/>
      <c r="H5720" s="4"/>
    </row>
    <row r="5721" spans="7:8" x14ac:dyDescent="0.3">
      <c r="G5721" s="4"/>
      <c r="H5721" s="4"/>
    </row>
    <row r="5722" spans="7:8" x14ac:dyDescent="0.3">
      <c r="G5722" s="4"/>
      <c r="H5722" s="4"/>
    </row>
    <row r="5723" spans="7:8" x14ac:dyDescent="0.3">
      <c r="G5723" s="4"/>
      <c r="H5723" s="4"/>
    </row>
    <row r="5724" spans="7:8" x14ac:dyDescent="0.3">
      <c r="G5724" s="4"/>
      <c r="H5724" s="4"/>
    </row>
    <row r="5725" spans="7:8" x14ac:dyDescent="0.3">
      <c r="G5725" s="4"/>
      <c r="H5725" s="4"/>
    </row>
    <row r="5726" spans="7:8" x14ac:dyDescent="0.3">
      <c r="G5726" s="4"/>
      <c r="H5726" s="4"/>
    </row>
    <row r="5727" spans="7:8" x14ac:dyDescent="0.3">
      <c r="G5727" s="4"/>
      <c r="H5727" s="4"/>
    </row>
    <row r="5728" spans="7:8" x14ac:dyDescent="0.3">
      <c r="G5728" s="4"/>
      <c r="H5728" s="4"/>
    </row>
    <row r="5729" spans="7:8" x14ac:dyDescent="0.3">
      <c r="G5729" s="4"/>
      <c r="H5729" s="4"/>
    </row>
    <row r="5730" spans="7:8" x14ac:dyDescent="0.3">
      <c r="G5730" s="4"/>
      <c r="H5730" s="4"/>
    </row>
    <row r="5731" spans="7:8" x14ac:dyDescent="0.3">
      <c r="G5731" s="4"/>
      <c r="H5731" s="4"/>
    </row>
    <row r="5732" spans="7:8" x14ac:dyDescent="0.3">
      <c r="G5732" s="4"/>
      <c r="H5732" s="4"/>
    </row>
    <row r="5733" spans="7:8" x14ac:dyDescent="0.3">
      <c r="G5733" s="4"/>
      <c r="H5733" s="4"/>
    </row>
    <row r="5734" spans="7:8" x14ac:dyDescent="0.3">
      <c r="G5734" s="4"/>
      <c r="H5734" s="4"/>
    </row>
    <row r="5735" spans="7:8" x14ac:dyDescent="0.3">
      <c r="G5735" s="4"/>
      <c r="H5735" s="4"/>
    </row>
    <row r="5736" spans="7:8" x14ac:dyDescent="0.3">
      <c r="G5736" s="4"/>
      <c r="H5736" s="4"/>
    </row>
    <row r="5737" spans="7:8" x14ac:dyDescent="0.3">
      <c r="G5737" s="4"/>
      <c r="H5737" s="4"/>
    </row>
    <row r="5738" spans="7:8" x14ac:dyDescent="0.3">
      <c r="G5738" s="4"/>
      <c r="H5738" s="4"/>
    </row>
    <row r="5739" spans="7:8" x14ac:dyDescent="0.3">
      <c r="G5739" s="4"/>
      <c r="H5739" s="4"/>
    </row>
    <row r="5740" spans="7:8" x14ac:dyDescent="0.3">
      <c r="G5740" s="4"/>
      <c r="H5740" s="4"/>
    </row>
    <row r="5741" spans="7:8" x14ac:dyDescent="0.3">
      <c r="G5741" s="4"/>
      <c r="H5741" s="4"/>
    </row>
    <row r="5742" spans="7:8" x14ac:dyDescent="0.3">
      <c r="G5742" s="4"/>
      <c r="H5742" s="4"/>
    </row>
    <row r="5743" spans="7:8" x14ac:dyDescent="0.3">
      <c r="G5743" s="4"/>
      <c r="H5743" s="4"/>
    </row>
    <row r="5744" spans="7:8" x14ac:dyDescent="0.3">
      <c r="G5744" s="4"/>
      <c r="H5744" s="4"/>
    </row>
    <row r="5745" spans="7:8" x14ac:dyDescent="0.3">
      <c r="G5745" s="4"/>
      <c r="H5745" s="4"/>
    </row>
    <row r="5746" spans="7:8" x14ac:dyDescent="0.3">
      <c r="G5746" s="4"/>
      <c r="H5746" s="4"/>
    </row>
    <row r="5747" spans="7:8" x14ac:dyDescent="0.3">
      <c r="G5747" s="4"/>
      <c r="H5747" s="4"/>
    </row>
    <row r="5748" spans="7:8" x14ac:dyDescent="0.3">
      <c r="G5748" s="4"/>
      <c r="H5748" s="4"/>
    </row>
    <row r="5749" spans="7:8" x14ac:dyDescent="0.3">
      <c r="G5749" s="4"/>
      <c r="H5749" s="4"/>
    </row>
    <row r="5750" spans="7:8" x14ac:dyDescent="0.3">
      <c r="G5750" s="4"/>
      <c r="H5750" s="4"/>
    </row>
    <row r="5751" spans="7:8" x14ac:dyDescent="0.3">
      <c r="G5751" s="4"/>
      <c r="H5751" s="4"/>
    </row>
    <row r="5752" spans="7:8" x14ac:dyDescent="0.3">
      <c r="G5752" s="4"/>
      <c r="H5752" s="4"/>
    </row>
    <row r="5753" spans="7:8" x14ac:dyDescent="0.3">
      <c r="G5753" s="4"/>
      <c r="H5753" s="4"/>
    </row>
    <row r="5754" spans="7:8" x14ac:dyDescent="0.3">
      <c r="G5754" s="4"/>
      <c r="H5754" s="4"/>
    </row>
    <row r="5755" spans="7:8" x14ac:dyDescent="0.3">
      <c r="G5755" s="4"/>
      <c r="H5755" s="4"/>
    </row>
    <row r="5756" spans="7:8" x14ac:dyDescent="0.3">
      <c r="G5756" s="4"/>
      <c r="H5756" s="4"/>
    </row>
    <row r="5757" spans="7:8" x14ac:dyDescent="0.3">
      <c r="G5757" s="4"/>
      <c r="H5757" s="4"/>
    </row>
    <row r="5758" spans="7:8" x14ac:dyDescent="0.3">
      <c r="G5758" s="4"/>
      <c r="H5758" s="4"/>
    </row>
    <row r="5759" spans="7:8" x14ac:dyDescent="0.3">
      <c r="G5759" s="4"/>
      <c r="H5759" s="4"/>
    </row>
    <row r="5760" spans="7:8" x14ac:dyDescent="0.3">
      <c r="G5760" s="4"/>
      <c r="H5760" s="4"/>
    </row>
    <row r="5761" spans="7:8" x14ac:dyDescent="0.3">
      <c r="G5761" s="4"/>
      <c r="H5761" s="4"/>
    </row>
    <row r="5762" spans="7:8" x14ac:dyDescent="0.3">
      <c r="G5762" s="4"/>
      <c r="H5762" s="4"/>
    </row>
    <row r="5763" spans="7:8" x14ac:dyDescent="0.3">
      <c r="G5763" s="4"/>
      <c r="H5763" s="4"/>
    </row>
    <row r="5764" spans="7:8" x14ac:dyDescent="0.3">
      <c r="G5764" s="4"/>
      <c r="H5764" s="4"/>
    </row>
    <row r="5765" spans="7:8" x14ac:dyDescent="0.3">
      <c r="G5765" s="4"/>
      <c r="H5765" s="4"/>
    </row>
    <row r="5766" spans="7:8" x14ac:dyDescent="0.3">
      <c r="G5766" s="4"/>
      <c r="H5766" s="4"/>
    </row>
    <row r="5767" spans="7:8" x14ac:dyDescent="0.3">
      <c r="G5767" s="4"/>
      <c r="H5767" s="4"/>
    </row>
    <row r="5768" spans="7:8" x14ac:dyDescent="0.3">
      <c r="G5768" s="4"/>
      <c r="H5768" s="4"/>
    </row>
    <row r="5769" spans="7:8" x14ac:dyDescent="0.3">
      <c r="G5769" s="4"/>
      <c r="H5769" s="4"/>
    </row>
    <row r="5770" spans="7:8" x14ac:dyDescent="0.3">
      <c r="G5770" s="4"/>
      <c r="H5770" s="4"/>
    </row>
    <row r="5771" spans="7:8" x14ac:dyDescent="0.3">
      <c r="G5771" s="4"/>
      <c r="H5771" s="4"/>
    </row>
    <row r="5772" spans="7:8" x14ac:dyDescent="0.3">
      <c r="G5772" s="4"/>
      <c r="H5772" s="4"/>
    </row>
    <row r="5773" spans="7:8" x14ac:dyDescent="0.3">
      <c r="G5773" s="4"/>
      <c r="H5773" s="4"/>
    </row>
    <row r="5774" spans="7:8" x14ac:dyDescent="0.3">
      <c r="G5774" s="4"/>
      <c r="H5774" s="4"/>
    </row>
    <row r="5775" spans="7:8" x14ac:dyDescent="0.3">
      <c r="G5775" s="4"/>
      <c r="H5775" s="4"/>
    </row>
    <row r="5776" spans="7:8" x14ac:dyDescent="0.3">
      <c r="G5776" s="4"/>
      <c r="H5776" s="4"/>
    </row>
    <row r="5777" spans="7:8" x14ac:dyDescent="0.3">
      <c r="G5777" s="4"/>
      <c r="H5777" s="4"/>
    </row>
    <row r="5778" spans="7:8" x14ac:dyDescent="0.3">
      <c r="G5778" s="4"/>
      <c r="H5778" s="4"/>
    </row>
    <row r="5779" spans="7:8" x14ac:dyDescent="0.3">
      <c r="G5779" s="4"/>
      <c r="H5779" s="4"/>
    </row>
    <row r="5780" spans="7:8" x14ac:dyDescent="0.3">
      <c r="G5780" s="4"/>
      <c r="H5780" s="4"/>
    </row>
    <row r="5781" spans="7:8" x14ac:dyDescent="0.3">
      <c r="G5781" s="4"/>
      <c r="H5781" s="4"/>
    </row>
    <row r="5782" spans="7:8" x14ac:dyDescent="0.3">
      <c r="G5782" s="4"/>
      <c r="H5782" s="4"/>
    </row>
    <row r="5783" spans="7:8" x14ac:dyDescent="0.3">
      <c r="G5783" s="4"/>
      <c r="H5783" s="4"/>
    </row>
    <row r="5784" spans="7:8" x14ac:dyDescent="0.3">
      <c r="G5784" s="4"/>
      <c r="H5784" s="4"/>
    </row>
    <row r="5785" spans="7:8" x14ac:dyDescent="0.3">
      <c r="G5785" s="4"/>
      <c r="H5785" s="4"/>
    </row>
    <row r="5786" spans="7:8" x14ac:dyDescent="0.3">
      <c r="G5786" s="4"/>
      <c r="H5786" s="4"/>
    </row>
    <row r="5787" spans="7:8" x14ac:dyDescent="0.3">
      <c r="G5787" s="4"/>
      <c r="H5787" s="4"/>
    </row>
    <row r="5788" spans="7:8" x14ac:dyDescent="0.3">
      <c r="G5788" s="4"/>
      <c r="H5788" s="4"/>
    </row>
    <row r="5789" spans="7:8" x14ac:dyDescent="0.3">
      <c r="G5789" s="4"/>
      <c r="H5789" s="4"/>
    </row>
    <row r="5790" spans="7:8" x14ac:dyDescent="0.3">
      <c r="G5790" s="4"/>
      <c r="H5790" s="4"/>
    </row>
    <row r="5791" spans="7:8" x14ac:dyDescent="0.3">
      <c r="G5791" s="4"/>
      <c r="H5791" s="4"/>
    </row>
    <row r="5792" spans="7:8" x14ac:dyDescent="0.3">
      <c r="G5792" s="4"/>
      <c r="H5792" s="4"/>
    </row>
    <row r="5793" spans="7:8" x14ac:dyDescent="0.3">
      <c r="G5793" s="4"/>
      <c r="H5793" s="4"/>
    </row>
    <row r="5794" spans="7:8" x14ac:dyDescent="0.3">
      <c r="G5794" s="4"/>
      <c r="H5794" s="4"/>
    </row>
    <row r="5795" spans="7:8" x14ac:dyDescent="0.3">
      <c r="G5795" s="4"/>
      <c r="H5795" s="4"/>
    </row>
    <row r="5796" spans="7:8" x14ac:dyDescent="0.3">
      <c r="G5796" s="4"/>
      <c r="H5796" s="4"/>
    </row>
    <row r="5797" spans="7:8" x14ac:dyDescent="0.3">
      <c r="G5797" s="4"/>
      <c r="H5797" s="4"/>
    </row>
    <row r="5798" spans="7:8" x14ac:dyDescent="0.3">
      <c r="G5798" s="4"/>
      <c r="H5798" s="4"/>
    </row>
    <row r="5799" spans="7:8" x14ac:dyDescent="0.3">
      <c r="G5799" s="4"/>
      <c r="H5799" s="4"/>
    </row>
    <row r="5800" spans="7:8" x14ac:dyDescent="0.3">
      <c r="G5800" s="4"/>
      <c r="H5800" s="4"/>
    </row>
    <row r="5801" spans="7:8" x14ac:dyDescent="0.3">
      <c r="G5801" s="4"/>
      <c r="H5801" s="4"/>
    </row>
    <row r="5802" spans="7:8" x14ac:dyDescent="0.3">
      <c r="G5802" s="4"/>
      <c r="H5802" s="4"/>
    </row>
    <row r="5803" spans="7:8" x14ac:dyDescent="0.3">
      <c r="G5803" s="4"/>
      <c r="H5803" s="4"/>
    </row>
    <row r="5804" spans="7:8" x14ac:dyDescent="0.3">
      <c r="G5804" s="4"/>
      <c r="H5804" s="4"/>
    </row>
    <row r="5805" spans="7:8" x14ac:dyDescent="0.3">
      <c r="G5805" s="4"/>
      <c r="H5805" s="4"/>
    </row>
    <row r="5806" spans="7:8" x14ac:dyDescent="0.3">
      <c r="G5806" s="4"/>
      <c r="H5806" s="4"/>
    </row>
    <row r="5807" spans="7:8" x14ac:dyDescent="0.3">
      <c r="G5807" s="4"/>
      <c r="H5807" s="4"/>
    </row>
    <row r="5808" spans="7:8" x14ac:dyDescent="0.3">
      <c r="G5808" s="4"/>
      <c r="H5808" s="4"/>
    </row>
    <row r="5809" spans="7:8" x14ac:dyDescent="0.3">
      <c r="G5809" s="4"/>
      <c r="H5809" s="4"/>
    </row>
    <row r="5810" spans="7:8" x14ac:dyDescent="0.3">
      <c r="G5810" s="4"/>
      <c r="H5810" s="4"/>
    </row>
    <row r="5811" spans="7:8" x14ac:dyDescent="0.3">
      <c r="G5811" s="4"/>
      <c r="H5811" s="4"/>
    </row>
    <row r="5812" spans="7:8" x14ac:dyDescent="0.3">
      <c r="G5812" s="4"/>
      <c r="H5812" s="4"/>
    </row>
    <row r="5813" spans="7:8" x14ac:dyDescent="0.3">
      <c r="G5813" s="4"/>
      <c r="H5813" s="4"/>
    </row>
    <row r="5814" spans="7:8" x14ac:dyDescent="0.3">
      <c r="G5814" s="4"/>
      <c r="H5814" s="4"/>
    </row>
    <row r="5815" spans="7:8" x14ac:dyDescent="0.3">
      <c r="G5815" s="4"/>
      <c r="H5815" s="4"/>
    </row>
    <row r="5816" spans="7:8" x14ac:dyDescent="0.3">
      <c r="G5816" s="4"/>
      <c r="H5816" s="4"/>
    </row>
    <row r="5817" spans="7:8" x14ac:dyDescent="0.3">
      <c r="G5817" s="4"/>
      <c r="H5817" s="4"/>
    </row>
    <row r="5818" spans="7:8" x14ac:dyDescent="0.3">
      <c r="G5818" s="4"/>
      <c r="H5818" s="4"/>
    </row>
    <row r="5819" spans="7:8" x14ac:dyDescent="0.3">
      <c r="G5819" s="4"/>
      <c r="H5819" s="4"/>
    </row>
    <row r="5820" spans="7:8" x14ac:dyDescent="0.3">
      <c r="G5820" s="4"/>
      <c r="H5820" s="4"/>
    </row>
    <row r="5821" spans="7:8" x14ac:dyDescent="0.3">
      <c r="G5821" s="4"/>
      <c r="H5821" s="4"/>
    </row>
    <row r="5822" spans="7:8" x14ac:dyDescent="0.3">
      <c r="G5822" s="4"/>
      <c r="H5822" s="4"/>
    </row>
    <row r="5823" spans="7:8" x14ac:dyDescent="0.3">
      <c r="G5823" s="4"/>
      <c r="H5823" s="4"/>
    </row>
    <row r="5824" spans="7:8" x14ac:dyDescent="0.3">
      <c r="G5824" s="4"/>
      <c r="H5824" s="4"/>
    </row>
    <row r="5825" spans="7:8" x14ac:dyDescent="0.3">
      <c r="G5825" s="4"/>
      <c r="H5825" s="4"/>
    </row>
    <row r="5826" spans="7:8" x14ac:dyDescent="0.3">
      <c r="G5826" s="4"/>
      <c r="H5826" s="4"/>
    </row>
    <row r="5827" spans="7:8" x14ac:dyDescent="0.3">
      <c r="G5827" s="4"/>
      <c r="H5827" s="4"/>
    </row>
    <row r="5828" spans="7:8" x14ac:dyDescent="0.3">
      <c r="G5828" s="4"/>
      <c r="H5828" s="4"/>
    </row>
    <row r="5829" spans="7:8" x14ac:dyDescent="0.3">
      <c r="G5829" s="4"/>
      <c r="H5829" s="4"/>
    </row>
    <row r="5830" spans="7:8" x14ac:dyDescent="0.3">
      <c r="G5830" s="4"/>
      <c r="H5830" s="4"/>
    </row>
    <row r="5831" spans="7:8" x14ac:dyDescent="0.3">
      <c r="G5831" s="4"/>
      <c r="H5831" s="4"/>
    </row>
    <row r="5832" spans="7:8" x14ac:dyDescent="0.3">
      <c r="G5832" s="4"/>
      <c r="H5832" s="4"/>
    </row>
    <row r="5833" spans="7:8" x14ac:dyDescent="0.3">
      <c r="G5833" s="4"/>
      <c r="H5833" s="4"/>
    </row>
    <row r="5834" spans="7:8" x14ac:dyDescent="0.3">
      <c r="G5834" s="4"/>
      <c r="H5834" s="4"/>
    </row>
    <row r="5835" spans="7:8" x14ac:dyDescent="0.3">
      <c r="G5835" s="4"/>
      <c r="H5835" s="4"/>
    </row>
    <row r="5836" spans="7:8" x14ac:dyDescent="0.3">
      <c r="G5836" s="4"/>
      <c r="H5836" s="4"/>
    </row>
    <row r="5837" spans="7:8" x14ac:dyDescent="0.3">
      <c r="G5837" s="4"/>
      <c r="H5837" s="4"/>
    </row>
    <row r="5838" spans="7:8" x14ac:dyDescent="0.3">
      <c r="G5838" s="4"/>
      <c r="H5838" s="4"/>
    </row>
    <row r="5839" spans="7:8" x14ac:dyDescent="0.3">
      <c r="G5839" s="4"/>
      <c r="H5839" s="4"/>
    </row>
    <row r="5840" spans="7:8" x14ac:dyDescent="0.3">
      <c r="G5840" s="4"/>
      <c r="H5840" s="4"/>
    </row>
    <row r="5841" spans="7:8" x14ac:dyDescent="0.3">
      <c r="G5841" s="4"/>
      <c r="H5841" s="4"/>
    </row>
    <row r="5842" spans="7:8" x14ac:dyDescent="0.3">
      <c r="G5842" s="4"/>
      <c r="H5842" s="4"/>
    </row>
    <row r="5843" spans="7:8" x14ac:dyDescent="0.3">
      <c r="G5843" s="4"/>
      <c r="H5843" s="4"/>
    </row>
    <row r="5844" spans="7:8" x14ac:dyDescent="0.3">
      <c r="G5844" s="4"/>
      <c r="H5844" s="4"/>
    </row>
    <row r="5845" spans="7:8" x14ac:dyDescent="0.3">
      <c r="G5845" s="4"/>
      <c r="H5845" s="4"/>
    </row>
    <row r="5846" spans="7:8" x14ac:dyDescent="0.3">
      <c r="G5846" s="4"/>
      <c r="H5846" s="4"/>
    </row>
    <row r="5847" spans="7:8" x14ac:dyDescent="0.3">
      <c r="G5847" s="4"/>
      <c r="H5847" s="4"/>
    </row>
    <row r="5848" spans="7:8" x14ac:dyDescent="0.3">
      <c r="G5848" s="4"/>
      <c r="H5848" s="4"/>
    </row>
    <row r="5849" spans="7:8" x14ac:dyDescent="0.3">
      <c r="G5849" s="4"/>
      <c r="H5849" s="4"/>
    </row>
    <row r="5850" spans="7:8" x14ac:dyDescent="0.3">
      <c r="G5850" s="4"/>
      <c r="H5850" s="4"/>
    </row>
    <row r="5851" spans="7:8" x14ac:dyDescent="0.3">
      <c r="G5851" s="4"/>
      <c r="H5851" s="4"/>
    </row>
    <row r="5852" spans="7:8" x14ac:dyDescent="0.3">
      <c r="G5852" s="4"/>
      <c r="H5852" s="4"/>
    </row>
    <row r="5853" spans="7:8" x14ac:dyDescent="0.3">
      <c r="G5853" s="4"/>
      <c r="H5853" s="4"/>
    </row>
    <row r="5854" spans="7:8" x14ac:dyDescent="0.3">
      <c r="G5854" s="4"/>
      <c r="H5854" s="4"/>
    </row>
    <row r="5855" spans="7:8" x14ac:dyDescent="0.3">
      <c r="G5855" s="4"/>
      <c r="H5855" s="4"/>
    </row>
    <row r="5856" spans="7:8" x14ac:dyDescent="0.3">
      <c r="G5856" s="4"/>
      <c r="H5856" s="4"/>
    </row>
    <row r="5857" spans="7:8" x14ac:dyDescent="0.3">
      <c r="G5857" s="4"/>
      <c r="H5857" s="4"/>
    </row>
    <row r="5858" spans="7:8" x14ac:dyDescent="0.3">
      <c r="G5858" s="4"/>
      <c r="H5858" s="4"/>
    </row>
    <row r="5859" spans="7:8" x14ac:dyDescent="0.3">
      <c r="G5859" s="4"/>
      <c r="H5859" s="4"/>
    </row>
    <row r="5860" spans="7:8" x14ac:dyDescent="0.3">
      <c r="G5860" s="4"/>
      <c r="H5860" s="4"/>
    </row>
    <row r="5861" spans="7:8" x14ac:dyDescent="0.3">
      <c r="G5861" s="4"/>
      <c r="H5861" s="4"/>
    </row>
    <row r="5862" spans="7:8" x14ac:dyDescent="0.3">
      <c r="G5862" s="4"/>
      <c r="H5862" s="4"/>
    </row>
    <row r="5863" spans="7:8" x14ac:dyDescent="0.3">
      <c r="G5863" s="4"/>
      <c r="H5863" s="4"/>
    </row>
    <row r="5864" spans="7:8" x14ac:dyDescent="0.3">
      <c r="G5864" s="4"/>
      <c r="H5864" s="4"/>
    </row>
    <row r="5865" spans="7:8" x14ac:dyDescent="0.3">
      <c r="G5865" s="4"/>
      <c r="H5865" s="4"/>
    </row>
    <row r="5866" spans="7:8" x14ac:dyDescent="0.3">
      <c r="G5866" s="4"/>
      <c r="H5866" s="4"/>
    </row>
    <row r="5867" spans="7:8" x14ac:dyDescent="0.3">
      <c r="G5867" s="4"/>
      <c r="H5867" s="4"/>
    </row>
    <row r="5868" spans="7:8" x14ac:dyDescent="0.3">
      <c r="G5868" s="4"/>
      <c r="H5868" s="4"/>
    </row>
    <row r="5869" spans="7:8" x14ac:dyDescent="0.3">
      <c r="G5869" s="4"/>
      <c r="H5869" s="4"/>
    </row>
    <row r="5870" spans="7:8" x14ac:dyDescent="0.3">
      <c r="G5870" s="4"/>
      <c r="H5870" s="4"/>
    </row>
    <row r="5871" spans="7:8" x14ac:dyDescent="0.3">
      <c r="G5871" s="4"/>
      <c r="H5871" s="4"/>
    </row>
    <row r="5872" spans="7:8" x14ac:dyDescent="0.3">
      <c r="G5872" s="4"/>
      <c r="H5872" s="4"/>
    </row>
    <row r="5873" spans="7:8" x14ac:dyDescent="0.3">
      <c r="G5873" s="4"/>
      <c r="H5873" s="4"/>
    </row>
    <row r="5874" spans="7:8" x14ac:dyDescent="0.3">
      <c r="G5874" s="4"/>
      <c r="H5874" s="4"/>
    </row>
    <row r="5875" spans="7:8" x14ac:dyDescent="0.3">
      <c r="G5875" s="4"/>
      <c r="H5875" s="4"/>
    </row>
    <row r="5876" spans="7:8" x14ac:dyDescent="0.3">
      <c r="G5876" s="4"/>
      <c r="H5876" s="4"/>
    </row>
    <row r="5877" spans="7:8" x14ac:dyDescent="0.3">
      <c r="G5877" s="4"/>
      <c r="H5877" s="4"/>
    </row>
    <row r="5878" spans="7:8" x14ac:dyDescent="0.3">
      <c r="G5878" s="4"/>
      <c r="H5878" s="4"/>
    </row>
    <row r="5879" spans="7:8" x14ac:dyDescent="0.3">
      <c r="G5879" s="4"/>
      <c r="H5879" s="4"/>
    </row>
    <row r="5880" spans="7:8" x14ac:dyDescent="0.3">
      <c r="G5880" s="4"/>
      <c r="H5880" s="4"/>
    </row>
    <row r="5881" spans="7:8" x14ac:dyDescent="0.3">
      <c r="G5881" s="4"/>
      <c r="H5881" s="4"/>
    </row>
    <row r="5882" spans="7:8" x14ac:dyDescent="0.3">
      <c r="G5882" s="4"/>
      <c r="H5882" s="4"/>
    </row>
    <row r="5883" spans="7:8" x14ac:dyDescent="0.3">
      <c r="G5883" s="4"/>
      <c r="H5883" s="4"/>
    </row>
    <row r="5884" spans="7:8" x14ac:dyDescent="0.3">
      <c r="G5884" s="4"/>
      <c r="H5884" s="4"/>
    </row>
    <row r="5885" spans="7:8" x14ac:dyDescent="0.3">
      <c r="G5885" s="4"/>
      <c r="H5885" s="4"/>
    </row>
    <row r="5886" spans="7:8" x14ac:dyDescent="0.3">
      <c r="G5886" s="4"/>
      <c r="H5886" s="4"/>
    </row>
    <row r="5887" spans="7:8" x14ac:dyDescent="0.3">
      <c r="G5887" s="4"/>
      <c r="H5887" s="4"/>
    </row>
    <row r="5888" spans="7:8" x14ac:dyDescent="0.3">
      <c r="G5888" s="4"/>
      <c r="H5888" s="4"/>
    </row>
    <row r="5889" spans="7:8" x14ac:dyDescent="0.3">
      <c r="G5889" s="4"/>
      <c r="H5889" s="4"/>
    </row>
    <row r="5890" spans="7:8" x14ac:dyDescent="0.3">
      <c r="G5890" s="4"/>
      <c r="H5890" s="4"/>
    </row>
    <row r="5891" spans="7:8" x14ac:dyDescent="0.3">
      <c r="G5891" s="4"/>
      <c r="H5891" s="4"/>
    </row>
    <row r="5892" spans="7:8" x14ac:dyDescent="0.3">
      <c r="G5892" s="4"/>
      <c r="H5892" s="4"/>
    </row>
    <row r="5893" spans="7:8" x14ac:dyDescent="0.3">
      <c r="G5893" s="4"/>
      <c r="H5893" s="4"/>
    </row>
    <row r="5894" spans="7:8" x14ac:dyDescent="0.3">
      <c r="G5894" s="4"/>
      <c r="H5894" s="4"/>
    </row>
    <row r="5895" spans="7:8" x14ac:dyDescent="0.3">
      <c r="G5895" s="4"/>
      <c r="H5895" s="4"/>
    </row>
    <row r="5896" spans="7:8" x14ac:dyDescent="0.3">
      <c r="G5896" s="4"/>
      <c r="H5896" s="4"/>
    </row>
    <row r="5897" spans="7:8" x14ac:dyDescent="0.3">
      <c r="G5897" s="4"/>
      <c r="H5897" s="4"/>
    </row>
    <row r="5898" spans="7:8" x14ac:dyDescent="0.3">
      <c r="G5898" s="4"/>
      <c r="H5898" s="4"/>
    </row>
    <row r="5899" spans="7:8" x14ac:dyDescent="0.3">
      <c r="G5899" s="4"/>
      <c r="H5899" s="4"/>
    </row>
    <row r="5900" spans="7:8" x14ac:dyDescent="0.3">
      <c r="G5900" s="4"/>
      <c r="H5900" s="4"/>
    </row>
    <row r="5901" spans="7:8" x14ac:dyDescent="0.3">
      <c r="G5901" s="4"/>
      <c r="H5901" s="4"/>
    </row>
    <row r="5902" spans="7:8" x14ac:dyDescent="0.3">
      <c r="G5902" s="4"/>
      <c r="H5902" s="4"/>
    </row>
    <row r="5903" spans="7:8" x14ac:dyDescent="0.3">
      <c r="G5903" s="4"/>
      <c r="H5903" s="4"/>
    </row>
    <row r="5904" spans="7:8" x14ac:dyDescent="0.3">
      <c r="G5904" s="4"/>
      <c r="H5904" s="4"/>
    </row>
    <row r="5905" spans="7:8" x14ac:dyDescent="0.3">
      <c r="G5905" s="4"/>
      <c r="H5905" s="4"/>
    </row>
    <row r="5906" spans="7:8" x14ac:dyDescent="0.3">
      <c r="G5906" s="4"/>
      <c r="H5906" s="4"/>
    </row>
    <row r="5907" spans="7:8" x14ac:dyDescent="0.3">
      <c r="G5907" s="4"/>
      <c r="H5907" s="4"/>
    </row>
    <row r="5908" spans="7:8" x14ac:dyDescent="0.3">
      <c r="G5908" s="4"/>
      <c r="H5908" s="4"/>
    </row>
    <row r="5909" spans="7:8" x14ac:dyDescent="0.3">
      <c r="G5909" s="4"/>
      <c r="H5909" s="4"/>
    </row>
    <row r="5910" spans="7:8" x14ac:dyDescent="0.3">
      <c r="G5910" s="4"/>
      <c r="H5910" s="4"/>
    </row>
    <row r="5911" spans="7:8" x14ac:dyDescent="0.3">
      <c r="G5911" s="4"/>
      <c r="H5911" s="4"/>
    </row>
    <row r="5912" spans="7:8" x14ac:dyDescent="0.3">
      <c r="G5912" s="4"/>
      <c r="H5912" s="4"/>
    </row>
    <row r="5913" spans="7:8" x14ac:dyDescent="0.3">
      <c r="G5913" s="4"/>
      <c r="H5913" s="4"/>
    </row>
    <row r="5914" spans="7:8" x14ac:dyDescent="0.3">
      <c r="G5914" s="4"/>
      <c r="H5914" s="4"/>
    </row>
    <row r="5915" spans="7:8" x14ac:dyDescent="0.3">
      <c r="G5915" s="4"/>
      <c r="H5915" s="4"/>
    </row>
    <row r="5916" spans="7:8" x14ac:dyDescent="0.3">
      <c r="G5916" s="4"/>
      <c r="H5916" s="4"/>
    </row>
    <row r="5917" spans="7:8" x14ac:dyDescent="0.3">
      <c r="G5917" s="4"/>
      <c r="H5917" s="4"/>
    </row>
    <row r="5918" spans="7:8" x14ac:dyDescent="0.3">
      <c r="G5918" s="4"/>
      <c r="H5918" s="4"/>
    </row>
    <row r="5919" spans="7:8" x14ac:dyDescent="0.3">
      <c r="G5919" s="4"/>
      <c r="H5919" s="4"/>
    </row>
    <row r="5920" spans="7:8" x14ac:dyDescent="0.3">
      <c r="G5920" s="4"/>
      <c r="H5920" s="4"/>
    </row>
    <row r="5921" spans="7:8" x14ac:dyDescent="0.3">
      <c r="G5921" s="4"/>
      <c r="H5921" s="4"/>
    </row>
    <row r="5922" spans="7:8" x14ac:dyDescent="0.3">
      <c r="G5922" s="4"/>
      <c r="H5922" s="4"/>
    </row>
    <row r="5923" spans="7:8" x14ac:dyDescent="0.3">
      <c r="G5923" s="4"/>
      <c r="H5923" s="4"/>
    </row>
    <row r="5924" spans="7:8" x14ac:dyDescent="0.3">
      <c r="G5924" s="4"/>
      <c r="H5924" s="4"/>
    </row>
    <row r="5925" spans="7:8" x14ac:dyDescent="0.3">
      <c r="G5925" s="4"/>
      <c r="H5925" s="4"/>
    </row>
    <row r="5926" spans="7:8" x14ac:dyDescent="0.3">
      <c r="G5926" s="4"/>
      <c r="H5926" s="4"/>
    </row>
    <row r="5927" spans="7:8" x14ac:dyDescent="0.3">
      <c r="G5927" s="4"/>
      <c r="H5927" s="4"/>
    </row>
    <row r="5928" spans="7:8" x14ac:dyDescent="0.3">
      <c r="G5928" s="4"/>
      <c r="H5928" s="4"/>
    </row>
    <row r="5929" spans="7:8" x14ac:dyDescent="0.3">
      <c r="G5929" s="4"/>
      <c r="H5929" s="4"/>
    </row>
    <row r="5930" spans="7:8" x14ac:dyDescent="0.3">
      <c r="G5930" s="4"/>
      <c r="H5930" s="4"/>
    </row>
    <row r="5931" spans="7:8" x14ac:dyDescent="0.3">
      <c r="G5931" s="4"/>
      <c r="H5931" s="4"/>
    </row>
    <row r="5932" spans="7:8" x14ac:dyDescent="0.3">
      <c r="G5932" s="4"/>
      <c r="H5932" s="4"/>
    </row>
    <row r="5933" spans="7:8" x14ac:dyDescent="0.3">
      <c r="G5933" s="4"/>
      <c r="H5933" s="4"/>
    </row>
    <row r="5934" spans="7:8" x14ac:dyDescent="0.3">
      <c r="G5934" s="4"/>
      <c r="H5934" s="4"/>
    </row>
    <row r="5935" spans="7:8" x14ac:dyDescent="0.3">
      <c r="G5935" s="4"/>
      <c r="H5935" s="4"/>
    </row>
    <row r="5936" spans="7:8" x14ac:dyDescent="0.3">
      <c r="G5936" s="4"/>
      <c r="H5936" s="4"/>
    </row>
    <row r="5937" spans="7:8" x14ac:dyDescent="0.3">
      <c r="G5937" s="4"/>
      <c r="H5937" s="4"/>
    </row>
    <row r="5938" spans="7:8" x14ac:dyDescent="0.3">
      <c r="G5938" s="4"/>
      <c r="H5938" s="4"/>
    </row>
    <row r="5939" spans="7:8" x14ac:dyDescent="0.3">
      <c r="G5939" s="4"/>
      <c r="H5939" s="4"/>
    </row>
    <row r="5940" spans="7:8" x14ac:dyDescent="0.3">
      <c r="G5940" s="4"/>
      <c r="H5940" s="4"/>
    </row>
    <row r="5941" spans="7:8" x14ac:dyDescent="0.3">
      <c r="G5941" s="4"/>
      <c r="H5941" s="4"/>
    </row>
    <row r="5942" spans="7:8" x14ac:dyDescent="0.3">
      <c r="G5942" s="4"/>
      <c r="H5942" s="4"/>
    </row>
    <row r="5943" spans="7:8" x14ac:dyDescent="0.3">
      <c r="G5943" s="4"/>
      <c r="H5943" s="4"/>
    </row>
    <row r="5944" spans="7:8" x14ac:dyDescent="0.3">
      <c r="G5944" s="4"/>
      <c r="H5944" s="4"/>
    </row>
    <row r="5945" spans="7:8" x14ac:dyDescent="0.3">
      <c r="G5945" s="4"/>
      <c r="H5945" s="4"/>
    </row>
    <row r="5946" spans="7:8" x14ac:dyDescent="0.3">
      <c r="G5946" s="4"/>
      <c r="H5946" s="4"/>
    </row>
    <row r="5947" spans="7:8" x14ac:dyDescent="0.3">
      <c r="G5947" s="4"/>
      <c r="H5947" s="4"/>
    </row>
    <row r="5948" spans="7:8" x14ac:dyDescent="0.3">
      <c r="G5948" s="4"/>
      <c r="H5948" s="4"/>
    </row>
    <row r="5949" spans="7:8" x14ac:dyDescent="0.3">
      <c r="G5949" s="4"/>
      <c r="H5949" s="4"/>
    </row>
    <row r="5950" spans="7:8" x14ac:dyDescent="0.3">
      <c r="G5950" s="4"/>
      <c r="H5950" s="4"/>
    </row>
    <row r="5951" spans="7:8" x14ac:dyDescent="0.3">
      <c r="G5951" s="4"/>
      <c r="H5951" s="4"/>
    </row>
    <row r="5952" spans="7:8" x14ac:dyDescent="0.3">
      <c r="G5952" s="4"/>
      <c r="H5952" s="4"/>
    </row>
    <row r="5953" spans="7:8" x14ac:dyDescent="0.3">
      <c r="G5953" s="4"/>
      <c r="H5953" s="4"/>
    </row>
    <row r="5954" spans="7:8" x14ac:dyDescent="0.3">
      <c r="G5954" s="4"/>
      <c r="H5954" s="4"/>
    </row>
    <row r="5955" spans="7:8" x14ac:dyDescent="0.3">
      <c r="G5955" s="4"/>
      <c r="H5955" s="4"/>
    </row>
    <row r="5956" spans="7:8" x14ac:dyDescent="0.3">
      <c r="G5956" s="4"/>
      <c r="H5956" s="4"/>
    </row>
    <row r="5957" spans="7:8" x14ac:dyDescent="0.3">
      <c r="G5957" s="4"/>
      <c r="H5957" s="4"/>
    </row>
    <row r="5958" spans="7:8" x14ac:dyDescent="0.3">
      <c r="G5958" s="4"/>
      <c r="H5958" s="4"/>
    </row>
    <row r="5959" spans="7:8" x14ac:dyDescent="0.3">
      <c r="G5959" s="4"/>
      <c r="H5959" s="4"/>
    </row>
    <row r="5960" spans="7:8" x14ac:dyDescent="0.3">
      <c r="G5960" s="4"/>
      <c r="H5960" s="4"/>
    </row>
    <row r="5961" spans="7:8" x14ac:dyDescent="0.3">
      <c r="G5961" s="4"/>
      <c r="H5961" s="4"/>
    </row>
    <row r="5962" spans="7:8" x14ac:dyDescent="0.3">
      <c r="G5962" s="4"/>
      <c r="H5962" s="4"/>
    </row>
    <row r="5963" spans="7:8" x14ac:dyDescent="0.3">
      <c r="G5963" s="4"/>
      <c r="H5963" s="4"/>
    </row>
    <row r="5964" spans="7:8" x14ac:dyDescent="0.3">
      <c r="G5964" s="4"/>
      <c r="H5964" s="4"/>
    </row>
    <row r="5965" spans="7:8" x14ac:dyDescent="0.3">
      <c r="G5965" s="4"/>
      <c r="H5965" s="4"/>
    </row>
    <row r="5966" spans="7:8" x14ac:dyDescent="0.3">
      <c r="G5966" s="4"/>
      <c r="H5966" s="4"/>
    </row>
    <row r="5967" spans="7:8" x14ac:dyDescent="0.3">
      <c r="G5967" s="4"/>
      <c r="H5967" s="4"/>
    </row>
    <row r="5968" spans="7:8" x14ac:dyDescent="0.3">
      <c r="G5968" s="4"/>
      <c r="H5968" s="4"/>
    </row>
    <row r="5969" spans="7:8" x14ac:dyDescent="0.3">
      <c r="G5969" s="4"/>
      <c r="H5969" s="4"/>
    </row>
    <row r="5970" spans="7:8" x14ac:dyDescent="0.3">
      <c r="G5970" s="4"/>
      <c r="H5970" s="4"/>
    </row>
    <row r="5971" spans="7:8" x14ac:dyDescent="0.3">
      <c r="G5971" s="4"/>
      <c r="H5971" s="4"/>
    </row>
    <row r="5972" spans="7:8" x14ac:dyDescent="0.3">
      <c r="G5972" s="4"/>
      <c r="H5972" s="4"/>
    </row>
    <row r="5973" spans="7:8" x14ac:dyDescent="0.3">
      <c r="G5973" s="4"/>
      <c r="H5973" s="4"/>
    </row>
    <row r="5974" spans="7:8" x14ac:dyDescent="0.3">
      <c r="G5974" s="4"/>
      <c r="H5974" s="4"/>
    </row>
    <row r="5975" spans="7:8" x14ac:dyDescent="0.3">
      <c r="G5975" s="4"/>
      <c r="H5975" s="4"/>
    </row>
    <row r="5976" spans="7:8" x14ac:dyDescent="0.3">
      <c r="G5976" s="4"/>
      <c r="H5976" s="4"/>
    </row>
    <row r="5977" spans="7:8" x14ac:dyDescent="0.3">
      <c r="G5977" s="4"/>
      <c r="H5977" s="4"/>
    </row>
    <row r="5978" spans="7:8" x14ac:dyDescent="0.3">
      <c r="G5978" s="4"/>
      <c r="H5978" s="4"/>
    </row>
    <row r="5979" spans="7:8" x14ac:dyDescent="0.3">
      <c r="G5979" s="4"/>
      <c r="H5979" s="4"/>
    </row>
    <row r="5980" spans="7:8" x14ac:dyDescent="0.3">
      <c r="G5980" s="4"/>
      <c r="H5980" s="4"/>
    </row>
    <row r="5981" spans="7:8" x14ac:dyDescent="0.3">
      <c r="G5981" s="4"/>
      <c r="H5981" s="4"/>
    </row>
    <row r="5982" spans="7:8" x14ac:dyDescent="0.3">
      <c r="G5982" s="4"/>
      <c r="H5982" s="4"/>
    </row>
    <row r="5983" spans="7:8" x14ac:dyDescent="0.3">
      <c r="G5983" s="4"/>
      <c r="H5983" s="4"/>
    </row>
    <row r="5984" spans="7:8" x14ac:dyDescent="0.3">
      <c r="G5984" s="4"/>
      <c r="H5984" s="4"/>
    </row>
    <row r="5985" spans="7:8" x14ac:dyDescent="0.3">
      <c r="G5985" s="4"/>
      <c r="H5985" s="4"/>
    </row>
    <row r="5986" spans="7:8" x14ac:dyDescent="0.3">
      <c r="G5986" s="4"/>
      <c r="H5986" s="4"/>
    </row>
    <row r="5987" spans="7:8" x14ac:dyDescent="0.3">
      <c r="G5987" s="4"/>
      <c r="H5987" s="4"/>
    </row>
    <row r="5988" spans="7:8" x14ac:dyDescent="0.3">
      <c r="G5988" s="4"/>
      <c r="H5988" s="4"/>
    </row>
    <row r="5989" spans="7:8" x14ac:dyDescent="0.3">
      <c r="G5989" s="4"/>
      <c r="H5989" s="4"/>
    </row>
    <row r="5990" spans="7:8" x14ac:dyDescent="0.3">
      <c r="G5990" s="4"/>
      <c r="H5990" s="4"/>
    </row>
    <row r="5991" spans="7:8" x14ac:dyDescent="0.3">
      <c r="G5991" s="4"/>
      <c r="H5991" s="4"/>
    </row>
    <row r="5992" spans="7:8" x14ac:dyDescent="0.3">
      <c r="G5992" s="4"/>
      <c r="H5992" s="4"/>
    </row>
    <row r="5993" spans="7:8" x14ac:dyDescent="0.3">
      <c r="G5993" s="4"/>
      <c r="H5993" s="4"/>
    </row>
    <row r="5994" spans="7:8" x14ac:dyDescent="0.3">
      <c r="G5994" s="4"/>
      <c r="H5994" s="4"/>
    </row>
    <row r="5995" spans="7:8" x14ac:dyDescent="0.3">
      <c r="G5995" s="4"/>
      <c r="H5995" s="4"/>
    </row>
    <row r="5996" spans="7:8" x14ac:dyDescent="0.3">
      <c r="G5996" s="4"/>
      <c r="H5996" s="4"/>
    </row>
    <row r="5997" spans="7:8" x14ac:dyDescent="0.3">
      <c r="G5997" s="4"/>
      <c r="H5997" s="4"/>
    </row>
    <row r="5998" spans="7:8" x14ac:dyDescent="0.3">
      <c r="G5998" s="4"/>
      <c r="H5998" s="4"/>
    </row>
    <row r="5999" spans="7:8" x14ac:dyDescent="0.3">
      <c r="G5999" s="4"/>
      <c r="H5999" s="4"/>
    </row>
    <row r="6000" spans="7:8" x14ac:dyDescent="0.3">
      <c r="G6000" s="4"/>
      <c r="H6000" s="4"/>
    </row>
    <row r="6001" spans="7:8" x14ac:dyDescent="0.3">
      <c r="G6001" s="4"/>
      <c r="H6001" s="4"/>
    </row>
    <row r="6002" spans="7:8" x14ac:dyDescent="0.3">
      <c r="G6002" s="4"/>
      <c r="H6002" s="4"/>
    </row>
    <row r="6003" spans="7:8" x14ac:dyDescent="0.3">
      <c r="G6003" s="4"/>
      <c r="H6003" s="4"/>
    </row>
    <row r="6004" spans="7:8" x14ac:dyDescent="0.3">
      <c r="G6004" s="4"/>
      <c r="H6004" s="4"/>
    </row>
    <row r="6005" spans="7:8" x14ac:dyDescent="0.3">
      <c r="G6005" s="4"/>
      <c r="H6005" s="4"/>
    </row>
    <row r="6006" spans="7:8" x14ac:dyDescent="0.3">
      <c r="G6006" s="4"/>
      <c r="H6006" s="4"/>
    </row>
    <row r="6007" spans="7:8" x14ac:dyDescent="0.3">
      <c r="G6007" s="4"/>
      <c r="H6007" s="4"/>
    </row>
    <row r="6008" spans="7:8" x14ac:dyDescent="0.3">
      <c r="G6008" s="4"/>
      <c r="H6008" s="4"/>
    </row>
    <row r="6009" spans="7:8" x14ac:dyDescent="0.3">
      <c r="G6009" s="4"/>
      <c r="H6009" s="4"/>
    </row>
    <row r="6010" spans="7:8" x14ac:dyDescent="0.3">
      <c r="G6010" s="4"/>
      <c r="H6010" s="4"/>
    </row>
    <row r="6011" spans="7:8" x14ac:dyDescent="0.3">
      <c r="G6011" s="4"/>
      <c r="H6011" s="4"/>
    </row>
    <row r="6012" spans="7:8" x14ac:dyDescent="0.3">
      <c r="G6012" s="4"/>
      <c r="H6012" s="4"/>
    </row>
    <row r="6013" spans="7:8" x14ac:dyDescent="0.3">
      <c r="G6013" s="4"/>
      <c r="H6013" s="4"/>
    </row>
    <row r="6014" spans="7:8" x14ac:dyDescent="0.3">
      <c r="G6014" s="4"/>
      <c r="H6014" s="4"/>
    </row>
    <row r="6015" spans="7:8" x14ac:dyDescent="0.3">
      <c r="G6015" s="4"/>
      <c r="H6015" s="4"/>
    </row>
    <row r="6016" spans="7:8" x14ac:dyDescent="0.3">
      <c r="G6016" s="4"/>
      <c r="H6016" s="4"/>
    </row>
    <row r="6017" spans="7:8" x14ac:dyDescent="0.3">
      <c r="G6017" s="4"/>
      <c r="H6017" s="4"/>
    </row>
    <row r="6018" spans="7:8" x14ac:dyDescent="0.3">
      <c r="G6018" s="4"/>
      <c r="H6018" s="4"/>
    </row>
    <row r="6019" spans="7:8" x14ac:dyDescent="0.3">
      <c r="G6019" s="4"/>
      <c r="H6019" s="4"/>
    </row>
    <row r="6020" spans="7:8" x14ac:dyDescent="0.3">
      <c r="G6020" s="4"/>
      <c r="H6020" s="4"/>
    </row>
    <row r="6021" spans="7:8" x14ac:dyDescent="0.3">
      <c r="G6021" s="4"/>
      <c r="H6021" s="4"/>
    </row>
    <row r="6022" spans="7:8" x14ac:dyDescent="0.3">
      <c r="G6022" s="4"/>
      <c r="H6022" s="4"/>
    </row>
    <row r="6023" spans="7:8" x14ac:dyDescent="0.3">
      <c r="G6023" s="4"/>
      <c r="H6023" s="4"/>
    </row>
    <row r="6024" spans="7:8" x14ac:dyDescent="0.3">
      <c r="G6024" s="4"/>
      <c r="H6024" s="4"/>
    </row>
    <row r="6025" spans="7:8" x14ac:dyDescent="0.3">
      <c r="G6025" s="4"/>
      <c r="H6025" s="4"/>
    </row>
    <row r="6026" spans="7:8" x14ac:dyDescent="0.3">
      <c r="G6026" s="4"/>
      <c r="H6026" s="4"/>
    </row>
    <row r="6027" spans="7:8" x14ac:dyDescent="0.3">
      <c r="G6027" s="4"/>
      <c r="H6027" s="4"/>
    </row>
    <row r="6028" spans="7:8" x14ac:dyDescent="0.3">
      <c r="G6028" s="4"/>
      <c r="H6028" s="4"/>
    </row>
    <row r="6029" spans="7:8" x14ac:dyDescent="0.3">
      <c r="G6029" s="4"/>
      <c r="H6029" s="4"/>
    </row>
    <row r="6030" spans="7:8" x14ac:dyDescent="0.3">
      <c r="G6030" s="4"/>
      <c r="H6030" s="4"/>
    </row>
    <row r="6031" spans="7:8" x14ac:dyDescent="0.3">
      <c r="G6031" s="4"/>
      <c r="H6031" s="4"/>
    </row>
    <row r="6032" spans="7:8" x14ac:dyDescent="0.3">
      <c r="G6032" s="4"/>
      <c r="H6032" s="4"/>
    </row>
    <row r="6033" spans="7:8" x14ac:dyDescent="0.3">
      <c r="G6033" s="4"/>
      <c r="H6033" s="4"/>
    </row>
    <row r="6034" spans="7:8" x14ac:dyDescent="0.3">
      <c r="G6034" s="4"/>
      <c r="H6034" s="4"/>
    </row>
    <row r="6035" spans="7:8" x14ac:dyDescent="0.3">
      <c r="G6035" s="4"/>
      <c r="H6035" s="4"/>
    </row>
    <row r="6036" spans="7:8" x14ac:dyDescent="0.3">
      <c r="G6036" s="4"/>
      <c r="H6036" s="4"/>
    </row>
    <row r="6037" spans="7:8" x14ac:dyDescent="0.3">
      <c r="G6037" s="4"/>
      <c r="H6037" s="4"/>
    </row>
    <row r="6038" spans="7:8" x14ac:dyDescent="0.3">
      <c r="G6038" s="4"/>
      <c r="H6038" s="4"/>
    </row>
    <row r="6039" spans="7:8" x14ac:dyDescent="0.3">
      <c r="G6039" s="4"/>
      <c r="H6039" s="4"/>
    </row>
    <row r="6040" spans="7:8" x14ac:dyDescent="0.3">
      <c r="G6040" s="4"/>
      <c r="H6040" s="4"/>
    </row>
    <row r="6041" spans="7:8" x14ac:dyDescent="0.3">
      <c r="G6041" s="4"/>
      <c r="H6041" s="4"/>
    </row>
    <row r="6042" spans="7:8" x14ac:dyDescent="0.3">
      <c r="G6042" s="4"/>
      <c r="H6042" s="4"/>
    </row>
    <row r="6043" spans="7:8" x14ac:dyDescent="0.3">
      <c r="G6043" s="4"/>
      <c r="H6043" s="4"/>
    </row>
    <row r="6044" spans="7:8" x14ac:dyDescent="0.3">
      <c r="G6044" s="4"/>
      <c r="H6044" s="4"/>
    </row>
    <row r="6045" spans="7:8" x14ac:dyDescent="0.3">
      <c r="G6045" s="4"/>
      <c r="H6045" s="4"/>
    </row>
    <row r="6046" spans="7:8" x14ac:dyDescent="0.3">
      <c r="G6046" s="4"/>
      <c r="H6046" s="4"/>
    </row>
    <row r="6047" spans="7:8" x14ac:dyDescent="0.3">
      <c r="G6047" s="4"/>
      <c r="H6047" s="4"/>
    </row>
    <row r="6048" spans="7:8" x14ac:dyDescent="0.3">
      <c r="G6048" s="4"/>
      <c r="H6048" s="4"/>
    </row>
    <row r="6049" spans="7:8" x14ac:dyDescent="0.3">
      <c r="G6049" s="4"/>
      <c r="H6049" s="4"/>
    </row>
    <row r="6050" spans="7:8" x14ac:dyDescent="0.3">
      <c r="G6050" s="4"/>
      <c r="H6050" s="4"/>
    </row>
    <row r="6051" spans="7:8" x14ac:dyDescent="0.3">
      <c r="G6051" s="4"/>
      <c r="H6051" s="4"/>
    </row>
    <row r="6052" spans="7:8" x14ac:dyDescent="0.3">
      <c r="G6052" s="4"/>
      <c r="H6052" s="4"/>
    </row>
    <row r="6053" spans="7:8" x14ac:dyDescent="0.3">
      <c r="G6053" s="4"/>
      <c r="H6053" s="4"/>
    </row>
    <row r="6054" spans="7:8" x14ac:dyDescent="0.3">
      <c r="G6054" s="4"/>
      <c r="H6054" s="4"/>
    </row>
    <row r="6055" spans="7:8" x14ac:dyDescent="0.3">
      <c r="G6055" s="4"/>
      <c r="H6055" s="4"/>
    </row>
    <row r="6056" spans="7:8" x14ac:dyDescent="0.3">
      <c r="G6056" s="4"/>
      <c r="H6056" s="4"/>
    </row>
    <row r="6057" spans="7:8" x14ac:dyDescent="0.3">
      <c r="G6057" s="4"/>
      <c r="H6057" s="4"/>
    </row>
    <row r="6058" spans="7:8" x14ac:dyDescent="0.3">
      <c r="G6058" s="4"/>
      <c r="H6058" s="4"/>
    </row>
    <row r="6059" spans="7:8" x14ac:dyDescent="0.3">
      <c r="G6059" s="4"/>
      <c r="H6059" s="4"/>
    </row>
    <row r="6060" spans="7:8" x14ac:dyDescent="0.3">
      <c r="G6060" s="4"/>
      <c r="H6060" s="4"/>
    </row>
    <row r="6061" spans="7:8" x14ac:dyDescent="0.3">
      <c r="G6061" s="4"/>
      <c r="H6061" s="4"/>
    </row>
    <row r="6062" spans="7:8" x14ac:dyDescent="0.3">
      <c r="G6062" s="4"/>
      <c r="H6062" s="4"/>
    </row>
    <row r="6063" spans="7:8" x14ac:dyDescent="0.3">
      <c r="G6063" s="4"/>
      <c r="H6063" s="4"/>
    </row>
    <row r="6064" spans="7:8" x14ac:dyDescent="0.3">
      <c r="G6064" s="4"/>
      <c r="H6064" s="4"/>
    </row>
    <row r="6065" spans="7:8" x14ac:dyDescent="0.3">
      <c r="G6065" s="4"/>
      <c r="H6065" s="4"/>
    </row>
    <row r="6066" spans="7:8" x14ac:dyDescent="0.3">
      <c r="G6066" s="4"/>
      <c r="H6066" s="4"/>
    </row>
    <row r="6067" spans="7:8" x14ac:dyDescent="0.3">
      <c r="G6067" s="4"/>
      <c r="H6067" s="4"/>
    </row>
    <row r="6068" spans="7:8" x14ac:dyDescent="0.3">
      <c r="G6068" s="4"/>
      <c r="H6068" s="4"/>
    </row>
    <row r="6069" spans="7:8" x14ac:dyDescent="0.3">
      <c r="G6069" s="4"/>
      <c r="H6069" s="4"/>
    </row>
    <row r="6070" spans="7:8" x14ac:dyDescent="0.3">
      <c r="G6070" s="4"/>
      <c r="H6070" s="4"/>
    </row>
    <row r="6071" spans="7:8" x14ac:dyDescent="0.3">
      <c r="G6071" s="4"/>
      <c r="H6071" s="4"/>
    </row>
    <row r="6072" spans="7:8" x14ac:dyDescent="0.3">
      <c r="G6072" s="4"/>
      <c r="H6072" s="4"/>
    </row>
    <row r="6073" spans="7:8" x14ac:dyDescent="0.3">
      <c r="G6073" s="4"/>
      <c r="H6073" s="4"/>
    </row>
    <row r="6074" spans="7:8" x14ac:dyDescent="0.3">
      <c r="G6074" s="4"/>
      <c r="H6074" s="4"/>
    </row>
    <row r="6075" spans="7:8" x14ac:dyDescent="0.3">
      <c r="G6075" s="4"/>
      <c r="H6075" s="4"/>
    </row>
    <row r="6076" spans="7:8" x14ac:dyDescent="0.3">
      <c r="G6076" s="4"/>
      <c r="H6076" s="4"/>
    </row>
    <row r="6077" spans="7:8" x14ac:dyDescent="0.3">
      <c r="G6077" s="4"/>
      <c r="H6077" s="4"/>
    </row>
    <row r="6078" spans="7:8" x14ac:dyDescent="0.3">
      <c r="G6078" s="4"/>
      <c r="H6078" s="4"/>
    </row>
    <row r="6079" spans="7:8" x14ac:dyDescent="0.3">
      <c r="G6079" s="4"/>
      <c r="H6079" s="4"/>
    </row>
    <row r="6080" spans="7:8" x14ac:dyDescent="0.3">
      <c r="G6080" s="4"/>
      <c r="H6080" s="4"/>
    </row>
    <row r="6081" spans="7:8" x14ac:dyDescent="0.3">
      <c r="G6081" s="4"/>
      <c r="H6081" s="4"/>
    </row>
    <row r="6082" spans="7:8" x14ac:dyDescent="0.3">
      <c r="G6082" s="4"/>
      <c r="H6082" s="4"/>
    </row>
    <row r="6083" spans="7:8" x14ac:dyDescent="0.3">
      <c r="G6083" s="4"/>
      <c r="H6083" s="4"/>
    </row>
    <row r="6084" spans="7:8" x14ac:dyDescent="0.3">
      <c r="G6084" s="4"/>
      <c r="H6084" s="4"/>
    </row>
    <row r="6085" spans="7:8" x14ac:dyDescent="0.3">
      <c r="G6085" s="4"/>
      <c r="H6085" s="4"/>
    </row>
    <row r="6086" spans="7:8" x14ac:dyDescent="0.3">
      <c r="G6086" s="4"/>
      <c r="H6086" s="4"/>
    </row>
    <row r="6087" spans="7:8" x14ac:dyDescent="0.3">
      <c r="G6087" s="4"/>
      <c r="H6087" s="4"/>
    </row>
    <row r="6088" spans="7:8" x14ac:dyDescent="0.3">
      <c r="G6088" s="4"/>
      <c r="H6088" s="4"/>
    </row>
    <row r="6089" spans="7:8" x14ac:dyDescent="0.3">
      <c r="G6089" s="4"/>
      <c r="H6089" s="4"/>
    </row>
    <row r="6090" spans="7:8" x14ac:dyDescent="0.3">
      <c r="G6090" s="4"/>
      <c r="H6090" s="4"/>
    </row>
    <row r="6091" spans="7:8" x14ac:dyDescent="0.3">
      <c r="G6091" s="4"/>
      <c r="H6091" s="4"/>
    </row>
    <row r="6092" spans="7:8" x14ac:dyDescent="0.3">
      <c r="G6092" s="4"/>
      <c r="H6092" s="4"/>
    </row>
    <row r="6093" spans="7:8" x14ac:dyDescent="0.3">
      <c r="G6093" s="4"/>
      <c r="H6093" s="4"/>
    </row>
    <row r="6094" spans="7:8" x14ac:dyDescent="0.3">
      <c r="G6094" s="4"/>
      <c r="H6094" s="4"/>
    </row>
    <row r="6095" spans="7:8" x14ac:dyDescent="0.3">
      <c r="G6095" s="4"/>
      <c r="H6095" s="4"/>
    </row>
    <row r="6096" spans="7:8" x14ac:dyDescent="0.3">
      <c r="G6096" s="4"/>
      <c r="H6096" s="4"/>
    </row>
    <row r="6097" spans="7:8" x14ac:dyDescent="0.3">
      <c r="G6097" s="4"/>
      <c r="H6097" s="4"/>
    </row>
    <row r="6098" spans="7:8" x14ac:dyDescent="0.3">
      <c r="G6098" s="4"/>
      <c r="H6098" s="4"/>
    </row>
    <row r="6099" spans="7:8" x14ac:dyDescent="0.3">
      <c r="G6099" s="4"/>
      <c r="H6099" s="4"/>
    </row>
    <row r="6100" spans="7:8" x14ac:dyDescent="0.3">
      <c r="G6100" s="4"/>
      <c r="H6100" s="4"/>
    </row>
    <row r="6101" spans="7:8" x14ac:dyDescent="0.3">
      <c r="G6101" s="4"/>
      <c r="H6101" s="4"/>
    </row>
    <row r="6102" spans="7:8" x14ac:dyDescent="0.3">
      <c r="G6102" s="4"/>
      <c r="H6102" s="4"/>
    </row>
    <row r="6103" spans="7:8" x14ac:dyDescent="0.3">
      <c r="G6103" s="4"/>
      <c r="H6103" s="4"/>
    </row>
    <row r="6104" spans="7:8" x14ac:dyDescent="0.3">
      <c r="G6104" s="4"/>
      <c r="H6104" s="4"/>
    </row>
    <row r="6105" spans="7:8" x14ac:dyDescent="0.3">
      <c r="G6105" s="4"/>
      <c r="H6105" s="4"/>
    </row>
    <row r="6106" spans="7:8" x14ac:dyDescent="0.3">
      <c r="G6106" s="4"/>
      <c r="H6106" s="4"/>
    </row>
    <row r="6107" spans="7:8" x14ac:dyDescent="0.3">
      <c r="G6107" s="4"/>
      <c r="H6107" s="4"/>
    </row>
    <row r="6108" spans="7:8" x14ac:dyDescent="0.3">
      <c r="G6108" s="4"/>
      <c r="H6108" s="4"/>
    </row>
    <row r="6109" spans="7:8" x14ac:dyDescent="0.3">
      <c r="G6109" s="4"/>
      <c r="H6109" s="4"/>
    </row>
    <row r="6110" spans="7:8" x14ac:dyDescent="0.3">
      <c r="G6110" s="4"/>
      <c r="H6110" s="4"/>
    </row>
    <row r="6111" spans="7:8" x14ac:dyDescent="0.3">
      <c r="G6111" s="4"/>
      <c r="H6111" s="4"/>
    </row>
    <row r="6112" spans="7:8" x14ac:dyDescent="0.3">
      <c r="G6112" s="4"/>
      <c r="H6112" s="4"/>
    </row>
    <row r="6113" spans="7:8" x14ac:dyDescent="0.3">
      <c r="G6113" s="4"/>
      <c r="H6113" s="4"/>
    </row>
    <row r="6114" spans="7:8" x14ac:dyDescent="0.3">
      <c r="G6114" s="4"/>
      <c r="H6114" s="4"/>
    </row>
    <row r="6115" spans="7:8" x14ac:dyDescent="0.3">
      <c r="G6115" s="4"/>
      <c r="H6115" s="4"/>
    </row>
    <row r="6116" spans="7:8" x14ac:dyDescent="0.3">
      <c r="G6116" s="4"/>
      <c r="H6116" s="4"/>
    </row>
    <row r="6117" spans="7:8" x14ac:dyDescent="0.3">
      <c r="G6117" s="4"/>
      <c r="H6117" s="4"/>
    </row>
    <row r="6118" spans="7:8" x14ac:dyDescent="0.3">
      <c r="G6118" s="4"/>
      <c r="H6118" s="4"/>
    </row>
    <row r="6119" spans="7:8" x14ac:dyDescent="0.3">
      <c r="G6119" s="4"/>
      <c r="H6119" s="4"/>
    </row>
    <row r="6120" spans="7:8" x14ac:dyDescent="0.3">
      <c r="G6120" s="4"/>
      <c r="H6120" s="4"/>
    </row>
    <row r="6121" spans="7:8" x14ac:dyDescent="0.3">
      <c r="G6121" s="4"/>
      <c r="H6121" s="4"/>
    </row>
    <row r="6122" spans="7:8" x14ac:dyDescent="0.3">
      <c r="G6122" s="4"/>
      <c r="H6122" s="4"/>
    </row>
    <row r="6123" spans="7:8" x14ac:dyDescent="0.3">
      <c r="G6123" s="4"/>
      <c r="H6123" s="4"/>
    </row>
    <row r="6124" spans="7:8" x14ac:dyDescent="0.3">
      <c r="G6124" s="4"/>
      <c r="H6124" s="4"/>
    </row>
    <row r="6125" spans="7:8" x14ac:dyDescent="0.3">
      <c r="G6125" s="4"/>
      <c r="H6125" s="4"/>
    </row>
    <row r="6126" spans="7:8" x14ac:dyDescent="0.3">
      <c r="G6126" s="4"/>
      <c r="H6126" s="4"/>
    </row>
    <row r="6127" spans="7:8" x14ac:dyDescent="0.3">
      <c r="G6127" s="4"/>
      <c r="H6127" s="4"/>
    </row>
    <row r="6128" spans="7:8" x14ac:dyDescent="0.3">
      <c r="G6128" s="4"/>
      <c r="H6128" s="4"/>
    </row>
    <row r="6129" spans="7:8" x14ac:dyDescent="0.3">
      <c r="G6129" s="4"/>
      <c r="H6129" s="4"/>
    </row>
    <row r="6130" spans="7:8" x14ac:dyDescent="0.3">
      <c r="G6130" s="4"/>
      <c r="H6130" s="4"/>
    </row>
    <row r="6131" spans="7:8" x14ac:dyDescent="0.3">
      <c r="G6131" s="4"/>
      <c r="H6131" s="4"/>
    </row>
    <row r="6132" spans="7:8" x14ac:dyDescent="0.3">
      <c r="G6132" s="4"/>
      <c r="H6132" s="4"/>
    </row>
    <row r="6133" spans="7:8" x14ac:dyDescent="0.3">
      <c r="G6133" s="4"/>
      <c r="H6133" s="4"/>
    </row>
    <row r="6134" spans="7:8" x14ac:dyDescent="0.3">
      <c r="G6134" s="4"/>
      <c r="H6134" s="4"/>
    </row>
    <row r="6135" spans="7:8" x14ac:dyDescent="0.3">
      <c r="G6135" s="4"/>
      <c r="H6135" s="4"/>
    </row>
    <row r="6136" spans="7:8" x14ac:dyDescent="0.3">
      <c r="G6136" s="4"/>
      <c r="H6136" s="4"/>
    </row>
    <row r="6137" spans="7:8" x14ac:dyDescent="0.3">
      <c r="G6137" s="4"/>
      <c r="H6137" s="4"/>
    </row>
    <row r="6138" spans="7:8" x14ac:dyDescent="0.3">
      <c r="G6138" s="4"/>
      <c r="H6138" s="4"/>
    </row>
    <row r="6139" spans="7:8" x14ac:dyDescent="0.3">
      <c r="G6139" s="4"/>
      <c r="H6139" s="4"/>
    </row>
    <row r="6140" spans="7:8" x14ac:dyDescent="0.3">
      <c r="G6140" s="4"/>
      <c r="H6140" s="4"/>
    </row>
    <row r="6141" spans="7:8" x14ac:dyDescent="0.3">
      <c r="G6141" s="4"/>
      <c r="H6141" s="4"/>
    </row>
    <row r="6142" spans="7:8" x14ac:dyDescent="0.3">
      <c r="G6142" s="4"/>
      <c r="H6142" s="4"/>
    </row>
    <row r="6143" spans="7:8" x14ac:dyDescent="0.3">
      <c r="G6143" s="4"/>
      <c r="H6143" s="4"/>
    </row>
    <row r="6144" spans="7:8" x14ac:dyDescent="0.3">
      <c r="G6144" s="4"/>
      <c r="H6144" s="4"/>
    </row>
    <row r="6145" spans="7:8" x14ac:dyDescent="0.3">
      <c r="G6145" s="4"/>
      <c r="H6145" s="4"/>
    </row>
    <row r="6146" spans="7:8" x14ac:dyDescent="0.3">
      <c r="G6146" s="4"/>
      <c r="H6146" s="4"/>
    </row>
    <row r="6147" spans="7:8" x14ac:dyDescent="0.3">
      <c r="G6147" s="4"/>
      <c r="H6147" s="4"/>
    </row>
    <row r="6148" spans="7:8" x14ac:dyDescent="0.3">
      <c r="G6148" s="4"/>
      <c r="H6148" s="4"/>
    </row>
    <row r="6149" spans="7:8" x14ac:dyDescent="0.3">
      <c r="G6149" s="4"/>
      <c r="H6149" s="4"/>
    </row>
    <row r="6150" spans="7:8" x14ac:dyDescent="0.3">
      <c r="G6150" s="4"/>
      <c r="H6150" s="4"/>
    </row>
    <row r="6151" spans="7:8" x14ac:dyDescent="0.3">
      <c r="G6151" s="4"/>
      <c r="H6151" s="4"/>
    </row>
    <row r="6152" spans="7:8" x14ac:dyDescent="0.3">
      <c r="G6152" s="4"/>
      <c r="H6152" s="4"/>
    </row>
    <row r="6153" spans="7:8" x14ac:dyDescent="0.3">
      <c r="G6153" s="4"/>
      <c r="H6153" s="4"/>
    </row>
    <row r="6154" spans="7:8" x14ac:dyDescent="0.3">
      <c r="G6154" s="4"/>
      <c r="H6154" s="4"/>
    </row>
    <row r="6155" spans="7:8" x14ac:dyDescent="0.3">
      <c r="G6155" s="4"/>
      <c r="H6155" s="4"/>
    </row>
    <row r="6156" spans="7:8" x14ac:dyDescent="0.3">
      <c r="G6156" s="4"/>
      <c r="H6156" s="4"/>
    </row>
    <row r="6157" spans="7:8" x14ac:dyDescent="0.3">
      <c r="G6157" s="4"/>
      <c r="H6157" s="4"/>
    </row>
    <row r="6158" spans="7:8" x14ac:dyDescent="0.3">
      <c r="G6158" s="4"/>
      <c r="H6158" s="4"/>
    </row>
    <row r="6159" spans="7:8" x14ac:dyDescent="0.3">
      <c r="G6159" s="4"/>
      <c r="H6159" s="4"/>
    </row>
    <row r="6160" spans="7:8" x14ac:dyDescent="0.3">
      <c r="G6160" s="4"/>
      <c r="H6160" s="4"/>
    </row>
    <row r="6161" spans="7:8" x14ac:dyDescent="0.3">
      <c r="G6161" s="4"/>
      <c r="H6161" s="4"/>
    </row>
    <row r="6162" spans="7:8" x14ac:dyDescent="0.3">
      <c r="G6162" s="4"/>
      <c r="H6162" s="4"/>
    </row>
    <row r="6163" spans="7:8" x14ac:dyDescent="0.3">
      <c r="G6163" s="4"/>
      <c r="H6163" s="4"/>
    </row>
    <row r="6164" spans="7:8" x14ac:dyDescent="0.3">
      <c r="G6164" s="4"/>
      <c r="H6164" s="4"/>
    </row>
    <row r="6165" spans="7:8" x14ac:dyDescent="0.3">
      <c r="G6165" s="4"/>
      <c r="H6165" s="4"/>
    </row>
    <row r="6166" spans="7:8" x14ac:dyDescent="0.3">
      <c r="G6166" s="4"/>
      <c r="H6166" s="4"/>
    </row>
    <row r="6167" spans="7:8" x14ac:dyDescent="0.3">
      <c r="G6167" s="4"/>
      <c r="H6167" s="4"/>
    </row>
    <row r="6168" spans="7:8" x14ac:dyDescent="0.3">
      <c r="G6168" s="4"/>
      <c r="H6168" s="4"/>
    </row>
    <row r="6169" spans="7:8" x14ac:dyDescent="0.3">
      <c r="G6169" s="4"/>
      <c r="H6169" s="4"/>
    </row>
    <row r="6170" spans="7:8" x14ac:dyDescent="0.3">
      <c r="G6170" s="4"/>
      <c r="H6170" s="4"/>
    </row>
    <row r="6171" spans="7:8" x14ac:dyDescent="0.3">
      <c r="G6171" s="4"/>
      <c r="H6171" s="4"/>
    </row>
    <row r="6172" spans="7:8" x14ac:dyDescent="0.3">
      <c r="G6172" s="4"/>
      <c r="H6172" s="4"/>
    </row>
    <row r="6173" spans="7:8" x14ac:dyDescent="0.3">
      <c r="G6173" s="4"/>
      <c r="H6173" s="4"/>
    </row>
    <row r="6174" spans="7:8" x14ac:dyDescent="0.3">
      <c r="G6174" s="4"/>
      <c r="H6174" s="4"/>
    </row>
    <row r="6175" spans="7:8" x14ac:dyDescent="0.3">
      <c r="G6175" s="4"/>
      <c r="H6175" s="4"/>
    </row>
    <row r="6176" spans="7:8" x14ac:dyDescent="0.3">
      <c r="G6176" s="4"/>
      <c r="H6176" s="4"/>
    </row>
    <row r="6177" spans="7:8" x14ac:dyDescent="0.3">
      <c r="G6177" s="4"/>
      <c r="H6177" s="4"/>
    </row>
    <row r="6178" spans="7:8" x14ac:dyDescent="0.3">
      <c r="G6178" s="4"/>
      <c r="H6178" s="4"/>
    </row>
    <row r="6179" spans="7:8" x14ac:dyDescent="0.3">
      <c r="G6179" s="4"/>
      <c r="H6179" s="4"/>
    </row>
    <row r="6180" spans="7:8" x14ac:dyDescent="0.3">
      <c r="G6180" s="4"/>
      <c r="H6180" s="4"/>
    </row>
    <row r="6181" spans="7:8" x14ac:dyDescent="0.3">
      <c r="G6181" s="4"/>
      <c r="H6181" s="4"/>
    </row>
    <row r="6182" spans="7:8" x14ac:dyDescent="0.3">
      <c r="G6182" s="4"/>
      <c r="H6182" s="4"/>
    </row>
    <row r="6183" spans="7:8" x14ac:dyDescent="0.3">
      <c r="G6183" s="4"/>
      <c r="H6183" s="4"/>
    </row>
    <row r="6184" spans="7:8" x14ac:dyDescent="0.3">
      <c r="G6184" s="4"/>
      <c r="H6184" s="4"/>
    </row>
    <row r="6185" spans="7:8" x14ac:dyDescent="0.3">
      <c r="G6185" s="4"/>
      <c r="H6185" s="4"/>
    </row>
    <row r="6186" spans="7:8" x14ac:dyDescent="0.3">
      <c r="G6186" s="4"/>
      <c r="H6186" s="4"/>
    </row>
    <row r="6187" spans="7:8" x14ac:dyDescent="0.3">
      <c r="G6187" s="4"/>
      <c r="H6187" s="4"/>
    </row>
    <row r="6188" spans="7:8" x14ac:dyDescent="0.3">
      <c r="G6188" s="4"/>
      <c r="H6188" s="4"/>
    </row>
    <row r="6189" spans="7:8" x14ac:dyDescent="0.3">
      <c r="G6189" s="4"/>
      <c r="H6189" s="4"/>
    </row>
    <row r="6190" spans="7:8" x14ac:dyDescent="0.3">
      <c r="G6190" s="4"/>
      <c r="H6190" s="4"/>
    </row>
    <row r="6191" spans="7:8" x14ac:dyDescent="0.3">
      <c r="G6191" s="4"/>
      <c r="H6191" s="4"/>
    </row>
    <row r="6192" spans="7:8" x14ac:dyDescent="0.3">
      <c r="G6192" s="4"/>
      <c r="H6192" s="4"/>
    </row>
    <row r="6193" spans="7:8" x14ac:dyDescent="0.3">
      <c r="G6193" s="4"/>
      <c r="H6193" s="4"/>
    </row>
    <row r="6194" spans="7:8" x14ac:dyDescent="0.3">
      <c r="G6194" s="4"/>
      <c r="H6194" s="4"/>
    </row>
    <row r="6195" spans="7:8" x14ac:dyDescent="0.3">
      <c r="G6195" s="4"/>
      <c r="H6195" s="4"/>
    </row>
    <row r="6196" spans="7:8" x14ac:dyDescent="0.3">
      <c r="G6196" s="4"/>
      <c r="H6196" s="4"/>
    </row>
    <row r="6197" spans="7:8" x14ac:dyDescent="0.3">
      <c r="G6197" s="4"/>
      <c r="H6197" s="4"/>
    </row>
    <row r="6198" spans="7:8" x14ac:dyDescent="0.3">
      <c r="G6198" s="4"/>
      <c r="H6198" s="4"/>
    </row>
    <row r="6199" spans="7:8" x14ac:dyDescent="0.3">
      <c r="G6199" s="4"/>
      <c r="H6199" s="4"/>
    </row>
    <row r="6200" spans="7:8" x14ac:dyDescent="0.3">
      <c r="G6200" s="4"/>
      <c r="H6200" s="4"/>
    </row>
    <row r="6201" spans="7:8" x14ac:dyDescent="0.3">
      <c r="G6201" s="4"/>
      <c r="H6201" s="4"/>
    </row>
    <row r="6202" spans="7:8" x14ac:dyDescent="0.3">
      <c r="G6202" s="4"/>
      <c r="H6202" s="4"/>
    </row>
    <row r="6203" spans="7:8" x14ac:dyDescent="0.3">
      <c r="G6203" s="4"/>
      <c r="H6203" s="4"/>
    </row>
    <row r="6204" spans="7:8" x14ac:dyDescent="0.3">
      <c r="G6204" s="4"/>
      <c r="H6204" s="4"/>
    </row>
    <row r="6205" spans="7:8" x14ac:dyDescent="0.3">
      <c r="G6205" s="4"/>
      <c r="H6205" s="4"/>
    </row>
    <row r="6206" spans="7:8" x14ac:dyDescent="0.3">
      <c r="G6206" s="4"/>
      <c r="H6206" s="4"/>
    </row>
    <row r="6207" spans="7:8" x14ac:dyDescent="0.3">
      <c r="G6207" s="4"/>
      <c r="H6207" s="4"/>
    </row>
    <row r="6208" spans="7:8" x14ac:dyDescent="0.3">
      <c r="G6208" s="4"/>
      <c r="H6208" s="4"/>
    </row>
    <row r="6209" spans="7:8" x14ac:dyDescent="0.3">
      <c r="G6209" s="4"/>
      <c r="H6209" s="4"/>
    </row>
    <row r="6210" spans="7:8" x14ac:dyDescent="0.3">
      <c r="G6210" s="4"/>
      <c r="H6210" s="4"/>
    </row>
    <row r="6211" spans="7:8" x14ac:dyDescent="0.3">
      <c r="G6211" s="4"/>
      <c r="H6211" s="4"/>
    </row>
    <row r="6212" spans="7:8" x14ac:dyDescent="0.3">
      <c r="G6212" s="4"/>
      <c r="H6212" s="4"/>
    </row>
    <row r="6213" spans="7:8" x14ac:dyDescent="0.3">
      <c r="G6213" s="4"/>
      <c r="H6213" s="4"/>
    </row>
    <row r="6214" spans="7:8" x14ac:dyDescent="0.3">
      <c r="G6214" s="4"/>
      <c r="H6214" s="4"/>
    </row>
    <row r="6215" spans="7:8" x14ac:dyDescent="0.3">
      <c r="G6215" s="4"/>
      <c r="H6215" s="4"/>
    </row>
    <row r="6216" spans="7:8" x14ac:dyDescent="0.3">
      <c r="G6216" s="4"/>
      <c r="H6216" s="4"/>
    </row>
    <row r="6217" spans="7:8" x14ac:dyDescent="0.3">
      <c r="G6217" s="4"/>
      <c r="H6217" s="4"/>
    </row>
    <row r="6218" spans="7:8" x14ac:dyDescent="0.3">
      <c r="G6218" s="4"/>
      <c r="H6218" s="4"/>
    </row>
    <row r="6219" spans="7:8" x14ac:dyDescent="0.3">
      <c r="G6219" s="4"/>
      <c r="H6219" s="4"/>
    </row>
    <row r="6220" spans="7:8" x14ac:dyDescent="0.3">
      <c r="G6220" s="4"/>
      <c r="H6220" s="4"/>
    </row>
    <row r="6221" spans="7:8" x14ac:dyDescent="0.3">
      <c r="G6221" s="4"/>
      <c r="H6221" s="4"/>
    </row>
    <row r="6222" spans="7:8" x14ac:dyDescent="0.3">
      <c r="G6222" s="4"/>
      <c r="H6222" s="4"/>
    </row>
    <row r="6223" spans="7:8" x14ac:dyDescent="0.3">
      <c r="G6223" s="4"/>
      <c r="H6223" s="4"/>
    </row>
    <row r="6224" spans="7:8" x14ac:dyDescent="0.3">
      <c r="G6224" s="4"/>
      <c r="H6224" s="4"/>
    </row>
    <row r="6225" spans="7:8" x14ac:dyDescent="0.3">
      <c r="G6225" s="4"/>
      <c r="H6225" s="4"/>
    </row>
    <row r="6226" spans="7:8" x14ac:dyDescent="0.3">
      <c r="G6226" s="4"/>
      <c r="H6226" s="4"/>
    </row>
    <row r="6227" spans="7:8" x14ac:dyDescent="0.3">
      <c r="G6227" s="4"/>
      <c r="H6227" s="4"/>
    </row>
    <row r="6228" spans="7:8" x14ac:dyDescent="0.3">
      <c r="G6228" s="4"/>
      <c r="H6228" s="4"/>
    </row>
    <row r="6229" spans="7:8" x14ac:dyDescent="0.3">
      <c r="G6229" s="4"/>
      <c r="H6229" s="4"/>
    </row>
    <row r="6230" spans="7:8" x14ac:dyDescent="0.3">
      <c r="G6230" s="4"/>
      <c r="H6230" s="4"/>
    </row>
    <row r="6231" spans="7:8" x14ac:dyDescent="0.3">
      <c r="G6231" s="4"/>
      <c r="H6231" s="4"/>
    </row>
    <row r="6232" spans="7:8" x14ac:dyDescent="0.3">
      <c r="G6232" s="4"/>
      <c r="H6232" s="4"/>
    </row>
    <row r="6233" spans="7:8" x14ac:dyDescent="0.3">
      <c r="G6233" s="4"/>
      <c r="H6233" s="4"/>
    </row>
    <row r="6234" spans="7:8" x14ac:dyDescent="0.3">
      <c r="G6234" s="4"/>
      <c r="H6234" s="4"/>
    </row>
    <row r="6235" spans="7:8" x14ac:dyDescent="0.3">
      <c r="G6235" s="4"/>
      <c r="H6235" s="4"/>
    </row>
    <row r="6236" spans="7:8" x14ac:dyDescent="0.3">
      <c r="G6236" s="4"/>
      <c r="H6236" s="4"/>
    </row>
    <row r="6237" spans="7:8" x14ac:dyDescent="0.3">
      <c r="G6237" s="4"/>
      <c r="H6237" s="4"/>
    </row>
    <row r="6238" spans="7:8" x14ac:dyDescent="0.3">
      <c r="G6238" s="4"/>
      <c r="H6238" s="4"/>
    </row>
    <row r="6239" spans="7:8" x14ac:dyDescent="0.3">
      <c r="G6239" s="4"/>
      <c r="H6239" s="4"/>
    </row>
    <row r="6240" spans="7:8" x14ac:dyDescent="0.3">
      <c r="G6240" s="4"/>
      <c r="H6240" s="4"/>
    </row>
    <row r="6241" spans="7:8" x14ac:dyDescent="0.3">
      <c r="G6241" s="4"/>
      <c r="H6241" s="4"/>
    </row>
    <row r="6242" spans="7:8" x14ac:dyDescent="0.3">
      <c r="G6242" s="4"/>
      <c r="H6242" s="4"/>
    </row>
    <row r="6243" spans="7:8" x14ac:dyDescent="0.3">
      <c r="G6243" s="4"/>
      <c r="H6243" s="4"/>
    </row>
    <row r="6244" spans="7:8" x14ac:dyDescent="0.3">
      <c r="G6244" s="4"/>
      <c r="H6244" s="4"/>
    </row>
    <row r="6245" spans="7:8" x14ac:dyDescent="0.3">
      <c r="G6245" s="4"/>
      <c r="H6245" s="4"/>
    </row>
    <row r="6246" spans="7:8" x14ac:dyDescent="0.3">
      <c r="G6246" s="4"/>
      <c r="H6246" s="4"/>
    </row>
    <row r="6247" spans="7:8" x14ac:dyDescent="0.3">
      <c r="G6247" s="4"/>
      <c r="H6247" s="4"/>
    </row>
    <row r="6248" spans="7:8" x14ac:dyDescent="0.3">
      <c r="G6248" s="4"/>
      <c r="H6248" s="4"/>
    </row>
    <row r="6249" spans="7:8" x14ac:dyDescent="0.3">
      <c r="G6249" s="4"/>
      <c r="H6249" s="4"/>
    </row>
    <row r="6250" spans="7:8" x14ac:dyDescent="0.3">
      <c r="G6250" s="4"/>
      <c r="H6250" s="4"/>
    </row>
    <row r="6251" spans="7:8" x14ac:dyDescent="0.3">
      <c r="G6251" s="4"/>
      <c r="H6251" s="4"/>
    </row>
    <row r="6252" spans="7:8" x14ac:dyDescent="0.3">
      <c r="G6252" s="4"/>
      <c r="H6252" s="4"/>
    </row>
    <row r="6253" spans="7:8" x14ac:dyDescent="0.3">
      <c r="G6253" s="4"/>
      <c r="H6253" s="4"/>
    </row>
    <row r="6254" spans="7:8" x14ac:dyDescent="0.3">
      <c r="G6254" s="4"/>
      <c r="H6254" s="4"/>
    </row>
    <row r="6255" spans="7:8" x14ac:dyDescent="0.3">
      <c r="G6255" s="4"/>
      <c r="H6255" s="4"/>
    </row>
    <row r="6256" spans="7:8" x14ac:dyDescent="0.3">
      <c r="G6256" s="4"/>
      <c r="H6256" s="4"/>
    </row>
    <row r="6257" spans="7:8" x14ac:dyDescent="0.3">
      <c r="G6257" s="4"/>
      <c r="H6257" s="4"/>
    </row>
    <row r="6258" spans="7:8" x14ac:dyDescent="0.3">
      <c r="G6258" s="4"/>
      <c r="H6258" s="4"/>
    </row>
    <row r="6259" spans="7:8" x14ac:dyDescent="0.3">
      <c r="G6259" s="4"/>
      <c r="H6259" s="4"/>
    </row>
    <row r="6260" spans="7:8" x14ac:dyDescent="0.3">
      <c r="G6260" s="4"/>
      <c r="H6260" s="4"/>
    </row>
    <row r="6261" spans="7:8" x14ac:dyDescent="0.3">
      <c r="G6261" s="4"/>
      <c r="H6261" s="4"/>
    </row>
    <row r="6262" spans="7:8" x14ac:dyDescent="0.3">
      <c r="G6262" s="4"/>
      <c r="H6262" s="4"/>
    </row>
    <row r="6263" spans="7:8" x14ac:dyDescent="0.3">
      <c r="G6263" s="4"/>
      <c r="H6263" s="4"/>
    </row>
    <row r="6264" spans="7:8" x14ac:dyDescent="0.3">
      <c r="G6264" s="4"/>
      <c r="H6264" s="4"/>
    </row>
    <row r="6265" spans="7:8" x14ac:dyDescent="0.3">
      <c r="G6265" s="4"/>
      <c r="H6265" s="4"/>
    </row>
    <row r="6266" spans="7:8" x14ac:dyDescent="0.3">
      <c r="G6266" s="4"/>
      <c r="H6266" s="4"/>
    </row>
    <row r="6267" spans="7:8" x14ac:dyDescent="0.3">
      <c r="G6267" s="4"/>
      <c r="H6267" s="4"/>
    </row>
    <row r="6268" spans="7:8" x14ac:dyDescent="0.3">
      <c r="G6268" s="4"/>
      <c r="H6268" s="4"/>
    </row>
    <row r="6269" spans="7:8" x14ac:dyDescent="0.3">
      <c r="G6269" s="4"/>
      <c r="H6269" s="4"/>
    </row>
    <row r="6270" spans="7:8" x14ac:dyDescent="0.3">
      <c r="G6270" s="4"/>
      <c r="H6270" s="4"/>
    </row>
    <row r="6271" spans="7:8" x14ac:dyDescent="0.3">
      <c r="G6271" s="4"/>
      <c r="H6271" s="4"/>
    </row>
    <row r="6272" spans="7:8" x14ac:dyDescent="0.3">
      <c r="G6272" s="4"/>
      <c r="H6272" s="4"/>
    </row>
    <row r="6273" spans="7:8" x14ac:dyDescent="0.3">
      <c r="G6273" s="4"/>
      <c r="H6273" s="4"/>
    </row>
    <row r="6274" spans="7:8" x14ac:dyDescent="0.3">
      <c r="G6274" s="4"/>
      <c r="H6274" s="4"/>
    </row>
    <row r="6275" spans="7:8" x14ac:dyDescent="0.3">
      <c r="G6275" s="4"/>
      <c r="H6275" s="4"/>
    </row>
    <row r="6276" spans="7:8" x14ac:dyDescent="0.3">
      <c r="G6276" s="4"/>
      <c r="H6276" s="4"/>
    </row>
    <row r="6277" spans="7:8" x14ac:dyDescent="0.3">
      <c r="G6277" s="4"/>
      <c r="H6277" s="4"/>
    </row>
    <row r="6278" spans="7:8" x14ac:dyDescent="0.3">
      <c r="G6278" s="4"/>
      <c r="H6278" s="4"/>
    </row>
    <row r="6279" spans="7:8" x14ac:dyDescent="0.3">
      <c r="G6279" s="4"/>
      <c r="H6279" s="4"/>
    </row>
    <row r="6280" spans="7:8" x14ac:dyDescent="0.3">
      <c r="G6280" s="4"/>
      <c r="H6280" s="4"/>
    </row>
    <row r="6281" spans="7:8" x14ac:dyDescent="0.3">
      <c r="G6281" s="4"/>
      <c r="H6281" s="4"/>
    </row>
    <row r="6282" spans="7:8" x14ac:dyDescent="0.3">
      <c r="G6282" s="4"/>
      <c r="H6282" s="4"/>
    </row>
    <row r="6283" spans="7:8" x14ac:dyDescent="0.3">
      <c r="G6283" s="4"/>
      <c r="H6283" s="4"/>
    </row>
    <row r="6284" spans="7:8" x14ac:dyDescent="0.3">
      <c r="G6284" s="4"/>
      <c r="H6284" s="4"/>
    </row>
    <row r="6285" spans="7:8" x14ac:dyDescent="0.3">
      <c r="G6285" s="4"/>
      <c r="H6285" s="4"/>
    </row>
    <row r="6286" spans="7:8" x14ac:dyDescent="0.3">
      <c r="G6286" s="4"/>
      <c r="H6286" s="4"/>
    </row>
    <row r="6287" spans="7:8" x14ac:dyDescent="0.3">
      <c r="G6287" s="4"/>
      <c r="H6287" s="4"/>
    </row>
    <row r="6288" spans="7:8" x14ac:dyDescent="0.3">
      <c r="G6288" s="4"/>
      <c r="H6288" s="4"/>
    </row>
    <row r="6289" spans="7:8" x14ac:dyDescent="0.3">
      <c r="G6289" s="4"/>
      <c r="H6289" s="4"/>
    </row>
    <row r="6290" spans="7:8" x14ac:dyDescent="0.3">
      <c r="G6290" s="4"/>
      <c r="H6290" s="4"/>
    </row>
    <row r="6291" spans="7:8" x14ac:dyDescent="0.3">
      <c r="G6291" s="4"/>
      <c r="H6291" s="4"/>
    </row>
    <row r="6292" spans="7:8" x14ac:dyDescent="0.3">
      <c r="G6292" s="4"/>
      <c r="H6292" s="4"/>
    </row>
    <row r="6293" spans="7:8" x14ac:dyDescent="0.3">
      <c r="G6293" s="4"/>
      <c r="H6293" s="4"/>
    </row>
    <row r="6294" spans="7:8" x14ac:dyDescent="0.3">
      <c r="G6294" s="4"/>
      <c r="H6294" s="4"/>
    </row>
    <row r="6295" spans="7:8" x14ac:dyDescent="0.3">
      <c r="G6295" s="4"/>
      <c r="H6295" s="4"/>
    </row>
    <row r="6296" spans="7:8" x14ac:dyDescent="0.3">
      <c r="G6296" s="4"/>
      <c r="H6296" s="4"/>
    </row>
    <row r="6297" spans="7:8" x14ac:dyDescent="0.3">
      <c r="G6297" s="4"/>
      <c r="H6297" s="4"/>
    </row>
    <row r="6298" spans="7:8" x14ac:dyDescent="0.3">
      <c r="G6298" s="4"/>
      <c r="H6298" s="4"/>
    </row>
    <row r="6299" spans="7:8" x14ac:dyDescent="0.3">
      <c r="G6299" s="4"/>
      <c r="H6299" s="4"/>
    </row>
    <row r="6300" spans="7:8" x14ac:dyDescent="0.3">
      <c r="G6300" s="4"/>
      <c r="H6300" s="4"/>
    </row>
    <row r="6301" spans="7:8" x14ac:dyDescent="0.3">
      <c r="G6301" s="4"/>
      <c r="H6301" s="4"/>
    </row>
    <row r="6302" spans="7:8" x14ac:dyDescent="0.3">
      <c r="G6302" s="4"/>
      <c r="H6302" s="4"/>
    </row>
    <row r="6303" spans="7:8" x14ac:dyDescent="0.3">
      <c r="G6303" s="4"/>
      <c r="H6303" s="4"/>
    </row>
    <row r="6304" spans="7:8" x14ac:dyDescent="0.3">
      <c r="G6304" s="4"/>
      <c r="H6304" s="4"/>
    </row>
    <row r="6305" spans="7:8" x14ac:dyDescent="0.3">
      <c r="G6305" s="4"/>
      <c r="H6305" s="4"/>
    </row>
    <row r="6306" spans="7:8" x14ac:dyDescent="0.3">
      <c r="G6306" s="4"/>
      <c r="H6306" s="4"/>
    </row>
    <row r="6307" spans="7:8" x14ac:dyDescent="0.3">
      <c r="G6307" s="4"/>
      <c r="H6307" s="4"/>
    </row>
    <row r="6308" spans="7:8" x14ac:dyDescent="0.3">
      <c r="G6308" s="4"/>
      <c r="H6308" s="4"/>
    </row>
    <row r="6309" spans="7:8" x14ac:dyDescent="0.3">
      <c r="G6309" s="4"/>
      <c r="H6309" s="4"/>
    </row>
    <row r="6310" spans="7:8" x14ac:dyDescent="0.3">
      <c r="G6310" s="4"/>
      <c r="H6310" s="4"/>
    </row>
    <row r="6311" spans="7:8" x14ac:dyDescent="0.3">
      <c r="G6311" s="4"/>
      <c r="H6311" s="4"/>
    </row>
    <row r="6312" spans="7:8" x14ac:dyDescent="0.3">
      <c r="G6312" s="4"/>
      <c r="H6312" s="4"/>
    </row>
    <row r="6313" spans="7:8" x14ac:dyDescent="0.3">
      <c r="G6313" s="4"/>
      <c r="H6313" s="4"/>
    </row>
    <row r="6314" spans="7:8" x14ac:dyDescent="0.3">
      <c r="G6314" s="4"/>
      <c r="H6314" s="4"/>
    </row>
    <row r="6315" spans="7:8" x14ac:dyDescent="0.3">
      <c r="G6315" s="4"/>
      <c r="H6315" s="4"/>
    </row>
    <row r="6316" spans="7:8" x14ac:dyDescent="0.3">
      <c r="G6316" s="4"/>
      <c r="H6316" s="4"/>
    </row>
    <row r="6317" spans="7:8" x14ac:dyDescent="0.3">
      <c r="G6317" s="4"/>
      <c r="H6317" s="4"/>
    </row>
    <row r="6318" spans="7:8" x14ac:dyDescent="0.3">
      <c r="G6318" s="4"/>
      <c r="H6318" s="4"/>
    </row>
    <row r="6319" spans="7:8" x14ac:dyDescent="0.3">
      <c r="G6319" s="4"/>
      <c r="H6319" s="4"/>
    </row>
    <row r="6320" spans="7:8" x14ac:dyDescent="0.3">
      <c r="G6320" s="4"/>
      <c r="H6320" s="4"/>
    </row>
    <row r="6321" spans="7:8" x14ac:dyDescent="0.3">
      <c r="G6321" s="4"/>
      <c r="H6321" s="4"/>
    </row>
    <row r="6322" spans="7:8" x14ac:dyDescent="0.3">
      <c r="G6322" s="4"/>
      <c r="H6322" s="4"/>
    </row>
    <row r="6323" spans="7:8" x14ac:dyDescent="0.3">
      <c r="G6323" s="4"/>
      <c r="H6323" s="4"/>
    </row>
    <row r="6324" spans="7:8" x14ac:dyDescent="0.3">
      <c r="G6324" s="4"/>
      <c r="H6324" s="4"/>
    </row>
    <row r="6325" spans="7:8" x14ac:dyDescent="0.3">
      <c r="G6325" s="4"/>
      <c r="H6325" s="4"/>
    </row>
    <row r="6326" spans="7:8" x14ac:dyDescent="0.3">
      <c r="G6326" s="4"/>
      <c r="H6326" s="4"/>
    </row>
    <row r="6327" spans="7:8" x14ac:dyDescent="0.3">
      <c r="G6327" s="4"/>
      <c r="H6327" s="4"/>
    </row>
    <row r="6328" spans="7:8" x14ac:dyDescent="0.3">
      <c r="G6328" s="4"/>
      <c r="H6328" s="4"/>
    </row>
    <row r="6329" spans="7:8" x14ac:dyDescent="0.3">
      <c r="G6329" s="4"/>
      <c r="H6329" s="4"/>
    </row>
    <row r="6330" spans="7:8" x14ac:dyDescent="0.3">
      <c r="G6330" s="4"/>
      <c r="H6330" s="4"/>
    </row>
    <row r="6331" spans="7:8" x14ac:dyDescent="0.3">
      <c r="G6331" s="4"/>
      <c r="H6331" s="4"/>
    </row>
    <row r="6332" spans="7:8" x14ac:dyDescent="0.3">
      <c r="G6332" s="4"/>
      <c r="H6332" s="4"/>
    </row>
    <row r="6333" spans="7:8" x14ac:dyDescent="0.3">
      <c r="G6333" s="4"/>
      <c r="H6333" s="4"/>
    </row>
    <row r="6334" spans="7:8" x14ac:dyDescent="0.3">
      <c r="G6334" s="4"/>
      <c r="H6334" s="4"/>
    </row>
    <row r="6335" spans="7:8" x14ac:dyDescent="0.3">
      <c r="G6335" s="4"/>
      <c r="H6335" s="4"/>
    </row>
    <row r="6336" spans="7:8" x14ac:dyDescent="0.3">
      <c r="G6336" s="4"/>
      <c r="H6336" s="4"/>
    </row>
    <row r="6337" spans="7:8" x14ac:dyDescent="0.3">
      <c r="G6337" s="4"/>
      <c r="H6337" s="4"/>
    </row>
    <row r="6338" spans="7:8" x14ac:dyDescent="0.3">
      <c r="G6338" s="4"/>
      <c r="H6338" s="4"/>
    </row>
    <row r="6339" spans="7:8" x14ac:dyDescent="0.3">
      <c r="G6339" s="4"/>
      <c r="H6339" s="4"/>
    </row>
    <row r="6340" spans="7:8" x14ac:dyDescent="0.3">
      <c r="G6340" s="4"/>
      <c r="H6340" s="4"/>
    </row>
    <row r="6341" spans="7:8" x14ac:dyDescent="0.3">
      <c r="G6341" s="4"/>
      <c r="H6341" s="4"/>
    </row>
    <row r="6342" spans="7:8" x14ac:dyDescent="0.3">
      <c r="G6342" s="4"/>
      <c r="H6342" s="4"/>
    </row>
    <row r="6343" spans="7:8" x14ac:dyDescent="0.3">
      <c r="G6343" s="4"/>
      <c r="H6343" s="4"/>
    </row>
    <row r="6344" spans="7:8" x14ac:dyDescent="0.3">
      <c r="G6344" s="4"/>
      <c r="H6344" s="4"/>
    </row>
    <row r="6345" spans="7:8" x14ac:dyDescent="0.3">
      <c r="G6345" s="4"/>
      <c r="H6345" s="4"/>
    </row>
    <row r="6346" spans="7:8" x14ac:dyDescent="0.3">
      <c r="G6346" s="4"/>
      <c r="H6346" s="4"/>
    </row>
    <row r="6347" spans="7:8" x14ac:dyDescent="0.3">
      <c r="G6347" s="4"/>
      <c r="H6347" s="4"/>
    </row>
    <row r="6348" spans="7:8" x14ac:dyDescent="0.3">
      <c r="G6348" s="4"/>
      <c r="H6348" s="4"/>
    </row>
    <row r="6349" spans="7:8" x14ac:dyDescent="0.3">
      <c r="G6349" s="4"/>
      <c r="H6349" s="4"/>
    </row>
    <row r="6350" spans="7:8" x14ac:dyDescent="0.3">
      <c r="G6350" s="4"/>
      <c r="H6350" s="4"/>
    </row>
    <row r="6351" spans="7:8" x14ac:dyDescent="0.3">
      <c r="G6351" s="4"/>
      <c r="H6351" s="4"/>
    </row>
    <row r="6352" spans="7:8" x14ac:dyDescent="0.3">
      <c r="G6352" s="4"/>
      <c r="H6352" s="4"/>
    </row>
    <row r="6353" spans="7:8" x14ac:dyDescent="0.3">
      <c r="G6353" s="4"/>
      <c r="H6353" s="4"/>
    </row>
    <row r="6354" spans="7:8" x14ac:dyDescent="0.3">
      <c r="G6354" s="4"/>
      <c r="H6354" s="4"/>
    </row>
    <row r="6355" spans="7:8" x14ac:dyDescent="0.3">
      <c r="G6355" s="4"/>
      <c r="H6355" s="4"/>
    </row>
    <row r="6356" spans="7:8" x14ac:dyDescent="0.3">
      <c r="G6356" s="4"/>
      <c r="H6356" s="4"/>
    </row>
    <row r="6357" spans="7:8" x14ac:dyDescent="0.3">
      <c r="G6357" s="4"/>
      <c r="H6357" s="4"/>
    </row>
    <row r="6358" spans="7:8" x14ac:dyDescent="0.3">
      <c r="G6358" s="4"/>
      <c r="H6358" s="4"/>
    </row>
    <row r="6359" spans="7:8" x14ac:dyDescent="0.3">
      <c r="G6359" s="4"/>
      <c r="H6359" s="4"/>
    </row>
    <row r="6360" spans="7:8" x14ac:dyDescent="0.3">
      <c r="G6360" s="4"/>
      <c r="H6360" s="4"/>
    </row>
    <row r="6361" spans="7:8" x14ac:dyDescent="0.3">
      <c r="G6361" s="4"/>
      <c r="H6361" s="4"/>
    </row>
    <row r="6362" spans="7:8" x14ac:dyDescent="0.3">
      <c r="G6362" s="4"/>
      <c r="H6362" s="4"/>
    </row>
    <row r="6363" spans="7:8" x14ac:dyDescent="0.3">
      <c r="G6363" s="4"/>
      <c r="H6363" s="4"/>
    </row>
    <row r="6364" spans="7:8" x14ac:dyDescent="0.3">
      <c r="G6364" s="4"/>
      <c r="H6364" s="4"/>
    </row>
    <row r="6365" spans="7:8" x14ac:dyDescent="0.3">
      <c r="G6365" s="4"/>
      <c r="H6365" s="4"/>
    </row>
    <row r="6366" spans="7:8" x14ac:dyDescent="0.3">
      <c r="G6366" s="4"/>
      <c r="H6366" s="4"/>
    </row>
    <row r="6367" spans="7:8" x14ac:dyDescent="0.3">
      <c r="G6367" s="4"/>
      <c r="H6367" s="4"/>
    </row>
    <row r="6368" spans="7:8" x14ac:dyDescent="0.3">
      <c r="G6368" s="4"/>
      <c r="H6368" s="4"/>
    </row>
    <row r="6369" spans="7:8" x14ac:dyDescent="0.3">
      <c r="G6369" s="4"/>
      <c r="H6369" s="4"/>
    </row>
    <row r="6370" spans="7:8" x14ac:dyDescent="0.3">
      <c r="G6370" s="4"/>
      <c r="H6370" s="4"/>
    </row>
    <row r="6371" spans="7:8" x14ac:dyDescent="0.3">
      <c r="G6371" s="4"/>
      <c r="H6371" s="4"/>
    </row>
    <row r="6372" spans="7:8" x14ac:dyDescent="0.3">
      <c r="G6372" s="4"/>
      <c r="H6372" s="4"/>
    </row>
    <row r="6373" spans="7:8" x14ac:dyDescent="0.3">
      <c r="G6373" s="4"/>
      <c r="H6373" s="4"/>
    </row>
    <row r="6374" spans="7:8" x14ac:dyDescent="0.3">
      <c r="G6374" s="4"/>
      <c r="H6374" s="4"/>
    </row>
    <row r="6375" spans="7:8" x14ac:dyDescent="0.3">
      <c r="G6375" s="4"/>
      <c r="H6375" s="4"/>
    </row>
    <row r="6376" spans="7:8" x14ac:dyDescent="0.3">
      <c r="G6376" s="4"/>
      <c r="H6376" s="4"/>
    </row>
    <row r="6377" spans="7:8" x14ac:dyDescent="0.3">
      <c r="G6377" s="4"/>
      <c r="H6377" s="4"/>
    </row>
    <row r="6378" spans="7:8" x14ac:dyDescent="0.3">
      <c r="G6378" s="4"/>
      <c r="H6378" s="4"/>
    </row>
    <row r="6379" spans="7:8" x14ac:dyDescent="0.3">
      <c r="G6379" s="4"/>
      <c r="H6379" s="4"/>
    </row>
    <row r="6380" spans="7:8" x14ac:dyDescent="0.3">
      <c r="G6380" s="4"/>
      <c r="H6380" s="4"/>
    </row>
    <row r="6381" spans="7:8" x14ac:dyDescent="0.3">
      <c r="G6381" s="4"/>
      <c r="H6381" s="4"/>
    </row>
    <row r="6382" spans="7:8" x14ac:dyDescent="0.3">
      <c r="G6382" s="4"/>
      <c r="H6382" s="4"/>
    </row>
    <row r="6383" spans="7:8" x14ac:dyDescent="0.3">
      <c r="G6383" s="4"/>
      <c r="H6383" s="4"/>
    </row>
    <row r="6384" spans="7:8" x14ac:dyDescent="0.3">
      <c r="G6384" s="4"/>
      <c r="H6384" s="4"/>
    </row>
    <row r="6385" spans="7:8" x14ac:dyDescent="0.3">
      <c r="G6385" s="4"/>
      <c r="H6385" s="4"/>
    </row>
    <row r="6386" spans="7:8" x14ac:dyDescent="0.3">
      <c r="G6386" s="4"/>
      <c r="H6386" s="4"/>
    </row>
    <row r="6387" spans="7:8" x14ac:dyDescent="0.3">
      <c r="G6387" s="4"/>
      <c r="H6387" s="4"/>
    </row>
    <row r="6388" spans="7:8" x14ac:dyDescent="0.3">
      <c r="G6388" s="4"/>
      <c r="H6388" s="4"/>
    </row>
    <row r="6389" spans="7:8" x14ac:dyDescent="0.3">
      <c r="G6389" s="4"/>
      <c r="H6389" s="4"/>
    </row>
    <row r="6390" spans="7:8" x14ac:dyDescent="0.3">
      <c r="G6390" s="4"/>
      <c r="H6390" s="4"/>
    </row>
    <row r="6391" spans="7:8" x14ac:dyDescent="0.3">
      <c r="G6391" s="4"/>
      <c r="H6391" s="4"/>
    </row>
    <row r="6392" spans="7:8" x14ac:dyDescent="0.3">
      <c r="G6392" s="4"/>
      <c r="H6392" s="4"/>
    </row>
    <row r="6393" spans="7:8" x14ac:dyDescent="0.3">
      <c r="G6393" s="4"/>
      <c r="H6393" s="4"/>
    </row>
    <row r="6394" spans="7:8" x14ac:dyDescent="0.3">
      <c r="G6394" s="4"/>
      <c r="H6394" s="4"/>
    </row>
    <row r="6395" spans="7:8" x14ac:dyDescent="0.3">
      <c r="G6395" s="4"/>
      <c r="H6395" s="4"/>
    </row>
    <row r="6396" spans="7:8" x14ac:dyDescent="0.3">
      <c r="G6396" s="4"/>
      <c r="H6396" s="4"/>
    </row>
    <row r="6397" spans="7:8" x14ac:dyDescent="0.3">
      <c r="G6397" s="4"/>
      <c r="H6397" s="4"/>
    </row>
    <row r="6398" spans="7:8" x14ac:dyDescent="0.3">
      <c r="G6398" s="4"/>
      <c r="H6398" s="4"/>
    </row>
    <row r="6399" spans="7:8" x14ac:dyDescent="0.3">
      <c r="G6399" s="4"/>
      <c r="H6399" s="4"/>
    </row>
    <row r="6400" spans="7:8" x14ac:dyDescent="0.3">
      <c r="G6400" s="4"/>
      <c r="H6400" s="4"/>
    </row>
    <row r="6401" spans="7:8" x14ac:dyDescent="0.3">
      <c r="G6401" s="4"/>
      <c r="H6401" s="4"/>
    </row>
    <row r="6402" spans="7:8" x14ac:dyDescent="0.3">
      <c r="G6402" s="4"/>
      <c r="H6402" s="4"/>
    </row>
    <row r="6403" spans="7:8" x14ac:dyDescent="0.3">
      <c r="G6403" s="4"/>
      <c r="H6403" s="4"/>
    </row>
    <row r="6404" spans="7:8" x14ac:dyDescent="0.3">
      <c r="G6404" s="4"/>
      <c r="H6404" s="4"/>
    </row>
    <row r="6405" spans="7:8" x14ac:dyDescent="0.3">
      <c r="G6405" s="4"/>
      <c r="H6405" s="4"/>
    </row>
    <row r="6406" spans="7:8" x14ac:dyDescent="0.3">
      <c r="G6406" s="4"/>
      <c r="H6406" s="4"/>
    </row>
    <row r="6407" spans="7:8" x14ac:dyDescent="0.3">
      <c r="G6407" s="4"/>
      <c r="H6407" s="4"/>
    </row>
    <row r="6408" spans="7:8" x14ac:dyDescent="0.3">
      <c r="G6408" s="4"/>
      <c r="H6408" s="4"/>
    </row>
    <row r="6409" spans="7:8" x14ac:dyDescent="0.3">
      <c r="G6409" s="4"/>
      <c r="H6409" s="4"/>
    </row>
    <row r="6410" spans="7:8" x14ac:dyDescent="0.3">
      <c r="G6410" s="4"/>
      <c r="H6410" s="4"/>
    </row>
    <row r="6411" spans="7:8" x14ac:dyDescent="0.3">
      <c r="G6411" s="4"/>
      <c r="H6411" s="4"/>
    </row>
    <row r="6412" spans="7:8" x14ac:dyDescent="0.3">
      <c r="G6412" s="4"/>
      <c r="H6412" s="4"/>
    </row>
    <row r="6413" spans="7:8" x14ac:dyDescent="0.3">
      <c r="G6413" s="4"/>
      <c r="H6413" s="4"/>
    </row>
    <row r="6414" spans="7:8" x14ac:dyDescent="0.3">
      <c r="G6414" s="4"/>
      <c r="H6414" s="4"/>
    </row>
    <row r="6415" spans="7:8" x14ac:dyDescent="0.3">
      <c r="G6415" s="4"/>
      <c r="H6415" s="4"/>
    </row>
    <row r="6416" spans="7:8" x14ac:dyDescent="0.3">
      <c r="G6416" s="4"/>
      <c r="H6416" s="4"/>
    </row>
    <row r="6417" spans="7:8" x14ac:dyDescent="0.3">
      <c r="G6417" s="4"/>
      <c r="H6417" s="4"/>
    </row>
    <row r="6418" spans="7:8" x14ac:dyDescent="0.3">
      <c r="G6418" s="4"/>
      <c r="H6418" s="4"/>
    </row>
    <row r="6419" spans="7:8" x14ac:dyDescent="0.3">
      <c r="G6419" s="4"/>
      <c r="H6419" s="4"/>
    </row>
    <row r="6420" spans="7:8" x14ac:dyDescent="0.3">
      <c r="G6420" s="4"/>
      <c r="H6420" s="4"/>
    </row>
    <row r="6421" spans="7:8" x14ac:dyDescent="0.3">
      <c r="G6421" s="4"/>
      <c r="H6421" s="4"/>
    </row>
    <row r="6422" spans="7:8" x14ac:dyDescent="0.3">
      <c r="G6422" s="4"/>
      <c r="H6422" s="4"/>
    </row>
    <row r="6423" spans="7:8" x14ac:dyDescent="0.3">
      <c r="G6423" s="4"/>
      <c r="H6423" s="4"/>
    </row>
    <row r="6424" spans="7:8" x14ac:dyDescent="0.3">
      <c r="G6424" s="4"/>
      <c r="H6424" s="4"/>
    </row>
    <row r="6425" spans="7:8" x14ac:dyDescent="0.3">
      <c r="G6425" s="4"/>
      <c r="H6425" s="4"/>
    </row>
    <row r="6426" spans="7:8" x14ac:dyDescent="0.3">
      <c r="G6426" s="4"/>
      <c r="H6426" s="4"/>
    </row>
    <row r="6427" spans="7:8" x14ac:dyDescent="0.3">
      <c r="G6427" s="4"/>
      <c r="H6427" s="4"/>
    </row>
    <row r="6428" spans="7:8" x14ac:dyDescent="0.3">
      <c r="G6428" s="4"/>
      <c r="H6428" s="4"/>
    </row>
    <row r="6429" spans="7:8" x14ac:dyDescent="0.3">
      <c r="G6429" s="4"/>
      <c r="H6429" s="4"/>
    </row>
    <row r="6430" spans="7:8" x14ac:dyDescent="0.3">
      <c r="G6430" s="4"/>
      <c r="H6430" s="4"/>
    </row>
    <row r="6431" spans="7:8" x14ac:dyDescent="0.3">
      <c r="G6431" s="4"/>
      <c r="H6431" s="4"/>
    </row>
    <row r="6432" spans="7:8" x14ac:dyDescent="0.3">
      <c r="G6432" s="4"/>
      <c r="H6432" s="4"/>
    </row>
    <row r="6433" spans="7:8" x14ac:dyDescent="0.3">
      <c r="G6433" s="4"/>
      <c r="H6433" s="4"/>
    </row>
    <row r="6434" spans="7:8" x14ac:dyDescent="0.3">
      <c r="G6434" s="4"/>
      <c r="H6434" s="4"/>
    </row>
    <row r="6435" spans="7:8" x14ac:dyDescent="0.3">
      <c r="G6435" s="4"/>
      <c r="H6435" s="4"/>
    </row>
    <row r="6436" spans="7:8" x14ac:dyDescent="0.3">
      <c r="G6436" s="4"/>
      <c r="H6436" s="4"/>
    </row>
    <row r="6437" spans="7:8" x14ac:dyDescent="0.3">
      <c r="G6437" s="4"/>
      <c r="H6437" s="4"/>
    </row>
    <row r="6438" spans="7:8" x14ac:dyDescent="0.3">
      <c r="G6438" s="4"/>
      <c r="H6438" s="4"/>
    </row>
    <row r="6439" spans="7:8" x14ac:dyDescent="0.3">
      <c r="G6439" s="4"/>
      <c r="H6439" s="4"/>
    </row>
    <row r="6440" spans="7:8" x14ac:dyDescent="0.3">
      <c r="G6440" s="4"/>
      <c r="H6440" s="4"/>
    </row>
    <row r="6441" spans="7:8" x14ac:dyDescent="0.3">
      <c r="G6441" s="4"/>
      <c r="H6441" s="4"/>
    </row>
    <row r="6442" spans="7:8" x14ac:dyDescent="0.3">
      <c r="G6442" s="4"/>
      <c r="H6442" s="4"/>
    </row>
    <row r="6443" spans="7:8" x14ac:dyDescent="0.3">
      <c r="G6443" s="4"/>
      <c r="H6443" s="4"/>
    </row>
    <row r="6444" spans="7:8" x14ac:dyDescent="0.3">
      <c r="G6444" s="4"/>
      <c r="H6444" s="4"/>
    </row>
    <row r="6445" spans="7:8" x14ac:dyDescent="0.3">
      <c r="G6445" s="4"/>
      <c r="H6445" s="4"/>
    </row>
    <row r="6446" spans="7:8" x14ac:dyDescent="0.3">
      <c r="G6446" s="4"/>
      <c r="H6446" s="4"/>
    </row>
    <row r="6447" spans="7:8" x14ac:dyDescent="0.3">
      <c r="G6447" s="4"/>
      <c r="H6447" s="4"/>
    </row>
    <row r="6448" spans="7:8" x14ac:dyDescent="0.3">
      <c r="G6448" s="4"/>
      <c r="H6448" s="4"/>
    </row>
    <row r="6449" spans="7:8" x14ac:dyDescent="0.3">
      <c r="G6449" s="4"/>
      <c r="H6449" s="4"/>
    </row>
    <row r="6450" spans="7:8" x14ac:dyDescent="0.3">
      <c r="G6450" s="4"/>
      <c r="H6450" s="4"/>
    </row>
    <row r="6451" spans="7:8" x14ac:dyDescent="0.3">
      <c r="G6451" s="4"/>
      <c r="H6451" s="4"/>
    </row>
    <row r="6452" spans="7:8" x14ac:dyDescent="0.3">
      <c r="G6452" s="4"/>
      <c r="H6452" s="4"/>
    </row>
    <row r="6453" spans="7:8" x14ac:dyDescent="0.3">
      <c r="G6453" s="4"/>
      <c r="H6453" s="4"/>
    </row>
    <row r="6454" spans="7:8" x14ac:dyDescent="0.3">
      <c r="G6454" s="4"/>
      <c r="H6454" s="4"/>
    </row>
    <row r="6455" spans="7:8" x14ac:dyDescent="0.3">
      <c r="G6455" s="4"/>
      <c r="H6455" s="4"/>
    </row>
    <row r="6456" spans="7:8" x14ac:dyDescent="0.3">
      <c r="G6456" s="4"/>
      <c r="H6456" s="4"/>
    </row>
    <row r="6457" spans="7:8" x14ac:dyDescent="0.3">
      <c r="G6457" s="4"/>
      <c r="H6457" s="4"/>
    </row>
    <row r="6458" spans="7:8" x14ac:dyDescent="0.3">
      <c r="G6458" s="4"/>
      <c r="H6458" s="4"/>
    </row>
    <row r="6459" spans="7:8" x14ac:dyDescent="0.3">
      <c r="G6459" s="4"/>
      <c r="H6459" s="4"/>
    </row>
    <row r="6460" spans="7:8" x14ac:dyDescent="0.3">
      <c r="G6460" s="4"/>
      <c r="H6460" s="4"/>
    </row>
    <row r="6461" spans="7:8" x14ac:dyDescent="0.3">
      <c r="G6461" s="4"/>
      <c r="H6461" s="4"/>
    </row>
    <row r="6462" spans="7:8" x14ac:dyDescent="0.3">
      <c r="G6462" s="4"/>
      <c r="H6462" s="4"/>
    </row>
    <row r="6463" spans="7:8" x14ac:dyDescent="0.3">
      <c r="G6463" s="4"/>
      <c r="H6463" s="4"/>
    </row>
    <row r="6464" spans="7:8" x14ac:dyDescent="0.3">
      <c r="G6464" s="4"/>
      <c r="H6464" s="4"/>
    </row>
    <row r="6465" spans="7:8" x14ac:dyDescent="0.3">
      <c r="G6465" s="4"/>
      <c r="H6465" s="4"/>
    </row>
    <row r="6466" spans="7:8" x14ac:dyDescent="0.3">
      <c r="G6466" s="4"/>
      <c r="H6466" s="4"/>
    </row>
    <row r="6467" spans="7:8" x14ac:dyDescent="0.3">
      <c r="G6467" s="4"/>
      <c r="H6467" s="4"/>
    </row>
    <row r="6468" spans="7:8" x14ac:dyDescent="0.3">
      <c r="G6468" s="4"/>
      <c r="H6468" s="4"/>
    </row>
    <row r="6469" spans="7:8" x14ac:dyDescent="0.3">
      <c r="G6469" s="4"/>
      <c r="H6469" s="4"/>
    </row>
    <row r="6470" spans="7:8" x14ac:dyDescent="0.3">
      <c r="G6470" s="4"/>
      <c r="H6470" s="4"/>
    </row>
    <row r="6471" spans="7:8" x14ac:dyDescent="0.3">
      <c r="G6471" s="4"/>
      <c r="H6471" s="4"/>
    </row>
    <row r="6472" spans="7:8" x14ac:dyDescent="0.3">
      <c r="G6472" s="4"/>
      <c r="H6472" s="4"/>
    </row>
    <row r="6473" spans="7:8" x14ac:dyDescent="0.3">
      <c r="G6473" s="4"/>
      <c r="H6473" s="4"/>
    </row>
    <row r="6474" spans="7:8" x14ac:dyDescent="0.3">
      <c r="G6474" s="4"/>
      <c r="H6474" s="4"/>
    </row>
    <row r="6475" spans="7:8" x14ac:dyDescent="0.3">
      <c r="G6475" s="4"/>
      <c r="H6475" s="4"/>
    </row>
    <row r="6476" spans="7:8" x14ac:dyDescent="0.3">
      <c r="G6476" s="4"/>
      <c r="H6476" s="4"/>
    </row>
    <row r="6477" spans="7:8" x14ac:dyDescent="0.3">
      <c r="G6477" s="4"/>
      <c r="H6477" s="4"/>
    </row>
    <row r="6478" spans="7:8" x14ac:dyDescent="0.3">
      <c r="G6478" s="4"/>
      <c r="H6478" s="4"/>
    </row>
    <row r="6479" spans="7:8" x14ac:dyDescent="0.3">
      <c r="G6479" s="4"/>
      <c r="H6479" s="4"/>
    </row>
    <row r="6480" spans="7:8" x14ac:dyDescent="0.3">
      <c r="G6480" s="4"/>
      <c r="H6480" s="4"/>
    </row>
    <row r="6481" spans="7:8" x14ac:dyDescent="0.3">
      <c r="G6481" s="4"/>
      <c r="H6481" s="4"/>
    </row>
    <row r="6482" spans="7:8" x14ac:dyDescent="0.3">
      <c r="G6482" s="4"/>
      <c r="H6482" s="4"/>
    </row>
    <row r="6483" spans="7:8" x14ac:dyDescent="0.3">
      <c r="G6483" s="4"/>
      <c r="H6483" s="4"/>
    </row>
    <row r="6484" spans="7:8" x14ac:dyDescent="0.3">
      <c r="G6484" s="4"/>
      <c r="H6484" s="4"/>
    </row>
    <row r="6485" spans="7:8" x14ac:dyDescent="0.3">
      <c r="G6485" s="4"/>
      <c r="H6485" s="4"/>
    </row>
    <row r="6486" spans="7:8" x14ac:dyDescent="0.3">
      <c r="G6486" s="4"/>
      <c r="H6486" s="4"/>
    </row>
    <row r="6487" spans="7:8" x14ac:dyDescent="0.3">
      <c r="G6487" s="4"/>
      <c r="H6487" s="4"/>
    </row>
    <row r="6488" spans="7:8" x14ac:dyDescent="0.3">
      <c r="G6488" s="4"/>
      <c r="H6488" s="4"/>
    </row>
    <row r="6489" spans="7:8" x14ac:dyDescent="0.3">
      <c r="G6489" s="4"/>
      <c r="H6489" s="4"/>
    </row>
    <row r="6490" spans="7:8" x14ac:dyDescent="0.3">
      <c r="G6490" s="4"/>
      <c r="H6490" s="4"/>
    </row>
    <row r="6491" spans="7:8" x14ac:dyDescent="0.3">
      <c r="G6491" s="4"/>
      <c r="H6491" s="4"/>
    </row>
    <row r="6492" spans="7:8" x14ac:dyDescent="0.3">
      <c r="G6492" s="4"/>
      <c r="H6492" s="4"/>
    </row>
    <row r="6493" spans="7:8" x14ac:dyDescent="0.3">
      <c r="G6493" s="4"/>
      <c r="H6493" s="4"/>
    </row>
    <row r="6494" spans="7:8" x14ac:dyDescent="0.3">
      <c r="G6494" s="4"/>
      <c r="H6494" s="4"/>
    </row>
    <row r="6495" spans="7:8" x14ac:dyDescent="0.3">
      <c r="G6495" s="4"/>
      <c r="H6495" s="4"/>
    </row>
    <row r="6496" spans="7:8" x14ac:dyDescent="0.3">
      <c r="G6496" s="4"/>
      <c r="H6496" s="4"/>
    </row>
    <row r="6497" spans="7:8" x14ac:dyDescent="0.3">
      <c r="G6497" s="4"/>
      <c r="H6497" s="4"/>
    </row>
    <row r="6498" spans="7:8" x14ac:dyDescent="0.3">
      <c r="G6498" s="4"/>
      <c r="H6498" s="4"/>
    </row>
    <row r="6499" spans="7:8" x14ac:dyDescent="0.3">
      <c r="G6499" s="4"/>
      <c r="H6499" s="4"/>
    </row>
    <row r="6500" spans="7:8" x14ac:dyDescent="0.3">
      <c r="G6500" s="4"/>
      <c r="H6500" s="4"/>
    </row>
    <row r="6501" spans="7:8" x14ac:dyDescent="0.3">
      <c r="G6501" s="4"/>
      <c r="H6501" s="4"/>
    </row>
    <row r="6502" spans="7:8" x14ac:dyDescent="0.3">
      <c r="G6502" s="4"/>
      <c r="H6502" s="4"/>
    </row>
    <row r="6503" spans="7:8" x14ac:dyDescent="0.3">
      <c r="G6503" s="4"/>
      <c r="H6503" s="4"/>
    </row>
    <row r="6504" spans="7:8" x14ac:dyDescent="0.3">
      <c r="G6504" s="4"/>
      <c r="H6504" s="4"/>
    </row>
    <row r="6505" spans="7:8" x14ac:dyDescent="0.3">
      <c r="G6505" s="4"/>
      <c r="H6505" s="4"/>
    </row>
    <row r="6506" spans="7:8" x14ac:dyDescent="0.3">
      <c r="G6506" s="4"/>
      <c r="H6506" s="4"/>
    </row>
    <row r="6507" spans="7:8" x14ac:dyDescent="0.3">
      <c r="G6507" s="4"/>
      <c r="H6507" s="4"/>
    </row>
    <row r="6508" spans="7:8" x14ac:dyDescent="0.3">
      <c r="G6508" s="4"/>
      <c r="H6508" s="4"/>
    </row>
    <row r="6509" spans="7:8" x14ac:dyDescent="0.3">
      <c r="G6509" s="4"/>
      <c r="H6509" s="4"/>
    </row>
    <row r="6510" spans="7:8" x14ac:dyDescent="0.3">
      <c r="G6510" s="4"/>
      <c r="H6510" s="4"/>
    </row>
    <row r="6511" spans="7:8" x14ac:dyDescent="0.3">
      <c r="G6511" s="4"/>
      <c r="H6511" s="4"/>
    </row>
    <row r="6512" spans="7:8" x14ac:dyDescent="0.3">
      <c r="G6512" s="4"/>
      <c r="H6512" s="4"/>
    </row>
    <row r="6513" spans="7:8" x14ac:dyDescent="0.3">
      <c r="G6513" s="4"/>
      <c r="H6513" s="4"/>
    </row>
    <row r="6514" spans="7:8" x14ac:dyDescent="0.3">
      <c r="G6514" s="4"/>
      <c r="H6514" s="4"/>
    </row>
    <row r="6515" spans="7:8" x14ac:dyDescent="0.3">
      <c r="G6515" s="4"/>
      <c r="H6515" s="4"/>
    </row>
    <row r="6516" spans="7:8" x14ac:dyDescent="0.3">
      <c r="G6516" s="4"/>
      <c r="H6516" s="4"/>
    </row>
    <row r="6517" spans="7:8" x14ac:dyDescent="0.3">
      <c r="G6517" s="4"/>
      <c r="H6517" s="4"/>
    </row>
    <row r="6518" spans="7:8" x14ac:dyDescent="0.3">
      <c r="G6518" s="4"/>
      <c r="H6518" s="4"/>
    </row>
    <row r="6519" spans="7:8" x14ac:dyDescent="0.3">
      <c r="G6519" s="4"/>
      <c r="H6519" s="4"/>
    </row>
    <row r="6520" spans="7:8" x14ac:dyDescent="0.3">
      <c r="G6520" s="4"/>
      <c r="H6520" s="4"/>
    </row>
    <row r="6521" spans="7:8" x14ac:dyDescent="0.3">
      <c r="G6521" s="4"/>
      <c r="H6521" s="4"/>
    </row>
    <row r="6522" spans="7:8" x14ac:dyDescent="0.3">
      <c r="G6522" s="4"/>
      <c r="H6522" s="4"/>
    </row>
    <row r="6523" spans="7:8" x14ac:dyDescent="0.3">
      <c r="G6523" s="4"/>
      <c r="H6523" s="4"/>
    </row>
    <row r="6524" spans="7:8" x14ac:dyDescent="0.3">
      <c r="G6524" s="4"/>
      <c r="H6524" s="4"/>
    </row>
    <row r="6525" spans="7:8" x14ac:dyDescent="0.3">
      <c r="G6525" s="4"/>
      <c r="H6525" s="4"/>
    </row>
    <row r="6526" spans="7:8" x14ac:dyDescent="0.3">
      <c r="G6526" s="4"/>
      <c r="H6526" s="4"/>
    </row>
    <row r="6527" spans="7:8" x14ac:dyDescent="0.3">
      <c r="G6527" s="4"/>
      <c r="H6527" s="4"/>
    </row>
    <row r="6528" spans="7:8" x14ac:dyDescent="0.3">
      <c r="G6528" s="4"/>
      <c r="H6528" s="4"/>
    </row>
    <row r="6529" spans="7:8" x14ac:dyDescent="0.3">
      <c r="G6529" s="4"/>
      <c r="H6529" s="4"/>
    </row>
    <row r="6530" spans="7:8" x14ac:dyDescent="0.3">
      <c r="G6530" s="4"/>
      <c r="H6530" s="4"/>
    </row>
    <row r="6531" spans="7:8" x14ac:dyDescent="0.3">
      <c r="G6531" s="4"/>
      <c r="H6531" s="4"/>
    </row>
    <row r="6532" spans="7:8" x14ac:dyDescent="0.3">
      <c r="G6532" s="4"/>
      <c r="H6532" s="4"/>
    </row>
    <row r="6533" spans="7:8" x14ac:dyDescent="0.3">
      <c r="G6533" s="4"/>
      <c r="H6533" s="4"/>
    </row>
    <row r="6534" spans="7:8" x14ac:dyDescent="0.3">
      <c r="G6534" s="4"/>
      <c r="H6534" s="4"/>
    </row>
    <row r="6535" spans="7:8" x14ac:dyDescent="0.3">
      <c r="G6535" s="4"/>
      <c r="H6535" s="4"/>
    </row>
    <row r="6536" spans="7:8" x14ac:dyDescent="0.3">
      <c r="G6536" s="4"/>
      <c r="H6536" s="4"/>
    </row>
    <row r="6537" spans="7:8" x14ac:dyDescent="0.3">
      <c r="G6537" s="4"/>
      <c r="H6537" s="4"/>
    </row>
    <row r="6538" spans="7:8" x14ac:dyDescent="0.3">
      <c r="G6538" s="4"/>
      <c r="H6538" s="4"/>
    </row>
    <row r="6539" spans="7:8" x14ac:dyDescent="0.3">
      <c r="G6539" s="4"/>
      <c r="H6539" s="4"/>
    </row>
    <row r="6540" spans="7:8" x14ac:dyDescent="0.3">
      <c r="G6540" s="4"/>
      <c r="H6540" s="4"/>
    </row>
    <row r="6541" spans="7:8" x14ac:dyDescent="0.3">
      <c r="G6541" s="4"/>
      <c r="H6541" s="4"/>
    </row>
    <row r="6542" spans="7:8" x14ac:dyDescent="0.3">
      <c r="G6542" s="4"/>
      <c r="H6542" s="4"/>
    </row>
    <row r="6543" spans="7:8" x14ac:dyDescent="0.3">
      <c r="G6543" s="4"/>
      <c r="H6543" s="4"/>
    </row>
    <row r="6544" spans="7:8" x14ac:dyDescent="0.3">
      <c r="G6544" s="4"/>
      <c r="H6544" s="4"/>
    </row>
    <row r="6545" spans="7:8" x14ac:dyDescent="0.3">
      <c r="G6545" s="4"/>
      <c r="H6545" s="4"/>
    </row>
    <row r="6546" spans="7:8" x14ac:dyDescent="0.3">
      <c r="G6546" s="4"/>
      <c r="H6546" s="4"/>
    </row>
    <row r="6547" spans="7:8" x14ac:dyDescent="0.3">
      <c r="G6547" s="4"/>
      <c r="H6547" s="4"/>
    </row>
    <row r="6548" spans="7:8" x14ac:dyDescent="0.3">
      <c r="G6548" s="4"/>
      <c r="H6548" s="4"/>
    </row>
    <row r="6549" spans="7:8" x14ac:dyDescent="0.3">
      <c r="G6549" s="4"/>
      <c r="H6549" s="4"/>
    </row>
    <row r="6550" spans="7:8" x14ac:dyDescent="0.3">
      <c r="G6550" s="4"/>
      <c r="H6550" s="4"/>
    </row>
    <row r="6551" spans="7:8" x14ac:dyDescent="0.3">
      <c r="G6551" s="4"/>
      <c r="H6551" s="4"/>
    </row>
    <row r="6552" spans="7:8" x14ac:dyDescent="0.3">
      <c r="G6552" s="4"/>
      <c r="H6552" s="4"/>
    </row>
    <row r="6553" spans="7:8" x14ac:dyDescent="0.3">
      <c r="G6553" s="4"/>
      <c r="H6553" s="4"/>
    </row>
    <row r="6554" spans="7:8" x14ac:dyDescent="0.3">
      <c r="G6554" s="4"/>
      <c r="H6554" s="4"/>
    </row>
    <row r="6555" spans="7:8" x14ac:dyDescent="0.3">
      <c r="G6555" s="4"/>
      <c r="H6555" s="4"/>
    </row>
    <row r="6556" spans="7:8" x14ac:dyDescent="0.3">
      <c r="G6556" s="4"/>
      <c r="H6556" s="4"/>
    </row>
    <row r="6557" spans="7:8" x14ac:dyDescent="0.3">
      <c r="G6557" s="4"/>
      <c r="H6557" s="4"/>
    </row>
    <row r="6558" spans="7:8" x14ac:dyDescent="0.3">
      <c r="G6558" s="4"/>
      <c r="H6558" s="4"/>
    </row>
    <row r="6559" spans="7:8" x14ac:dyDescent="0.3">
      <c r="G6559" s="4"/>
      <c r="H6559" s="4"/>
    </row>
    <row r="6560" spans="7:8" x14ac:dyDescent="0.3">
      <c r="G6560" s="4"/>
      <c r="H6560" s="4"/>
    </row>
    <row r="6561" spans="7:8" x14ac:dyDescent="0.3">
      <c r="G6561" s="4"/>
      <c r="H6561" s="4"/>
    </row>
    <row r="6562" spans="7:8" x14ac:dyDescent="0.3">
      <c r="G6562" s="4"/>
      <c r="H6562" s="4"/>
    </row>
    <row r="6563" spans="7:8" x14ac:dyDescent="0.3">
      <c r="G6563" s="4"/>
      <c r="H6563" s="4"/>
    </row>
    <row r="6564" spans="7:8" x14ac:dyDescent="0.3">
      <c r="G6564" s="4"/>
      <c r="H6564" s="4"/>
    </row>
    <row r="6565" spans="7:8" x14ac:dyDescent="0.3">
      <c r="G6565" s="4"/>
      <c r="H6565" s="4"/>
    </row>
    <row r="6566" spans="7:8" x14ac:dyDescent="0.3">
      <c r="G6566" s="4"/>
      <c r="H6566" s="4"/>
    </row>
    <row r="6567" spans="7:8" x14ac:dyDescent="0.3">
      <c r="G6567" s="4"/>
      <c r="H6567" s="4"/>
    </row>
    <row r="6568" spans="7:8" x14ac:dyDescent="0.3">
      <c r="G6568" s="4"/>
      <c r="H6568" s="4"/>
    </row>
    <row r="6569" spans="7:8" x14ac:dyDescent="0.3">
      <c r="G6569" s="4"/>
      <c r="H6569" s="4"/>
    </row>
    <row r="6570" spans="7:8" x14ac:dyDescent="0.3">
      <c r="G6570" s="4"/>
      <c r="H6570" s="4"/>
    </row>
    <row r="6571" spans="7:8" x14ac:dyDescent="0.3">
      <c r="G6571" s="4"/>
      <c r="H6571" s="4"/>
    </row>
    <row r="6572" spans="7:8" x14ac:dyDescent="0.3">
      <c r="G6572" s="4"/>
      <c r="H6572" s="4"/>
    </row>
    <row r="6573" spans="7:8" x14ac:dyDescent="0.3">
      <c r="G6573" s="4"/>
      <c r="H6573" s="4"/>
    </row>
    <row r="6574" spans="7:8" x14ac:dyDescent="0.3">
      <c r="G6574" s="4"/>
      <c r="H6574" s="4"/>
    </row>
    <row r="6575" spans="7:8" x14ac:dyDescent="0.3">
      <c r="G6575" s="4"/>
      <c r="H6575" s="4"/>
    </row>
    <row r="6576" spans="7:8" x14ac:dyDescent="0.3">
      <c r="G6576" s="4"/>
      <c r="H6576" s="4"/>
    </row>
    <row r="6577" spans="7:8" x14ac:dyDescent="0.3">
      <c r="G6577" s="4"/>
      <c r="H6577" s="4"/>
    </row>
    <row r="6578" spans="7:8" x14ac:dyDescent="0.3">
      <c r="G6578" s="4"/>
      <c r="H6578" s="4"/>
    </row>
    <row r="6579" spans="7:8" x14ac:dyDescent="0.3">
      <c r="G6579" s="4"/>
      <c r="H6579" s="4"/>
    </row>
    <row r="6580" spans="7:8" x14ac:dyDescent="0.3">
      <c r="G6580" s="4"/>
      <c r="H6580" s="4"/>
    </row>
    <row r="6581" spans="7:8" x14ac:dyDescent="0.3">
      <c r="G6581" s="4"/>
      <c r="H6581" s="4"/>
    </row>
    <row r="6582" spans="7:8" x14ac:dyDescent="0.3">
      <c r="G6582" s="4"/>
      <c r="H6582" s="4"/>
    </row>
    <row r="6583" spans="7:8" x14ac:dyDescent="0.3">
      <c r="G6583" s="4"/>
      <c r="H6583" s="4"/>
    </row>
    <row r="6584" spans="7:8" x14ac:dyDescent="0.3">
      <c r="G6584" s="4"/>
      <c r="H6584" s="4"/>
    </row>
    <row r="6585" spans="7:8" x14ac:dyDescent="0.3">
      <c r="G6585" s="4"/>
      <c r="H6585" s="4"/>
    </row>
    <row r="6586" spans="7:8" x14ac:dyDescent="0.3">
      <c r="G6586" s="4"/>
      <c r="H6586" s="4"/>
    </row>
    <row r="6587" spans="7:8" x14ac:dyDescent="0.3">
      <c r="G6587" s="4"/>
      <c r="H6587" s="4"/>
    </row>
    <row r="6588" spans="7:8" x14ac:dyDescent="0.3">
      <c r="G6588" s="4"/>
      <c r="H6588" s="4"/>
    </row>
    <row r="6589" spans="7:8" x14ac:dyDescent="0.3">
      <c r="G6589" s="4"/>
      <c r="H6589" s="4"/>
    </row>
    <row r="6590" spans="7:8" x14ac:dyDescent="0.3">
      <c r="G6590" s="4"/>
      <c r="H6590" s="4"/>
    </row>
    <row r="6591" spans="7:8" x14ac:dyDescent="0.3">
      <c r="G6591" s="4"/>
      <c r="H6591" s="4"/>
    </row>
    <row r="6592" spans="7:8" x14ac:dyDescent="0.3">
      <c r="G6592" s="4"/>
      <c r="H6592" s="4"/>
    </row>
    <row r="6593" spans="7:8" x14ac:dyDescent="0.3">
      <c r="G6593" s="4"/>
      <c r="H6593" s="4"/>
    </row>
    <row r="6594" spans="7:8" x14ac:dyDescent="0.3">
      <c r="G6594" s="4"/>
      <c r="H6594" s="4"/>
    </row>
    <row r="6595" spans="7:8" x14ac:dyDescent="0.3">
      <c r="G6595" s="4"/>
      <c r="H6595" s="4"/>
    </row>
    <row r="6596" spans="7:8" x14ac:dyDescent="0.3">
      <c r="G6596" s="4"/>
      <c r="H6596" s="4"/>
    </row>
    <row r="6597" spans="7:8" x14ac:dyDescent="0.3">
      <c r="G6597" s="4"/>
      <c r="H6597" s="4"/>
    </row>
    <row r="6598" spans="7:8" x14ac:dyDescent="0.3">
      <c r="G6598" s="4"/>
      <c r="H6598" s="4"/>
    </row>
    <row r="6599" spans="7:8" x14ac:dyDescent="0.3">
      <c r="G6599" s="4"/>
      <c r="H6599" s="4"/>
    </row>
    <row r="6600" spans="7:8" x14ac:dyDescent="0.3">
      <c r="G6600" s="4"/>
      <c r="H6600" s="4"/>
    </row>
    <row r="6601" spans="7:8" x14ac:dyDescent="0.3">
      <c r="G6601" s="4"/>
      <c r="H6601" s="4"/>
    </row>
    <row r="6602" spans="7:8" x14ac:dyDescent="0.3">
      <c r="G6602" s="4"/>
      <c r="H6602" s="4"/>
    </row>
    <row r="6603" spans="7:8" x14ac:dyDescent="0.3">
      <c r="G6603" s="4"/>
      <c r="H6603" s="4"/>
    </row>
    <row r="6604" spans="7:8" x14ac:dyDescent="0.3">
      <c r="G6604" s="4"/>
      <c r="H6604" s="4"/>
    </row>
    <row r="6605" spans="7:8" x14ac:dyDescent="0.3">
      <c r="G6605" s="4"/>
      <c r="H6605" s="4"/>
    </row>
    <row r="6606" spans="7:8" x14ac:dyDescent="0.3">
      <c r="G6606" s="4"/>
      <c r="H6606" s="4"/>
    </row>
    <row r="6607" spans="7:8" x14ac:dyDescent="0.3">
      <c r="G6607" s="4"/>
      <c r="H6607" s="4"/>
    </row>
    <row r="6608" spans="7:8" x14ac:dyDescent="0.3">
      <c r="G6608" s="4"/>
      <c r="H6608" s="4"/>
    </row>
    <row r="6609" spans="7:8" x14ac:dyDescent="0.3">
      <c r="G6609" s="4"/>
      <c r="H6609" s="4"/>
    </row>
    <row r="6610" spans="7:8" x14ac:dyDescent="0.3">
      <c r="G6610" s="4"/>
      <c r="H6610" s="4"/>
    </row>
    <row r="6611" spans="7:8" x14ac:dyDescent="0.3">
      <c r="G6611" s="4"/>
      <c r="H6611" s="4"/>
    </row>
    <row r="6612" spans="7:8" x14ac:dyDescent="0.3">
      <c r="G6612" s="4"/>
      <c r="H6612" s="4"/>
    </row>
    <row r="6613" spans="7:8" x14ac:dyDescent="0.3">
      <c r="G6613" s="4"/>
      <c r="H6613" s="4"/>
    </row>
    <row r="6614" spans="7:8" x14ac:dyDescent="0.3">
      <c r="G6614" s="4"/>
      <c r="H6614" s="4"/>
    </row>
    <row r="6615" spans="7:8" x14ac:dyDescent="0.3">
      <c r="G6615" s="4"/>
      <c r="H6615" s="4"/>
    </row>
    <row r="6616" spans="7:8" x14ac:dyDescent="0.3">
      <c r="G6616" s="4"/>
      <c r="H6616" s="4"/>
    </row>
    <row r="6617" spans="7:8" x14ac:dyDescent="0.3">
      <c r="G6617" s="4"/>
      <c r="H6617" s="4"/>
    </row>
    <row r="6618" spans="7:8" x14ac:dyDescent="0.3">
      <c r="G6618" s="4"/>
      <c r="H6618" s="4"/>
    </row>
    <row r="6619" spans="7:8" x14ac:dyDescent="0.3">
      <c r="G6619" s="4"/>
      <c r="H6619" s="4"/>
    </row>
    <row r="6620" spans="7:8" x14ac:dyDescent="0.3">
      <c r="G6620" s="4"/>
      <c r="H6620" s="4"/>
    </row>
    <row r="6621" spans="7:8" x14ac:dyDescent="0.3">
      <c r="G6621" s="4"/>
      <c r="H6621" s="4"/>
    </row>
    <row r="6622" spans="7:8" x14ac:dyDescent="0.3">
      <c r="G6622" s="4"/>
      <c r="H6622" s="4"/>
    </row>
    <row r="6623" spans="7:8" x14ac:dyDescent="0.3">
      <c r="G6623" s="4"/>
      <c r="H6623" s="4"/>
    </row>
    <row r="6624" spans="7:8" x14ac:dyDescent="0.3">
      <c r="G6624" s="4"/>
      <c r="H6624" s="4"/>
    </row>
    <row r="6625" spans="7:8" x14ac:dyDescent="0.3">
      <c r="G6625" s="4"/>
      <c r="H6625" s="4"/>
    </row>
    <row r="6626" spans="7:8" x14ac:dyDescent="0.3">
      <c r="G6626" s="4"/>
      <c r="H6626" s="4"/>
    </row>
    <row r="6627" spans="7:8" x14ac:dyDescent="0.3">
      <c r="G6627" s="4"/>
      <c r="H6627" s="4"/>
    </row>
    <row r="6628" spans="7:8" x14ac:dyDescent="0.3">
      <c r="G6628" s="4"/>
      <c r="H6628" s="4"/>
    </row>
    <row r="6629" spans="7:8" x14ac:dyDescent="0.3">
      <c r="G6629" s="4"/>
      <c r="H6629" s="4"/>
    </row>
    <row r="6630" spans="7:8" x14ac:dyDescent="0.3">
      <c r="G6630" s="4"/>
      <c r="H6630" s="4"/>
    </row>
    <row r="6631" spans="7:8" x14ac:dyDescent="0.3">
      <c r="G6631" s="4"/>
      <c r="H6631" s="4"/>
    </row>
    <row r="6632" spans="7:8" x14ac:dyDescent="0.3">
      <c r="G6632" s="4"/>
      <c r="H6632" s="4"/>
    </row>
    <row r="6633" spans="7:8" x14ac:dyDescent="0.3">
      <c r="G6633" s="4"/>
      <c r="H6633" s="4"/>
    </row>
    <row r="6634" spans="7:8" x14ac:dyDescent="0.3">
      <c r="G6634" s="4"/>
      <c r="H6634" s="4"/>
    </row>
    <row r="6635" spans="7:8" x14ac:dyDescent="0.3">
      <c r="G6635" s="4"/>
      <c r="H6635" s="4"/>
    </row>
    <row r="6636" spans="7:8" x14ac:dyDescent="0.3">
      <c r="G6636" s="4"/>
      <c r="H6636" s="4"/>
    </row>
    <row r="6637" spans="7:8" x14ac:dyDescent="0.3">
      <c r="G6637" s="4"/>
      <c r="H6637" s="4"/>
    </row>
    <row r="6638" spans="7:8" x14ac:dyDescent="0.3">
      <c r="G6638" s="4"/>
      <c r="H6638" s="4"/>
    </row>
    <row r="6639" spans="7:8" x14ac:dyDescent="0.3">
      <c r="G6639" s="4"/>
      <c r="H6639" s="4"/>
    </row>
    <row r="6640" spans="7:8" x14ac:dyDescent="0.3">
      <c r="G6640" s="4"/>
      <c r="H6640" s="4"/>
    </row>
    <row r="6641" spans="7:8" x14ac:dyDescent="0.3">
      <c r="G6641" s="4"/>
      <c r="H6641" s="4"/>
    </row>
    <row r="6642" spans="7:8" x14ac:dyDescent="0.3">
      <c r="G6642" s="4"/>
      <c r="H6642" s="4"/>
    </row>
    <row r="6643" spans="7:8" x14ac:dyDescent="0.3">
      <c r="G6643" s="4"/>
      <c r="H6643" s="4"/>
    </row>
    <row r="6644" spans="7:8" x14ac:dyDescent="0.3">
      <c r="G6644" s="4"/>
      <c r="H6644" s="4"/>
    </row>
    <row r="6645" spans="7:8" x14ac:dyDescent="0.3">
      <c r="G6645" s="4"/>
      <c r="H6645" s="4"/>
    </row>
    <row r="6646" spans="7:8" x14ac:dyDescent="0.3">
      <c r="G6646" s="4"/>
      <c r="H6646" s="4"/>
    </row>
    <row r="6647" spans="7:8" x14ac:dyDescent="0.3">
      <c r="G6647" s="4"/>
      <c r="H6647" s="4"/>
    </row>
    <row r="6648" spans="7:8" x14ac:dyDescent="0.3">
      <c r="G6648" s="4"/>
      <c r="H6648" s="4"/>
    </row>
    <row r="6649" spans="7:8" x14ac:dyDescent="0.3">
      <c r="G6649" s="4"/>
      <c r="H6649" s="4"/>
    </row>
    <row r="6650" spans="7:8" x14ac:dyDescent="0.3">
      <c r="G6650" s="4"/>
      <c r="H6650" s="4"/>
    </row>
    <row r="6651" spans="7:8" x14ac:dyDescent="0.3">
      <c r="G6651" s="4"/>
      <c r="H6651" s="4"/>
    </row>
    <row r="6652" spans="7:8" x14ac:dyDescent="0.3">
      <c r="G6652" s="4"/>
      <c r="H6652" s="4"/>
    </row>
    <row r="6653" spans="7:8" x14ac:dyDescent="0.3">
      <c r="G6653" s="4"/>
      <c r="H6653" s="4"/>
    </row>
    <row r="6654" spans="7:8" x14ac:dyDescent="0.3">
      <c r="G6654" s="4"/>
      <c r="H6654" s="4"/>
    </row>
    <row r="6655" spans="7:8" x14ac:dyDescent="0.3">
      <c r="G6655" s="4"/>
      <c r="H6655" s="4"/>
    </row>
    <row r="6656" spans="7:8" x14ac:dyDescent="0.3">
      <c r="G6656" s="4"/>
      <c r="H6656" s="4"/>
    </row>
    <row r="6657" spans="7:8" x14ac:dyDescent="0.3">
      <c r="G6657" s="4"/>
      <c r="H6657" s="4"/>
    </row>
    <row r="6658" spans="7:8" x14ac:dyDescent="0.3">
      <c r="G6658" s="4"/>
      <c r="H6658" s="4"/>
    </row>
    <row r="6659" spans="7:8" x14ac:dyDescent="0.3">
      <c r="G6659" s="4"/>
      <c r="H6659" s="4"/>
    </row>
    <row r="6660" spans="7:8" x14ac:dyDescent="0.3">
      <c r="G6660" s="4"/>
      <c r="H6660" s="4"/>
    </row>
    <row r="6661" spans="7:8" x14ac:dyDescent="0.3">
      <c r="G6661" s="4"/>
      <c r="H6661" s="4"/>
    </row>
    <row r="6662" spans="7:8" x14ac:dyDescent="0.3">
      <c r="G6662" s="4"/>
      <c r="H6662" s="4"/>
    </row>
    <row r="6663" spans="7:8" x14ac:dyDescent="0.3">
      <c r="G6663" s="4"/>
      <c r="H6663" s="4"/>
    </row>
    <row r="6664" spans="7:8" x14ac:dyDescent="0.3">
      <c r="G6664" s="4"/>
      <c r="H6664" s="4"/>
    </row>
    <row r="6665" spans="7:8" x14ac:dyDescent="0.3">
      <c r="G6665" s="4"/>
      <c r="H6665" s="4"/>
    </row>
    <row r="6666" spans="7:8" x14ac:dyDescent="0.3">
      <c r="G6666" s="4"/>
      <c r="H6666" s="4"/>
    </row>
    <row r="6667" spans="7:8" x14ac:dyDescent="0.3">
      <c r="G6667" s="4"/>
      <c r="H6667" s="4"/>
    </row>
    <row r="6668" spans="7:8" x14ac:dyDescent="0.3">
      <c r="G6668" s="4"/>
      <c r="H6668" s="4"/>
    </row>
    <row r="6669" spans="7:8" x14ac:dyDescent="0.3">
      <c r="G6669" s="4"/>
      <c r="H6669" s="4"/>
    </row>
    <row r="6670" spans="7:8" x14ac:dyDescent="0.3">
      <c r="G6670" s="4"/>
      <c r="H6670" s="4"/>
    </row>
    <row r="6671" spans="7:8" x14ac:dyDescent="0.3">
      <c r="G6671" s="4"/>
      <c r="H6671" s="4"/>
    </row>
    <row r="6672" spans="7:8" x14ac:dyDescent="0.3">
      <c r="G6672" s="4"/>
      <c r="H6672" s="4"/>
    </row>
    <row r="6673" spans="7:8" x14ac:dyDescent="0.3">
      <c r="G6673" s="4"/>
      <c r="H6673" s="4"/>
    </row>
    <row r="6674" spans="7:8" x14ac:dyDescent="0.3">
      <c r="G6674" s="4"/>
      <c r="H6674" s="4"/>
    </row>
    <row r="6675" spans="7:8" x14ac:dyDescent="0.3">
      <c r="G6675" s="4"/>
      <c r="H6675" s="4"/>
    </row>
    <row r="6676" spans="7:8" x14ac:dyDescent="0.3">
      <c r="G6676" s="4"/>
      <c r="H6676" s="4"/>
    </row>
    <row r="6677" spans="7:8" x14ac:dyDescent="0.3">
      <c r="G6677" s="4"/>
      <c r="H6677" s="4"/>
    </row>
    <row r="6678" spans="7:8" x14ac:dyDescent="0.3">
      <c r="G6678" s="4"/>
      <c r="H6678" s="4"/>
    </row>
    <row r="6679" spans="7:8" x14ac:dyDescent="0.3">
      <c r="G6679" s="4"/>
      <c r="H6679" s="4"/>
    </row>
    <row r="6680" spans="7:8" x14ac:dyDescent="0.3">
      <c r="G6680" s="4"/>
      <c r="H6680" s="4"/>
    </row>
    <row r="6681" spans="7:8" x14ac:dyDescent="0.3">
      <c r="G6681" s="4"/>
      <c r="H6681" s="4"/>
    </row>
    <row r="6682" spans="7:8" x14ac:dyDescent="0.3">
      <c r="G6682" s="4"/>
      <c r="H6682" s="4"/>
    </row>
    <row r="6683" spans="7:8" x14ac:dyDescent="0.3">
      <c r="G6683" s="4"/>
      <c r="H6683" s="4"/>
    </row>
    <row r="6684" spans="7:8" x14ac:dyDescent="0.3">
      <c r="G6684" s="4"/>
      <c r="H6684" s="4"/>
    </row>
    <row r="6685" spans="7:8" x14ac:dyDescent="0.3">
      <c r="G6685" s="4"/>
      <c r="H6685" s="4"/>
    </row>
    <row r="6686" spans="7:8" x14ac:dyDescent="0.3">
      <c r="G6686" s="4"/>
      <c r="H6686" s="4"/>
    </row>
    <row r="6687" spans="7:8" x14ac:dyDescent="0.3">
      <c r="G6687" s="4"/>
      <c r="H6687" s="4"/>
    </row>
    <row r="6688" spans="7:8" x14ac:dyDescent="0.3">
      <c r="G6688" s="4"/>
      <c r="H6688" s="4"/>
    </row>
    <row r="6689" spans="7:8" x14ac:dyDescent="0.3">
      <c r="G6689" s="4"/>
      <c r="H6689" s="4"/>
    </row>
    <row r="6690" spans="7:8" x14ac:dyDescent="0.3">
      <c r="G6690" s="4"/>
      <c r="H6690" s="4"/>
    </row>
    <row r="6691" spans="7:8" x14ac:dyDescent="0.3">
      <c r="G6691" s="4"/>
      <c r="H6691" s="4"/>
    </row>
    <row r="6692" spans="7:8" x14ac:dyDescent="0.3">
      <c r="G6692" s="4"/>
      <c r="H6692" s="4"/>
    </row>
    <row r="6693" spans="7:8" x14ac:dyDescent="0.3">
      <c r="G6693" s="4"/>
      <c r="H6693" s="4"/>
    </row>
    <row r="6694" spans="7:8" x14ac:dyDescent="0.3">
      <c r="G6694" s="4"/>
      <c r="H6694" s="4"/>
    </row>
    <row r="6695" spans="7:8" x14ac:dyDescent="0.3">
      <c r="G6695" s="4"/>
      <c r="H6695" s="4"/>
    </row>
    <row r="6696" spans="7:8" x14ac:dyDescent="0.3">
      <c r="G6696" s="4"/>
      <c r="H6696" s="4"/>
    </row>
    <row r="6697" spans="7:8" x14ac:dyDescent="0.3">
      <c r="G6697" s="4"/>
      <c r="H6697" s="4"/>
    </row>
    <row r="6698" spans="7:8" x14ac:dyDescent="0.3">
      <c r="G6698" s="4"/>
      <c r="H6698" s="4"/>
    </row>
    <row r="6699" spans="7:8" x14ac:dyDescent="0.3">
      <c r="G6699" s="4"/>
      <c r="H6699" s="4"/>
    </row>
    <row r="6700" spans="7:8" x14ac:dyDescent="0.3">
      <c r="G6700" s="4"/>
      <c r="H6700" s="4"/>
    </row>
    <row r="6701" spans="7:8" x14ac:dyDescent="0.3">
      <c r="G6701" s="4"/>
      <c r="H6701" s="4"/>
    </row>
    <row r="6702" spans="7:8" x14ac:dyDescent="0.3">
      <c r="G6702" s="4"/>
      <c r="H6702" s="4"/>
    </row>
    <row r="6703" spans="7:8" x14ac:dyDescent="0.3">
      <c r="G6703" s="4"/>
      <c r="H6703" s="4"/>
    </row>
    <row r="6704" spans="7:8" x14ac:dyDescent="0.3">
      <c r="G6704" s="4"/>
      <c r="H6704" s="4"/>
    </row>
    <row r="6705" spans="7:8" x14ac:dyDescent="0.3">
      <c r="G6705" s="4"/>
      <c r="H6705" s="4"/>
    </row>
    <row r="6706" spans="7:8" x14ac:dyDescent="0.3">
      <c r="G6706" s="4"/>
      <c r="H6706" s="4"/>
    </row>
    <row r="6707" spans="7:8" x14ac:dyDescent="0.3">
      <c r="G6707" s="4"/>
      <c r="H6707" s="4"/>
    </row>
    <row r="6708" spans="7:8" x14ac:dyDescent="0.3">
      <c r="G6708" s="4"/>
      <c r="H6708" s="4"/>
    </row>
    <row r="6709" spans="7:8" x14ac:dyDescent="0.3">
      <c r="G6709" s="4"/>
      <c r="H6709" s="4"/>
    </row>
    <row r="6710" spans="7:8" x14ac:dyDescent="0.3">
      <c r="G6710" s="4"/>
      <c r="H6710" s="4"/>
    </row>
    <row r="6711" spans="7:8" x14ac:dyDescent="0.3">
      <c r="G6711" s="4"/>
      <c r="H6711" s="4"/>
    </row>
    <row r="6712" spans="7:8" x14ac:dyDescent="0.3">
      <c r="G6712" s="4"/>
      <c r="H6712" s="4"/>
    </row>
    <row r="6713" spans="7:8" x14ac:dyDescent="0.3">
      <c r="G6713" s="4"/>
      <c r="H6713" s="4"/>
    </row>
    <row r="6714" spans="7:8" x14ac:dyDescent="0.3">
      <c r="G6714" s="4"/>
      <c r="H6714" s="4"/>
    </row>
    <row r="6715" spans="7:8" x14ac:dyDescent="0.3">
      <c r="G6715" s="4"/>
      <c r="H6715" s="4"/>
    </row>
    <row r="6716" spans="7:8" x14ac:dyDescent="0.3">
      <c r="G6716" s="4"/>
      <c r="H6716" s="4"/>
    </row>
    <row r="6717" spans="7:8" x14ac:dyDescent="0.3">
      <c r="G6717" s="4"/>
      <c r="H6717" s="4"/>
    </row>
    <row r="6718" spans="7:8" x14ac:dyDescent="0.3">
      <c r="G6718" s="4"/>
      <c r="H6718" s="4"/>
    </row>
    <row r="6719" spans="7:8" x14ac:dyDescent="0.3">
      <c r="G6719" s="4"/>
      <c r="H6719" s="4"/>
    </row>
    <row r="6720" spans="7:8" x14ac:dyDescent="0.3">
      <c r="G6720" s="4"/>
      <c r="H6720" s="4"/>
    </row>
    <row r="6721" spans="7:8" x14ac:dyDescent="0.3">
      <c r="G6721" s="4"/>
      <c r="H6721" s="4"/>
    </row>
    <row r="6722" spans="7:8" x14ac:dyDescent="0.3">
      <c r="G6722" s="4"/>
      <c r="H6722" s="4"/>
    </row>
    <row r="6723" spans="7:8" x14ac:dyDescent="0.3">
      <c r="G6723" s="4"/>
      <c r="H6723" s="4"/>
    </row>
    <row r="6724" spans="7:8" x14ac:dyDescent="0.3">
      <c r="G6724" s="4"/>
      <c r="H6724" s="4"/>
    </row>
    <row r="6725" spans="7:8" x14ac:dyDescent="0.3">
      <c r="G6725" s="4"/>
      <c r="H6725" s="4"/>
    </row>
    <row r="6726" spans="7:8" x14ac:dyDescent="0.3">
      <c r="G6726" s="4"/>
      <c r="H6726" s="4"/>
    </row>
    <row r="6727" spans="7:8" x14ac:dyDescent="0.3">
      <c r="G6727" s="4"/>
      <c r="H6727" s="4"/>
    </row>
    <row r="6728" spans="7:8" x14ac:dyDescent="0.3">
      <c r="G6728" s="4"/>
      <c r="H6728" s="4"/>
    </row>
    <row r="6729" spans="7:8" x14ac:dyDescent="0.3">
      <c r="G6729" s="4"/>
      <c r="H6729" s="4"/>
    </row>
    <row r="6730" spans="7:8" x14ac:dyDescent="0.3">
      <c r="G6730" s="4"/>
      <c r="H6730" s="4"/>
    </row>
    <row r="6731" spans="7:8" x14ac:dyDescent="0.3">
      <c r="G6731" s="4"/>
      <c r="H6731" s="4"/>
    </row>
    <row r="6732" spans="7:8" x14ac:dyDescent="0.3">
      <c r="G6732" s="4"/>
      <c r="H6732" s="4"/>
    </row>
    <row r="6733" spans="7:8" x14ac:dyDescent="0.3">
      <c r="G6733" s="4"/>
      <c r="H6733" s="4"/>
    </row>
    <row r="6734" spans="7:8" x14ac:dyDescent="0.3">
      <c r="G6734" s="4"/>
      <c r="H6734" s="4"/>
    </row>
    <row r="6735" spans="7:8" x14ac:dyDescent="0.3">
      <c r="G6735" s="4"/>
      <c r="H6735" s="4"/>
    </row>
    <row r="6736" spans="7:8" x14ac:dyDescent="0.3">
      <c r="G6736" s="4"/>
      <c r="H6736" s="4"/>
    </row>
    <row r="6737" spans="7:8" x14ac:dyDescent="0.3">
      <c r="G6737" s="4"/>
      <c r="H6737" s="4"/>
    </row>
    <row r="6738" spans="7:8" x14ac:dyDescent="0.3">
      <c r="G6738" s="4"/>
      <c r="H6738" s="4"/>
    </row>
    <row r="6739" spans="7:8" x14ac:dyDescent="0.3">
      <c r="G6739" s="4"/>
      <c r="H6739" s="4"/>
    </row>
    <row r="6740" spans="7:8" x14ac:dyDescent="0.3">
      <c r="G6740" s="4"/>
      <c r="H6740" s="4"/>
    </row>
    <row r="6741" spans="7:8" x14ac:dyDescent="0.3">
      <c r="G6741" s="4"/>
      <c r="H6741" s="4"/>
    </row>
    <row r="6742" spans="7:8" x14ac:dyDescent="0.3">
      <c r="G6742" s="4"/>
      <c r="H6742" s="4"/>
    </row>
    <row r="6743" spans="7:8" x14ac:dyDescent="0.3">
      <c r="G6743" s="4"/>
      <c r="H6743" s="4"/>
    </row>
    <row r="6744" spans="7:8" x14ac:dyDescent="0.3">
      <c r="G6744" s="4"/>
      <c r="H6744" s="4"/>
    </row>
    <row r="6745" spans="7:8" x14ac:dyDescent="0.3">
      <c r="G6745" s="4"/>
      <c r="H6745" s="4"/>
    </row>
    <row r="6746" spans="7:8" x14ac:dyDescent="0.3">
      <c r="G6746" s="4"/>
      <c r="H6746" s="4"/>
    </row>
    <row r="6747" spans="7:8" x14ac:dyDescent="0.3">
      <c r="G6747" s="4"/>
      <c r="H6747" s="4"/>
    </row>
    <row r="6748" spans="7:8" x14ac:dyDescent="0.3">
      <c r="G6748" s="4"/>
      <c r="H6748" s="4"/>
    </row>
    <row r="6749" spans="7:8" x14ac:dyDescent="0.3">
      <c r="G6749" s="4"/>
      <c r="H6749" s="4"/>
    </row>
    <row r="6750" spans="7:8" x14ac:dyDescent="0.3">
      <c r="G6750" s="4"/>
      <c r="H6750" s="4"/>
    </row>
    <row r="6751" spans="7:8" x14ac:dyDescent="0.3">
      <c r="G6751" s="4"/>
      <c r="H6751" s="4"/>
    </row>
    <row r="6752" spans="7:8" x14ac:dyDescent="0.3">
      <c r="G6752" s="4"/>
      <c r="H6752" s="4"/>
    </row>
    <row r="6753" spans="7:8" x14ac:dyDescent="0.3">
      <c r="G6753" s="4"/>
      <c r="H6753" s="4"/>
    </row>
    <row r="6754" spans="7:8" x14ac:dyDescent="0.3">
      <c r="G6754" s="4"/>
      <c r="H6754" s="4"/>
    </row>
    <row r="6755" spans="7:8" x14ac:dyDescent="0.3">
      <c r="G6755" s="4"/>
      <c r="H6755" s="4"/>
    </row>
    <row r="6756" spans="7:8" x14ac:dyDescent="0.3">
      <c r="G6756" s="4"/>
      <c r="H6756" s="4"/>
    </row>
    <row r="6757" spans="7:8" x14ac:dyDescent="0.3">
      <c r="G6757" s="4"/>
      <c r="H6757" s="4"/>
    </row>
    <row r="6758" spans="7:8" x14ac:dyDescent="0.3">
      <c r="G6758" s="4"/>
      <c r="H6758" s="4"/>
    </row>
    <row r="6759" spans="7:8" x14ac:dyDescent="0.3">
      <c r="G6759" s="4"/>
      <c r="H6759" s="4"/>
    </row>
    <row r="6760" spans="7:8" x14ac:dyDescent="0.3">
      <c r="G6760" s="4"/>
      <c r="H6760" s="4"/>
    </row>
    <row r="6761" spans="7:8" x14ac:dyDescent="0.3">
      <c r="G6761" s="4"/>
      <c r="H6761" s="4"/>
    </row>
    <row r="6762" spans="7:8" x14ac:dyDescent="0.3">
      <c r="G6762" s="4"/>
      <c r="H6762" s="4"/>
    </row>
    <row r="6763" spans="7:8" x14ac:dyDescent="0.3">
      <c r="G6763" s="4"/>
      <c r="H6763" s="4"/>
    </row>
    <row r="6764" spans="7:8" x14ac:dyDescent="0.3">
      <c r="G6764" s="4"/>
      <c r="H6764" s="4"/>
    </row>
    <row r="6765" spans="7:8" x14ac:dyDescent="0.3">
      <c r="G6765" s="4"/>
      <c r="H6765" s="4"/>
    </row>
    <row r="6766" spans="7:8" x14ac:dyDescent="0.3">
      <c r="G6766" s="4"/>
      <c r="H6766" s="4"/>
    </row>
    <row r="6767" spans="7:8" x14ac:dyDescent="0.3">
      <c r="G6767" s="4"/>
      <c r="H6767" s="4"/>
    </row>
    <row r="6768" spans="7:8" x14ac:dyDescent="0.3">
      <c r="G6768" s="4"/>
      <c r="H6768" s="4"/>
    </row>
    <row r="6769" spans="7:8" x14ac:dyDescent="0.3">
      <c r="G6769" s="4"/>
      <c r="H6769" s="4"/>
    </row>
    <row r="6770" spans="7:8" x14ac:dyDescent="0.3">
      <c r="G6770" s="4"/>
      <c r="H6770" s="4"/>
    </row>
    <row r="6771" spans="7:8" x14ac:dyDescent="0.3">
      <c r="G6771" s="4"/>
      <c r="H6771" s="4"/>
    </row>
    <row r="6772" spans="7:8" x14ac:dyDescent="0.3">
      <c r="G6772" s="4"/>
      <c r="H6772" s="4"/>
    </row>
    <row r="6773" spans="7:8" x14ac:dyDescent="0.3">
      <c r="G6773" s="4"/>
      <c r="H6773" s="4"/>
    </row>
    <row r="6774" spans="7:8" x14ac:dyDescent="0.3">
      <c r="G6774" s="4"/>
      <c r="H6774" s="4"/>
    </row>
    <row r="6775" spans="7:8" x14ac:dyDescent="0.3">
      <c r="G6775" s="4"/>
      <c r="H6775" s="4"/>
    </row>
    <row r="6776" spans="7:8" x14ac:dyDescent="0.3">
      <c r="G6776" s="4"/>
      <c r="H6776" s="4"/>
    </row>
    <row r="6777" spans="7:8" x14ac:dyDescent="0.3">
      <c r="G6777" s="4"/>
      <c r="H6777" s="4"/>
    </row>
    <row r="6778" spans="7:8" x14ac:dyDescent="0.3">
      <c r="G6778" s="4"/>
      <c r="H6778" s="4"/>
    </row>
    <row r="6779" spans="7:8" x14ac:dyDescent="0.3">
      <c r="G6779" s="4"/>
      <c r="H6779" s="4"/>
    </row>
    <row r="6780" spans="7:8" x14ac:dyDescent="0.3">
      <c r="G6780" s="4"/>
      <c r="H6780" s="4"/>
    </row>
    <row r="6781" spans="7:8" x14ac:dyDescent="0.3">
      <c r="G6781" s="4"/>
      <c r="H6781" s="4"/>
    </row>
    <row r="6782" spans="7:8" x14ac:dyDescent="0.3">
      <c r="G6782" s="4"/>
      <c r="H6782" s="4"/>
    </row>
    <row r="6783" spans="7:8" x14ac:dyDescent="0.3">
      <c r="G6783" s="4"/>
      <c r="H6783" s="4"/>
    </row>
    <row r="6784" spans="7:8" x14ac:dyDescent="0.3">
      <c r="G6784" s="4"/>
      <c r="H6784" s="4"/>
    </row>
    <row r="6785" spans="7:8" x14ac:dyDescent="0.3">
      <c r="G6785" s="4"/>
      <c r="H6785" s="4"/>
    </row>
    <row r="6786" spans="7:8" x14ac:dyDescent="0.3">
      <c r="G6786" s="4"/>
      <c r="H6786" s="4"/>
    </row>
    <row r="6787" spans="7:8" x14ac:dyDescent="0.3">
      <c r="G6787" s="4"/>
      <c r="H6787" s="4"/>
    </row>
    <row r="6788" spans="7:8" x14ac:dyDescent="0.3">
      <c r="G6788" s="4"/>
      <c r="H6788" s="4"/>
    </row>
    <row r="6789" spans="7:8" x14ac:dyDescent="0.3">
      <c r="G6789" s="4"/>
      <c r="H6789" s="4"/>
    </row>
    <row r="6790" spans="7:8" x14ac:dyDescent="0.3">
      <c r="G6790" s="4"/>
      <c r="H6790" s="4"/>
    </row>
    <row r="6791" spans="7:8" x14ac:dyDescent="0.3">
      <c r="G6791" s="4"/>
      <c r="H6791" s="4"/>
    </row>
    <row r="6792" spans="7:8" x14ac:dyDescent="0.3">
      <c r="G6792" s="4"/>
      <c r="H6792" s="4"/>
    </row>
    <row r="6793" spans="7:8" x14ac:dyDescent="0.3">
      <c r="G6793" s="4"/>
      <c r="H6793" s="4"/>
    </row>
    <row r="6794" spans="7:8" x14ac:dyDescent="0.3">
      <c r="G6794" s="4"/>
      <c r="H6794" s="4"/>
    </row>
    <row r="6795" spans="7:8" x14ac:dyDescent="0.3">
      <c r="G6795" s="4"/>
      <c r="H6795" s="4"/>
    </row>
    <row r="6796" spans="7:8" x14ac:dyDescent="0.3">
      <c r="G6796" s="4"/>
      <c r="H6796" s="4"/>
    </row>
    <row r="6797" spans="7:8" x14ac:dyDescent="0.3">
      <c r="G6797" s="4"/>
      <c r="H6797" s="4"/>
    </row>
    <row r="6798" spans="7:8" x14ac:dyDescent="0.3">
      <c r="G6798" s="4"/>
      <c r="H6798" s="4"/>
    </row>
    <row r="6799" spans="7:8" x14ac:dyDescent="0.3">
      <c r="G6799" s="4"/>
      <c r="H6799" s="4"/>
    </row>
    <row r="6800" spans="7:8" x14ac:dyDescent="0.3">
      <c r="G6800" s="4"/>
      <c r="H6800" s="4"/>
    </row>
    <row r="6801" spans="7:8" x14ac:dyDescent="0.3">
      <c r="G6801" s="4"/>
      <c r="H6801" s="4"/>
    </row>
    <row r="6802" spans="7:8" x14ac:dyDescent="0.3">
      <c r="G6802" s="4"/>
      <c r="H6802" s="4"/>
    </row>
    <row r="6803" spans="7:8" x14ac:dyDescent="0.3">
      <c r="G6803" s="4"/>
      <c r="H6803" s="4"/>
    </row>
    <row r="6804" spans="7:8" x14ac:dyDescent="0.3">
      <c r="G6804" s="4"/>
      <c r="H6804" s="4"/>
    </row>
    <row r="6805" spans="7:8" x14ac:dyDescent="0.3">
      <c r="G6805" s="4"/>
      <c r="H6805" s="4"/>
    </row>
    <row r="6806" spans="7:8" x14ac:dyDescent="0.3">
      <c r="G6806" s="4"/>
      <c r="H6806" s="4"/>
    </row>
    <row r="6807" spans="7:8" x14ac:dyDescent="0.3">
      <c r="G6807" s="4"/>
      <c r="H6807" s="4"/>
    </row>
    <row r="6808" spans="7:8" x14ac:dyDescent="0.3">
      <c r="G6808" s="4"/>
      <c r="H6808" s="4"/>
    </row>
    <row r="6809" spans="7:8" x14ac:dyDescent="0.3">
      <c r="G6809" s="4"/>
      <c r="H6809" s="4"/>
    </row>
    <row r="6810" spans="7:8" x14ac:dyDescent="0.3">
      <c r="G6810" s="4"/>
      <c r="H6810" s="4"/>
    </row>
    <row r="6811" spans="7:8" x14ac:dyDescent="0.3">
      <c r="G6811" s="4"/>
      <c r="H6811" s="4"/>
    </row>
    <row r="6812" spans="7:8" x14ac:dyDescent="0.3">
      <c r="G6812" s="4"/>
      <c r="H6812" s="4"/>
    </row>
    <row r="6813" spans="7:8" x14ac:dyDescent="0.3">
      <c r="G6813" s="4"/>
      <c r="H6813" s="4"/>
    </row>
    <row r="6814" spans="7:8" x14ac:dyDescent="0.3">
      <c r="G6814" s="4"/>
      <c r="H6814" s="4"/>
    </row>
    <row r="6815" spans="7:8" x14ac:dyDescent="0.3">
      <c r="G6815" s="4"/>
      <c r="H6815" s="4"/>
    </row>
    <row r="6816" spans="7:8" x14ac:dyDescent="0.3">
      <c r="G6816" s="4"/>
      <c r="H6816" s="4"/>
    </row>
    <row r="6817" spans="7:8" x14ac:dyDescent="0.3">
      <c r="G6817" s="4"/>
      <c r="H6817" s="4"/>
    </row>
    <row r="6818" spans="7:8" x14ac:dyDescent="0.3">
      <c r="G6818" s="4"/>
      <c r="H6818" s="4"/>
    </row>
    <row r="6819" spans="7:8" x14ac:dyDescent="0.3">
      <c r="G6819" s="4"/>
      <c r="H6819" s="4"/>
    </row>
    <row r="6820" spans="7:8" x14ac:dyDescent="0.3">
      <c r="G6820" s="4"/>
      <c r="H6820" s="4"/>
    </row>
    <row r="6821" spans="7:8" x14ac:dyDescent="0.3">
      <c r="G6821" s="4"/>
      <c r="H6821" s="4"/>
    </row>
    <row r="6822" spans="7:8" x14ac:dyDescent="0.3">
      <c r="G6822" s="4"/>
      <c r="H6822" s="4"/>
    </row>
    <row r="6823" spans="7:8" x14ac:dyDescent="0.3">
      <c r="G6823" s="4"/>
      <c r="H6823" s="4"/>
    </row>
    <row r="6824" spans="7:8" x14ac:dyDescent="0.3">
      <c r="G6824" s="4"/>
      <c r="H6824" s="4"/>
    </row>
    <row r="6825" spans="7:8" x14ac:dyDescent="0.3">
      <c r="G6825" s="4"/>
      <c r="H6825" s="4"/>
    </row>
    <row r="6826" spans="7:8" x14ac:dyDescent="0.3">
      <c r="G6826" s="4"/>
      <c r="H6826" s="4"/>
    </row>
    <row r="6827" spans="7:8" x14ac:dyDescent="0.3">
      <c r="G6827" s="4"/>
      <c r="H6827" s="4"/>
    </row>
    <row r="6828" spans="7:8" x14ac:dyDescent="0.3">
      <c r="G6828" s="4"/>
      <c r="H6828" s="4"/>
    </row>
    <row r="6829" spans="7:8" x14ac:dyDescent="0.3">
      <c r="G6829" s="4"/>
      <c r="H6829" s="4"/>
    </row>
    <row r="6830" spans="7:8" x14ac:dyDescent="0.3">
      <c r="G6830" s="4"/>
      <c r="H6830" s="4"/>
    </row>
    <row r="6831" spans="7:8" x14ac:dyDescent="0.3">
      <c r="G6831" s="4"/>
      <c r="H6831" s="4"/>
    </row>
    <row r="6832" spans="7:8" x14ac:dyDescent="0.3">
      <c r="G6832" s="4"/>
      <c r="H6832" s="4"/>
    </row>
    <row r="6833" spans="7:8" x14ac:dyDescent="0.3">
      <c r="G6833" s="4"/>
      <c r="H6833" s="4"/>
    </row>
    <row r="6834" spans="7:8" x14ac:dyDescent="0.3">
      <c r="G6834" s="4"/>
      <c r="H6834" s="4"/>
    </row>
    <row r="6835" spans="7:8" x14ac:dyDescent="0.3">
      <c r="G6835" s="4"/>
      <c r="H6835" s="4"/>
    </row>
    <row r="6836" spans="7:8" x14ac:dyDescent="0.3">
      <c r="G6836" s="4"/>
      <c r="H6836" s="4"/>
    </row>
    <row r="6837" spans="7:8" x14ac:dyDescent="0.3">
      <c r="G6837" s="4"/>
      <c r="H6837" s="4"/>
    </row>
    <row r="6838" spans="7:8" x14ac:dyDescent="0.3">
      <c r="G6838" s="4"/>
      <c r="H6838" s="4"/>
    </row>
    <row r="6839" spans="7:8" x14ac:dyDescent="0.3">
      <c r="G6839" s="4"/>
      <c r="H6839" s="4"/>
    </row>
    <row r="6840" spans="7:8" x14ac:dyDescent="0.3">
      <c r="G6840" s="4"/>
      <c r="H6840" s="4"/>
    </row>
    <row r="6841" spans="7:8" x14ac:dyDescent="0.3">
      <c r="G6841" s="4"/>
      <c r="H6841" s="4"/>
    </row>
    <row r="6842" spans="7:8" x14ac:dyDescent="0.3">
      <c r="G6842" s="4"/>
      <c r="H6842" s="4"/>
    </row>
    <row r="6843" spans="7:8" x14ac:dyDescent="0.3">
      <c r="G6843" s="4"/>
      <c r="H6843" s="4"/>
    </row>
    <row r="6844" spans="7:8" x14ac:dyDescent="0.3">
      <c r="G6844" s="4"/>
      <c r="H6844" s="4"/>
    </row>
    <row r="6845" spans="7:8" x14ac:dyDescent="0.3">
      <c r="G6845" s="4"/>
      <c r="H6845" s="4"/>
    </row>
    <row r="6846" spans="7:8" x14ac:dyDescent="0.3">
      <c r="G6846" s="4"/>
      <c r="H6846" s="4"/>
    </row>
    <row r="6847" spans="7:8" x14ac:dyDescent="0.3">
      <c r="G6847" s="4"/>
      <c r="H6847" s="4"/>
    </row>
    <row r="6848" spans="7:8" x14ac:dyDescent="0.3">
      <c r="G6848" s="4"/>
      <c r="H6848" s="4"/>
    </row>
    <row r="6849" spans="7:8" x14ac:dyDescent="0.3">
      <c r="G6849" s="4"/>
      <c r="H6849" s="4"/>
    </row>
    <row r="6850" spans="7:8" x14ac:dyDescent="0.3">
      <c r="G6850" s="4"/>
      <c r="H6850" s="4"/>
    </row>
    <row r="6851" spans="7:8" x14ac:dyDescent="0.3">
      <c r="G6851" s="4"/>
      <c r="H6851" s="4"/>
    </row>
    <row r="6852" spans="7:8" x14ac:dyDescent="0.3">
      <c r="G6852" s="4"/>
      <c r="H6852" s="4"/>
    </row>
    <row r="6853" spans="7:8" x14ac:dyDescent="0.3">
      <c r="G6853" s="4"/>
      <c r="H6853" s="4"/>
    </row>
    <row r="6854" spans="7:8" x14ac:dyDescent="0.3">
      <c r="G6854" s="4"/>
      <c r="H6854" s="4"/>
    </row>
    <row r="6855" spans="7:8" x14ac:dyDescent="0.3">
      <c r="G6855" s="4"/>
      <c r="H6855" s="4"/>
    </row>
    <row r="6856" spans="7:8" x14ac:dyDescent="0.3">
      <c r="G6856" s="4"/>
      <c r="H6856" s="4"/>
    </row>
    <row r="6857" spans="7:8" x14ac:dyDescent="0.3">
      <c r="G6857" s="4"/>
      <c r="H6857" s="4"/>
    </row>
    <row r="6858" spans="7:8" x14ac:dyDescent="0.3">
      <c r="G6858" s="4"/>
      <c r="H6858" s="4"/>
    </row>
    <row r="6859" spans="7:8" x14ac:dyDescent="0.3">
      <c r="G6859" s="4"/>
      <c r="H6859" s="4"/>
    </row>
    <row r="6860" spans="7:8" x14ac:dyDescent="0.3">
      <c r="G6860" s="4"/>
      <c r="H6860" s="4"/>
    </row>
    <row r="6861" spans="7:8" x14ac:dyDescent="0.3">
      <c r="G6861" s="4"/>
      <c r="H6861" s="4"/>
    </row>
    <row r="6862" spans="7:8" x14ac:dyDescent="0.3">
      <c r="G6862" s="4"/>
      <c r="H6862" s="4"/>
    </row>
    <row r="6863" spans="7:8" x14ac:dyDescent="0.3">
      <c r="G6863" s="4"/>
      <c r="H6863" s="4"/>
    </row>
    <row r="6864" spans="7:8" x14ac:dyDescent="0.3">
      <c r="G6864" s="4"/>
      <c r="H6864" s="4"/>
    </row>
    <row r="6865" spans="7:8" x14ac:dyDescent="0.3">
      <c r="G6865" s="4"/>
      <c r="H6865" s="4"/>
    </row>
    <row r="6866" spans="7:8" x14ac:dyDescent="0.3">
      <c r="G6866" s="4"/>
      <c r="H6866" s="4"/>
    </row>
    <row r="6867" spans="7:8" x14ac:dyDescent="0.3">
      <c r="G6867" s="4"/>
      <c r="H6867" s="4"/>
    </row>
    <row r="6868" spans="7:8" x14ac:dyDescent="0.3">
      <c r="G6868" s="4"/>
      <c r="H6868" s="4"/>
    </row>
    <row r="6869" spans="7:8" x14ac:dyDescent="0.3">
      <c r="G6869" s="4"/>
      <c r="H6869" s="4"/>
    </row>
    <row r="6870" spans="7:8" x14ac:dyDescent="0.3">
      <c r="G6870" s="4"/>
      <c r="H6870" s="4"/>
    </row>
    <row r="6871" spans="7:8" x14ac:dyDescent="0.3">
      <c r="G6871" s="4"/>
      <c r="H6871" s="4"/>
    </row>
    <row r="6872" spans="7:8" x14ac:dyDescent="0.3">
      <c r="G6872" s="4"/>
      <c r="H6872" s="4"/>
    </row>
    <row r="6873" spans="7:8" x14ac:dyDescent="0.3">
      <c r="G6873" s="4"/>
      <c r="H6873" s="4"/>
    </row>
    <row r="6874" spans="7:8" x14ac:dyDescent="0.3">
      <c r="G6874" s="4"/>
      <c r="H6874" s="4"/>
    </row>
    <row r="6875" spans="7:8" x14ac:dyDescent="0.3">
      <c r="G6875" s="4"/>
      <c r="H6875" s="4"/>
    </row>
    <row r="6876" spans="7:8" x14ac:dyDescent="0.3">
      <c r="G6876" s="4"/>
      <c r="H6876" s="4"/>
    </row>
    <row r="6877" spans="7:8" x14ac:dyDescent="0.3">
      <c r="G6877" s="4"/>
      <c r="H6877" s="4"/>
    </row>
    <row r="6878" spans="7:8" x14ac:dyDescent="0.3">
      <c r="G6878" s="4"/>
      <c r="H6878" s="4"/>
    </row>
    <row r="6879" spans="7:8" x14ac:dyDescent="0.3">
      <c r="G6879" s="4"/>
      <c r="H6879" s="4"/>
    </row>
    <row r="6880" spans="7:8" x14ac:dyDescent="0.3">
      <c r="G6880" s="4"/>
      <c r="H6880" s="4"/>
    </row>
    <row r="6881" spans="7:8" x14ac:dyDescent="0.3">
      <c r="G6881" s="4"/>
      <c r="H6881" s="4"/>
    </row>
    <row r="6882" spans="7:8" x14ac:dyDescent="0.3">
      <c r="G6882" s="4"/>
      <c r="H6882" s="4"/>
    </row>
    <row r="6883" spans="7:8" x14ac:dyDescent="0.3">
      <c r="G6883" s="4"/>
      <c r="H6883" s="4"/>
    </row>
    <row r="6884" spans="7:8" x14ac:dyDescent="0.3">
      <c r="G6884" s="4"/>
      <c r="H6884" s="4"/>
    </row>
    <row r="6885" spans="7:8" x14ac:dyDescent="0.3">
      <c r="G6885" s="4"/>
      <c r="H6885" s="4"/>
    </row>
    <row r="6886" spans="7:8" x14ac:dyDescent="0.3">
      <c r="G6886" s="4"/>
      <c r="H6886" s="4"/>
    </row>
    <row r="6887" spans="7:8" x14ac:dyDescent="0.3">
      <c r="G6887" s="4"/>
      <c r="H6887" s="4"/>
    </row>
    <row r="6888" spans="7:8" x14ac:dyDescent="0.3">
      <c r="G6888" s="4"/>
      <c r="H6888" s="4"/>
    </row>
    <row r="6889" spans="7:8" x14ac:dyDescent="0.3">
      <c r="G6889" s="4"/>
      <c r="H6889" s="4"/>
    </row>
    <row r="6890" spans="7:8" x14ac:dyDescent="0.3">
      <c r="G6890" s="4"/>
      <c r="H6890" s="4"/>
    </row>
    <row r="6891" spans="7:8" x14ac:dyDescent="0.3">
      <c r="G6891" s="4"/>
      <c r="H6891" s="4"/>
    </row>
    <row r="6892" spans="7:8" x14ac:dyDescent="0.3">
      <c r="G6892" s="4"/>
      <c r="H6892" s="4"/>
    </row>
    <row r="6893" spans="7:8" x14ac:dyDescent="0.3">
      <c r="G6893" s="4"/>
      <c r="H6893" s="4"/>
    </row>
    <row r="6894" spans="7:8" x14ac:dyDescent="0.3">
      <c r="G6894" s="4"/>
      <c r="H6894" s="4"/>
    </row>
    <row r="6895" spans="7:8" x14ac:dyDescent="0.3">
      <c r="G6895" s="4"/>
      <c r="H6895" s="4"/>
    </row>
    <row r="6896" spans="7:8" x14ac:dyDescent="0.3">
      <c r="G6896" s="4"/>
      <c r="H6896" s="4"/>
    </row>
    <row r="6897" spans="7:8" x14ac:dyDescent="0.3">
      <c r="G6897" s="4"/>
      <c r="H6897" s="4"/>
    </row>
    <row r="6898" spans="7:8" x14ac:dyDescent="0.3">
      <c r="G6898" s="4"/>
      <c r="H6898" s="4"/>
    </row>
    <row r="6899" spans="7:8" x14ac:dyDescent="0.3">
      <c r="G6899" s="4"/>
      <c r="H6899" s="4"/>
    </row>
    <row r="6900" spans="7:8" x14ac:dyDescent="0.3">
      <c r="G6900" s="4"/>
      <c r="H6900" s="4"/>
    </row>
    <row r="6901" spans="7:8" x14ac:dyDescent="0.3">
      <c r="G6901" s="4"/>
      <c r="H6901" s="4"/>
    </row>
    <row r="6902" spans="7:8" x14ac:dyDescent="0.3">
      <c r="G6902" s="4"/>
      <c r="H6902" s="4"/>
    </row>
    <row r="6903" spans="7:8" x14ac:dyDescent="0.3">
      <c r="G6903" s="4"/>
      <c r="H6903" s="4"/>
    </row>
    <row r="6904" spans="7:8" x14ac:dyDescent="0.3">
      <c r="G6904" s="4"/>
      <c r="H6904" s="4"/>
    </row>
    <row r="6905" spans="7:8" x14ac:dyDescent="0.3">
      <c r="G6905" s="4"/>
      <c r="H6905" s="4"/>
    </row>
    <row r="6906" spans="7:8" x14ac:dyDescent="0.3">
      <c r="G6906" s="4"/>
      <c r="H6906" s="4"/>
    </row>
    <row r="6907" spans="7:8" x14ac:dyDescent="0.3">
      <c r="G6907" s="4"/>
      <c r="H6907" s="4"/>
    </row>
    <row r="6908" spans="7:8" x14ac:dyDescent="0.3">
      <c r="G6908" s="4"/>
      <c r="H6908" s="4"/>
    </row>
    <row r="6909" spans="7:8" x14ac:dyDescent="0.3">
      <c r="G6909" s="4"/>
      <c r="H6909" s="4"/>
    </row>
    <row r="6910" spans="7:8" x14ac:dyDescent="0.3">
      <c r="G6910" s="4"/>
      <c r="H6910" s="4"/>
    </row>
    <row r="6911" spans="7:8" x14ac:dyDescent="0.3">
      <c r="G6911" s="4"/>
      <c r="H6911" s="4"/>
    </row>
    <row r="6912" spans="7:8" x14ac:dyDescent="0.3">
      <c r="G6912" s="4"/>
      <c r="H6912" s="4"/>
    </row>
    <row r="6913" spans="7:8" x14ac:dyDescent="0.3">
      <c r="G6913" s="4"/>
      <c r="H6913" s="4"/>
    </row>
    <row r="6914" spans="7:8" x14ac:dyDescent="0.3">
      <c r="G6914" s="4"/>
      <c r="H6914" s="4"/>
    </row>
    <row r="6915" spans="7:8" x14ac:dyDescent="0.3">
      <c r="G6915" s="4"/>
      <c r="H6915" s="4"/>
    </row>
    <row r="6916" spans="7:8" x14ac:dyDescent="0.3">
      <c r="G6916" s="4"/>
      <c r="H6916" s="4"/>
    </row>
    <row r="6917" spans="7:8" x14ac:dyDescent="0.3">
      <c r="G6917" s="4"/>
      <c r="H6917" s="4"/>
    </row>
    <row r="6918" spans="7:8" x14ac:dyDescent="0.3">
      <c r="G6918" s="4"/>
      <c r="H6918" s="4"/>
    </row>
    <row r="6919" spans="7:8" x14ac:dyDescent="0.3">
      <c r="G6919" s="4"/>
      <c r="H6919" s="4"/>
    </row>
    <row r="6920" spans="7:8" x14ac:dyDescent="0.3">
      <c r="G6920" s="4"/>
      <c r="H6920" s="4"/>
    </row>
    <row r="6921" spans="7:8" x14ac:dyDescent="0.3">
      <c r="G6921" s="4"/>
      <c r="H6921" s="4"/>
    </row>
    <row r="6922" spans="7:8" x14ac:dyDescent="0.3">
      <c r="G6922" s="4"/>
      <c r="H6922" s="4"/>
    </row>
    <row r="6923" spans="7:8" x14ac:dyDescent="0.3">
      <c r="G6923" s="4"/>
      <c r="H6923" s="4"/>
    </row>
    <row r="6924" spans="7:8" x14ac:dyDescent="0.3">
      <c r="G6924" s="4"/>
      <c r="H6924" s="4"/>
    </row>
    <row r="6925" spans="7:8" x14ac:dyDescent="0.3">
      <c r="G6925" s="4"/>
      <c r="H6925" s="4"/>
    </row>
    <row r="6926" spans="7:8" x14ac:dyDescent="0.3">
      <c r="G6926" s="4"/>
      <c r="H6926" s="4"/>
    </row>
    <row r="6927" spans="7:8" x14ac:dyDescent="0.3">
      <c r="G6927" s="4"/>
      <c r="H6927" s="4"/>
    </row>
    <row r="6928" spans="7:8" x14ac:dyDescent="0.3">
      <c r="G6928" s="4"/>
      <c r="H6928" s="4"/>
    </row>
    <row r="6929" spans="7:8" x14ac:dyDescent="0.3">
      <c r="G6929" s="4"/>
      <c r="H6929" s="4"/>
    </row>
    <row r="6930" spans="7:8" x14ac:dyDescent="0.3">
      <c r="G6930" s="4"/>
      <c r="H6930" s="4"/>
    </row>
    <row r="6931" spans="7:8" x14ac:dyDescent="0.3">
      <c r="G6931" s="4"/>
      <c r="H6931" s="4"/>
    </row>
    <row r="6932" spans="7:8" x14ac:dyDescent="0.3">
      <c r="G6932" s="4"/>
      <c r="H6932" s="4"/>
    </row>
    <row r="6933" spans="7:8" x14ac:dyDescent="0.3">
      <c r="G6933" s="4"/>
      <c r="H6933" s="4"/>
    </row>
    <row r="6934" spans="7:8" x14ac:dyDescent="0.3">
      <c r="G6934" s="4"/>
      <c r="H6934" s="4"/>
    </row>
    <row r="6935" spans="7:8" x14ac:dyDescent="0.3">
      <c r="G6935" s="4"/>
      <c r="H6935" s="4"/>
    </row>
    <row r="6936" spans="7:8" x14ac:dyDescent="0.3">
      <c r="G6936" s="4"/>
      <c r="H6936" s="4"/>
    </row>
    <row r="6937" spans="7:8" x14ac:dyDescent="0.3">
      <c r="G6937" s="4"/>
      <c r="H6937" s="4"/>
    </row>
    <row r="6938" spans="7:8" x14ac:dyDescent="0.3">
      <c r="G6938" s="4"/>
      <c r="H6938" s="4"/>
    </row>
    <row r="6939" spans="7:8" x14ac:dyDescent="0.3">
      <c r="G6939" s="4"/>
      <c r="H6939" s="4"/>
    </row>
    <row r="6940" spans="7:8" x14ac:dyDescent="0.3">
      <c r="G6940" s="4"/>
      <c r="H6940" s="4"/>
    </row>
    <row r="6941" spans="7:8" x14ac:dyDescent="0.3">
      <c r="G6941" s="4"/>
      <c r="H6941" s="4"/>
    </row>
    <row r="6942" spans="7:8" x14ac:dyDescent="0.3">
      <c r="G6942" s="4"/>
      <c r="H6942" s="4"/>
    </row>
    <row r="6943" spans="7:8" x14ac:dyDescent="0.3">
      <c r="G6943" s="4"/>
      <c r="H6943" s="4"/>
    </row>
    <row r="6944" spans="7:8" x14ac:dyDescent="0.3">
      <c r="G6944" s="4"/>
      <c r="H6944" s="4"/>
    </row>
    <row r="6945" spans="7:8" x14ac:dyDescent="0.3">
      <c r="G6945" s="4"/>
      <c r="H6945" s="4"/>
    </row>
    <row r="6946" spans="7:8" x14ac:dyDescent="0.3">
      <c r="G6946" s="4"/>
      <c r="H6946" s="4"/>
    </row>
    <row r="6947" spans="7:8" x14ac:dyDescent="0.3">
      <c r="G6947" s="4"/>
      <c r="H6947" s="4"/>
    </row>
    <row r="6948" spans="7:8" x14ac:dyDescent="0.3">
      <c r="G6948" s="4"/>
      <c r="H6948" s="4"/>
    </row>
    <row r="6949" spans="7:8" x14ac:dyDescent="0.3">
      <c r="G6949" s="4"/>
      <c r="H6949" s="4"/>
    </row>
    <row r="6950" spans="7:8" x14ac:dyDescent="0.3">
      <c r="G6950" s="4"/>
      <c r="H6950" s="4"/>
    </row>
    <row r="6951" spans="7:8" x14ac:dyDescent="0.3">
      <c r="G6951" s="4"/>
      <c r="H6951" s="4"/>
    </row>
    <row r="6952" spans="7:8" x14ac:dyDescent="0.3">
      <c r="G6952" s="4"/>
      <c r="H6952" s="4"/>
    </row>
    <row r="6953" spans="7:8" x14ac:dyDescent="0.3">
      <c r="G6953" s="4"/>
      <c r="H6953" s="4"/>
    </row>
    <row r="6954" spans="7:8" x14ac:dyDescent="0.3">
      <c r="G6954" s="4"/>
      <c r="H6954" s="4"/>
    </row>
    <row r="6955" spans="7:8" x14ac:dyDescent="0.3">
      <c r="G6955" s="4"/>
      <c r="H6955" s="4"/>
    </row>
    <row r="6956" spans="7:8" x14ac:dyDescent="0.3">
      <c r="G6956" s="4"/>
      <c r="H6956" s="4"/>
    </row>
    <row r="6957" spans="7:8" x14ac:dyDescent="0.3">
      <c r="G6957" s="4"/>
      <c r="H6957" s="4"/>
    </row>
    <row r="6958" spans="7:8" x14ac:dyDescent="0.3">
      <c r="G6958" s="4"/>
      <c r="H6958" s="4"/>
    </row>
    <row r="6959" spans="7:8" x14ac:dyDescent="0.3">
      <c r="G6959" s="4"/>
      <c r="H6959" s="4"/>
    </row>
    <row r="6960" spans="7:8" x14ac:dyDescent="0.3">
      <c r="G6960" s="4"/>
      <c r="H6960" s="4"/>
    </row>
    <row r="6961" spans="7:8" x14ac:dyDescent="0.3">
      <c r="G6961" s="4"/>
      <c r="H6961" s="4"/>
    </row>
    <row r="6962" spans="7:8" x14ac:dyDescent="0.3">
      <c r="G6962" s="4"/>
      <c r="H6962" s="4"/>
    </row>
    <row r="6963" spans="7:8" x14ac:dyDescent="0.3">
      <c r="G6963" s="4"/>
      <c r="H6963" s="4"/>
    </row>
    <row r="6964" spans="7:8" x14ac:dyDescent="0.3">
      <c r="G6964" s="4"/>
      <c r="H6964" s="4"/>
    </row>
    <row r="6965" spans="7:8" x14ac:dyDescent="0.3">
      <c r="G6965" s="4"/>
      <c r="H6965" s="4"/>
    </row>
    <row r="6966" spans="7:8" x14ac:dyDescent="0.3">
      <c r="G6966" s="4"/>
      <c r="H6966" s="4"/>
    </row>
    <row r="6967" spans="7:8" x14ac:dyDescent="0.3">
      <c r="G6967" s="4"/>
      <c r="H6967" s="4"/>
    </row>
    <row r="6968" spans="7:8" x14ac:dyDescent="0.3">
      <c r="G6968" s="4"/>
      <c r="H6968" s="4"/>
    </row>
    <row r="6969" spans="7:8" x14ac:dyDescent="0.3">
      <c r="G6969" s="4"/>
      <c r="H6969" s="4"/>
    </row>
    <row r="6970" spans="7:8" x14ac:dyDescent="0.3">
      <c r="G6970" s="4"/>
      <c r="H6970" s="4"/>
    </row>
    <row r="6971" spans="7:8" x14ac:dyDescent="0.3">
      <c r="G6971" s="4"/>
      <c r="H6971" s="4"/>
    </row>
    <row r="6972" spans="7:8" x14ac:dyDescent="0.3">
      <c r="G6972" s="4"/>
      <c r="H6972" s="4"/>
    </row>
    <row r="6973" spans="7:8" x14ac:dyDescent="0.3">
      <c r="G6973" s="4"/>
      <c r="H6973" s="4"/>
    </row>
    <row r="6974" spans="7:8" x14ac:dyDescent="0.3">
      <c r="G6974" s="4"/>
      <c r="H6974" s="4"/>
    </row>
    <row r="6975" spans="7:8" x14ac:dyDescent="0.3">
      <c r="G6975" s="4"/>
      <c r="H6975" s="4"/>
    </row>
    <row r="6976" spans="7:8" x14ac:dyDescent="0.3">
      <c r="G6976" s="4"/>
      <c r="H6976" s="4"/>
    </row>
    <row r="6977" spans="7:8" x14ac:dyDescent="0.3">
      <c r="G6977" s="4"/>
      <c r="H6977" s="4"/>
    </row>
    <row r="6978" spans="7:8" x14ac:dyDescent="0.3">
      <c r="G6978" s="4"/>
      <c r="H6978" s="4"/>
    </row>
    <row r="6979" spans="7:8" x14ac:dyDescent="0.3">
      <c r="G6979" s="4"/>
      <c r="H6979" s="4"/>
    </row>
    <row r="6980" spans="7:8" x14ac:dyDescent="0.3">
      <c r="G6980" s="4"/>
      <c r="H6980" s="4"/>
    </row>
    <row r="6981" spans="7:8" x14ac:dyDescent="0.3">
      <c r="G6981" s="4"/>
      <c r="H6981" s="4"/>
    </row>
    <row r="6982" spans="7:8" x14ac:dyDescent="0.3">
      <c r="G6982" s="4"/>
      <c r="H6982" s="4"/>
    </row>
    <row r="6983" spans="7:8" x14ac:dyDescent="0.3">
      <c r="G6983" s="4"/>
      <c r="H6983" s="4"/>
    </row>
    <row r="6984" spans="7:8" x14ac:dyDescent="0.3">
      <c r="G6984" s="4"/>
      <c r="H6984" s="4"/>
    </row>
    <row r="6985" spans="7:8" x14ac:dyDescent="0.3">
      <c r="G6985" s="4"/>
      <c r="H6985" s="4"/>
    </row>
    <row r="6986" spans="7:8" x14ac:dyDescent="0.3">
      <c r="G6986" s="4"/>
      <c r="H6986" s="4"/>
    </row>
    <row r="6987" spans="7:8" x14ac:dyDescent="0.3">
      <c r="G6987" s="4"/>
      <c r="H6987" s="4"/>
    </row>
    <row r="6988" spans="7:8" x14ac:dyDescent="0.3">
      <c r="G6988" s="4"/>
      <c r="H6988" s="4"/>
    </row>
    <row r="6989" spans="7:8" x14ac:dyDescent="0.3">
      <c r="G6989" s="4"/>
      <c r="H6989" s="4"/>
    </row>
    <row r="6990" spans="7:8" x14ac:dyDescent="0.3">
      <c r="G6990" s="4"/>
      <c r="H6990" s="4"/>
    </row>
    <row r="6991" spans="7:8" x14ac:dyDescent="0.3">
      <c r="G6991" s="4"/>
      <c r="H6991" s="4"/>
    </row>
    <row r="6992" spans="7:8" x14ac:dyDescent="0.3">
      <c r="G6992" s="4"/>
      <c r="H6992" s="4"/>
    </row>
    <row r="6993" spans="7:8" x14ac:dyDescent="0.3">
      <c r="G6993" s="4"/>
      <c r="H6993" s="4"/>
    </row>
    <row r="6994" spans="7:8" x14ac:dyDescent="0.3">
      <c r="G6994" s="4"/>
      <c r="H6994" s="4"/>
    </row>
    <row r="6995" spans="7:8" x14ac:dyDescent="0.3">
      <c r="G6995" s="4"/>
      <c r="H6995" s="4"/>
    </row>
    <row r="6996" spans="7:8" x14ac:dyDescent="0.3">
      <c r="G6996" s="4"/>
      <c r="H6996" s="4"/>
    </row>
    <row r="6997" spans="7:8" x14ac:dyDescent="0.3">
      <c r="G6997" s="4"/>
      <c r="H6997" s="4"/>
    </row>
    <row r="6998" spans="7:8" x14ac:dyDescent="0.3">
      <c r="G6998" s="4"/>
      <c r="H6998" s="4"/>
    </row>
    <row r="6999" spans="7:8" x14ac:dyDescent="0.3">
      <c r="G6999" s="4"/>
      <c r="H6999" s="4"/>
    </row>
    <row r="7000" spans="7:8" x14ac:dyDescent="0.3">
      <c r="G7000" s="4"/>
      <c r="H7000" s="4"/>
    </row>
    <row r="7001" spans="7:8" x14ac:dyDescent="0.3">
      <c r="G7001" s="4"/>
      <c r="H7001" s="4"/>
    </row>
    <row r="7002" spans="7:8" x14ac:dyDescent="0.3">
      <c r="G7002" s="4"/>
      <c r="H7002" s="4"/>
    </row>
    <row r="7003" spans="7:8" x14ac:dyDescent="0.3">
      <c r="G7003" s="4"/>
      <c r="H7003" s="4"/>
    </row>
    <row r="7004" spans="7:8" x14ac:dyDescent="0.3">
      <c r="G7004" s="4"/>
      <c r="H7004" s="4"/>
    </row>
    <row r="7005" spans="7:8" x14ac:dyDescent="0.3">
      <c r="G7005" s="4"/>
      <c r="H7005" s="4"/>
    </row>
    <row r="7006" spans="7:8" x14ac:dyDescent="0.3">
      <c r="G7006" s="4"/>
      <c r="H7006" s="4"/>
    </row>
    <row r="7007" spans="7:8" x14ac:dyDescent="0.3">
      <c r="G7007" s="4"/>
      <c r="H7007" s="4"/>
    </row>
    <row r="7008" spans="7:8" x14ac:dyDescent="0.3">
      <c r="G7008" s="4"/>
      <c r="H7008" s="4"/>
    </row>
    <row r="7009" spans="7:8" x14ac:dyDescent="0.3">
      <c r="G7009" s="4"/>
      <c r="H7009" s="4"/>
    </row>
    <row r="7010" spans="7:8" x14ac:dyDescent="0.3">
      <c r="G7010" s="4"/>
      <c r="H7010" s="4"/>
    </row>
    <row r="7011" spans="7:8" x14ac:dyDescent="0.3">
      <c r="G7011" s="4"/>
      <c r="H7011" s="4"/>
    </row>
    <row r="7012" spans="7:8" x14ac:dyDescent="0.3">
      <c r="G7012" s="4"/>
      <c r="H7012" s="4"/>
    </row>
    <row r="7013" spans="7:8" x14ac:dyDescent="0.3">
      <c r="G7013" s="4"/>
      <c r="H7013" s="4"/>
    </row>
    <row r="7014" spans="7:8" x14ac:dyDescent="0.3">
      <c r="G7014" s="4"/>
      <c r="H7014" s="4"/>
    </row>
    <row r="7015" spans="7:8" x14ac:dyDescent="0.3">
      <c r="G7015" s="4"/>
      <c r="H7015" s="4"/>
    </row>
    <row r="7016" spans="7:8" x14ac:dyDescent="0.3">
      <c r="G7016" s="4"/>
      <c r="H7016" s="4"/>
    </row>
    <row r="7017" spans="7:8" x14ac:dyDescent="0.3">
      <c r="G7017" s="4"/>
      <c r="H7017" s="4"/>
    </row>
    <row r="7018" spans="7:8" x14ac:dyDescent="0.3">
      <c r="G7018" s="4"/>
      <c r="H7018" s="4"/>
    </row>
    <row r="7019" spans="7:8" x14ac:dyDescent="0.3">
      <c r="G7019" s="4"/>
      <c r="H7019" s="4"/>
    </row>
    <row r="7020" spans="7:8" x14ac:dyDescent="0.3">
      <c r="G7020" s="4"/>
      <c r="H7020" s="4"/>
    </row>
    <row r="7021" spans="7:8" x14ac:dyDescent="0.3">
      <c r="G7021" s="4"/>
      <c r="H7021" s="4"/>
    </row>
    <row r="7022" spans="7:8" x14ac:dyDescent="0.3">
      <c r="G7022" s="4"/>
      <c r="H7022" s="4"/>
    </row>
    <row r="7023" spans="7:8" x14ac:dyDescent="0.3">
      <c r="G7023" s="4"/>
      <c r="H7023" s="4"/>
    </row>
    <row r="7024" spans="7:8" x14ac:dyDescent="0.3">
      <c r="G7024" s="4"/>
      <c r="H7024" s="4"/>
    </row>
    <row r="7025" spans="7:8" x14ac:dyDescent="0.3">
      <c r="G7025" s="4"/>
      <c r="H7025" s="4"/>
    </row>
    <row r="7026" spans="7:8" x14ac:dyDescent="0.3">
      <c r="G7026" s="4"/>
      <c r="H7026" s="4"/>
    </row>
    <row r="7027" spans="7:8" x14ac:dyDescent="0.3">
      <c r="G7027" s="4"/>
      <c r="H7027" s="4"/>
    </row>
    <row r="7028" spans="7:8" x14ac:dyDescent="0.3">
      <c r="G7028" s="4"/>
      <c r="H7028" s="4"/>
    </row>
    <row r="7029" spans="7:8" x14ac:dyDescent="0.3">
      <c r="G7029" s="4"/>
      <c r="H7029" s="4"/>
    </row>
    <row r="7030" spans="7:8" x14ac:dyDescent="0.3">
      <c r="G7030" s="4"/>
      <c r="H7030" s="4"/>
    </row>
    <row r="7031" spans="7:8" x14ac:dyDescent="0.3">
      <c r="G7031" s="4"/>
      <c r="H7031" s="4"/>
    </row>
    <row r="7032" spans="7:8" x14ac:dyDescent="0.3">
      <c r="G7032" s="4"/>
      <c r="H7032" s="4"/>
    </row>
    <row r="7033" spans="7:8" x14ac:dyDescent="0.3">
      <c r="G7033" s="4"/>
      <c r="H7033" s="4"/>
    </row>
    <row r="7034" spans="7:8" x14ac:dyDescent="0.3">
      <c r="G7034" s="4"/>
      <c r="H7034" s="4"/>
    </row>
    <row r="7035" spans="7:8" x14ac:dyDescent="0.3">
      <c r="G7035" s="4"/>
      <c r="H7035" s="4"/>
    </row>
    <row r="7036" spans="7:8" x14ac:dyDescent="0.3">
      <c r="G7036" s="4"/>
      <c r="H7036" s="4"/>
    </row>
    <row r="7037" spans="7:8" x14ac:dyDescent="0.3">
      <c r="G7037" s="4"/>
      <c r="H7037" s="4"/>
    </row>
    <row r="7038" spans="7:8" x14ac:dyDescent="0.3">
      <c r="G7038" s="4"/>
      <c r="H7038" s="4"/>
    </row>
    <row r="7039" spans="7:8" x14ac:dyDescent="0.3">
      <c r="G7039" s="4"/>
      <c r="H7039" s="4"/>
    </row>
    <row r="7040" spans="7:8" x14ac:dyDescent="0.3">
      <c r="G7040" s="4"/>
      <c r="H7040" s="4"/>
    </row>
    <row r="7041" spans="7:8" x14ac:dyDescent="0.3">
      <c r="G7041" s="4"/>
      <c r="H7041" s="4"/>
    </row>
    <row r="7042" spans="7:8" x14ac:dyDescent="0.3">
      <c r="G7042" s="4"/>
      <c r="H7042" s="4"/>
    </row>
    <row r="7043" spans="7:8" x14ac:dyDescent="0.3">
      <c r="G7043" s="4"/>
      <c r="H7043" s="4"/>
    </row>
    <row r="7044" spans="7:8" x14ac:dyDescent="0.3">
      <c r="G7044" s="4"/>
      <c r="H7044" s="4"/>
    </row>
    <row r="7045" spans="7:8" x14ac:dyDescent="0.3">
      <c r="G7045" s="4"/>
      <c r="H7045" s="4"/>
    </row>
    <row r="7046" spans="7:8" x14ac:dyDescent="0.3">
      <c r="G7046" s="4"/>
      <c r="H7046" s="4"/>
    </row>
    <row r="7047" spans="7:8" x14ac:dyDescent="0.3">
      <c r="G7047" s="4"/>
      <c r="H7047" s="4"/>
    </row>
    <row r="7048" spans="7:8" x14ac:dyDescent="0.3">
      <c r="G7048" s="4"/>
      <c r="H7048" s="4"/>
    </row>
    <row r="7049" spans="7:8" x14ac:dyDescent="0.3">
      <c r="G7049" s="4"/>
      <c r="H7049" s="4"/>
    </row>
    <row r="7050" spans="7:8" x14ac:dyDescent="0.3">
      <c r="G7050" s="4"/>
      <c r="H7050" s="4"/>
    </row>
    <row r="7051" spans="7:8" x14ac:dyDescent="0.3">
      <c r="G7051" s="4"/>
      <c r="H7051" s="4"/>
    </row>
    <row r="7052" spans="7:8" x14ac:dyDescent="0.3">
      <c r="G7052" s="4"/>
      <c r="H7052" s="4"/>
    </row>
    <row r="7053" spans="7:8" x14ac:dyDescent="0.3">
      <c r="G7053" s="4"/>
      <c r="H7053" s="4"/>
    </row>
    <row r="7054" spans="7:8" x14ac:dyDescent="0.3">
      <c r="G7054" s="4"/>
      <c r="H7054" s="4"/>
    </row>
    <row r="7055" spans="7:8" x14ac:dyDescent="0.3">
      <c r="G7055" s="4"/>
      <c r="H7055" s="4"/>
    </row>
    <row r="7056" spans="7:8" x14ac:dyDescent="0.3">
      <c r="G7056" s="4"/>
      <c r="H7056" s="4"/>
    </row>
    <row r="7057" spans="7:8" x14ac:dyDescent="0.3">
      <c r="G7057" s="4"/>
      <c r="H7057" s="4"/>
    </row>
    <row r="7058" spans="7:8" x14ac:dyDescent="0.3">
      <c r="G7058" s="4"/>
      <c r="H7058" s="4"/>
    </row>
    <row r="7059" spans="7:8" x14ac:dyDescent="0.3">
      <c r="G7059" s="4"/>
      <c r="H7059" s="4"/>
    </row>
    <row r="7060" spans="7:8" x14ac:dyDescent="0.3">
      <c r="G7060" s="4"/>
      <c r="H7060" s="4"/>
    </row>
    <row r="7061" spans="7:8" x14ac:dyDescent="0.3">
      <c r="G7061" s="4"/>
      <c r="H7061" s="4"/>
    </row>
    <row r="7062" spans="7:8" x14ac:dyDescent="0.3">
      <c r="G7062" s="4"/>
      <c r="H7062" s="4"/>
    </row>
    <row r="7063" spans="7:8" x14ac:dyDescent="0.3">
      <c r="G7063" s="4"/>
      <c r="H7063" s="4"/>
    </row>
    <row r="7064" spans="7:8" x14ac:dyDescent="0.3">
      <c r="G7064" s="4"/>
      <c r="H7064" s="4"/>
    </row>
    <row r="7065" spans="7:8" x14ac:dyDescent="0.3">
      <c r="G7065" s="4"/>
      <c r="H7065" s="4"/>
    </row>
    <row r="7066" spans="7:8" x14ac:dyDescent="0.3">
      <c r="G7066" s="4"/>
      <c r="H7066" s="4"/>
    </row>
    <row r="7067" spans="7:8" x14ac:dyDescent="0.3">
      <c r="G7067" s="4"/>
      <c r="H7067" s="4"/>
    </row>
    <row r="7068" spans="7:8" x14ac:dyDescent="0.3">
      <c r="G7068" s="4"/>
      <c r="H7068" s="4"/>
    </row>
    <row r="7069" spans="7:8" x14ac:dyDescent="0.3">
      <c r="G7069" s="4"/>
      <c r="H7069" s="4"/>
    </row>
    <row r="7070" spans="7:8" x14ac:dyDescent="0.3">
      <c r="G7070" s="4"/>
      <c r="H7070" s="4"/>
    </row>
    <row r="7071" spans="7:8" x14ac:dyDescent="0.3">
      <c r="G7071" s="4"/>
      <c r="H7071" s="4"/>
    </row>
    <row r="7072" spans="7:8" x14ac:dyDescent="0.3">
      <c r="G7072" s="4"/>
      <c r="H7072" s="4"/>
    </row>
    <row r="7073" spans="7:8" x14ac:dyDescent="0.3">
      <c r="G7073" s="4"/>
      <c r="H7073" s="4"/>
    </row>
    <row r="7074" spans="7:8" x14ac:dyDescent="0.3">
      <c r="G7074" s="4"/>
      <c r="H7074" s="4"/>
    </row>
    <row r="7075" spans="7:8" x14ac:dyDescent="0.3">
      <c r="G7075" s="4"/>
      <c r="H7075" s="4"/>
    </row>
    <row r="7076" spans="7:8" x14ac:dyDescent="0.3">
      <c r="G7076" s="4"/>
      <c r="H7076" s="4"/>
    </row>
    <row r="7077" spans="7:8" x14ac:dyDescent="0.3">
      <c r="G7077" s="4"/>
      <c r="H7077" s="4"/>
    </row>
    <row r="7078" spans="7:8" x14ac:dyDescent="0.3">
      <c r="G7078" s="4"/>
      <c r="H7078" s="4"/>
    </row>
    <row r="7079" spans="7:8" x14ac:dyDescent="0.3">
      <c r="G7079" s="4"/>
      <c r="H7079" s="4"/>
    </row>
    <row r="7080" spans="7:8" x14ac:dyDescent="0.3">
      <c r="G7080" s="4"/>
      <c r="H7080" s="4"/>
    </row>
    <row r="7081" spans="7:8" x14ac:dyDescent="0.3">
      <c r="G7081" s="4"/>
      <c r="H7081" s="4"/>
    </row>
    <row r="7082" spans="7:8" x14ac:dyDescent="0.3">
      <c r="G7082" s="4"/>
      <c r="H7082" s="4"/>
    </row>
    <row r="7083" spans="7:8" x14ac:dyDescent="0.3">
      <c r="G7083" s="4"/>
      <c r="H7083" s="4"/>
    </row>
    <row r="7084" spans="7:8" x14ac:dyDescent="0.3">
      <c r="G7084" s="4"/>
      <c r="H7084" s="4"/>
    </row>
    <row r="7085" spans="7:8" x14ac:dyDescent="0.3">
      <c r="G7085" s="4"/>
      <c r="H7085" s="4"/>
    </row>
    <row r="7086" spans="7:8" x14ac:dyDescent="0.3">
      <c r="G7086" s="4"/>
      <c r="H7086" s="4"/>
    </row>
    <row r="7087" spans="7:8" x14ac:dyDescent="0.3">
      <c r="G7087" s="4"/>
      <c r="H7087" s="4"/>
    </row>
    <row r="7088" spans="7:8" x14ac:dyDescent="0.3">
      <c r="G7088" s="4"/>
      <c r="H7088" s="4"/>
    </row>
    <row r="7089" spans="7:8" x14ac:dyDescent="0.3">
      <c r="G7089" s="4"/>
      <c r="H7089" s="4"/>
    </row>
    <row r="7090" spans="7:8" x14ac:dyDescent="0.3">
      <c r="G7090" s="4"/>
      <c r="H7090" s="4"/>
    </row>
    <row r="7091" spans="7:8" x14ac:dyDescent="0.3">
      <c r="G7091" s="4"/>
      <c r="H7091" s="4"/>
    </row>
    <row r="7092" spans="7:8" x14ac:dyDescent="0.3">
      <c r="G7092" s="4"/>
      <c r="H7092" s="4"/>
    </row>
    <row r="7093" spans="7:8" x14ac:dyDescent="0.3">
      <c r="G7093" s="4"/>
      <c r="H7093" s="4"/>
    </row>
    <row r="7094" spans="7:8" x14ac:dyDescent="0.3">
      <c r="G7094" s="4"/>
      <c r="H7094" s="4"/>
    </row>
    <row r="7095" spans="7:8" x14ac:dyDescent="0.3">
      <c r="G7095" s="4"/>
      <c r="H7095" s="4"/>
    </row>
    <row r="7096" spans="7:8" x14ac:dyDescent="0.3">
      <c r="G7096" s="4"/>
      <c r="H7096" s="4"/>
    </row>
    <row r="7097" spans="7:8" x14ac:dyDescent="0.3">
      <c r="G7097" s="4"/>
      <c r="H7097" s="4"/>
    </row>
    <row r="7098" spans="7:8" x14ac:dyDescent="0.3">
      <c r="G7098" s="4"/>
      <c r="H7098" s="4"/>
    </row>
    <row r="7099" spans="7:8" x14ac:dyDescent="0.3">
      <c r="G7099" s="4"/>
      <c r="H7099" s="4"/>
    </row>
    <row r="7100" spans="7:8" x14ac:dyDescent="0.3">
      <c r="G7100" s="4"/>
      <c r="H7100" s="4"/>
    </row>
    <row r="7101" spans="7:8" x14ac:dyDescent="0.3">
      <c r="G7101" s="4"/>
      <c r="H7101" s="4"/>
    </row>
    <row r="7102" spans="7:8" x14ac:dyDescent="0.3">
      <c r="G7102" s="4"/>
      <c r="H7102" s="4"/>
    </row>
    <row r="7103" spans="7:8" x14ac:dyDescent="0.3">
      <c r="G7103" s="4"/>
      <c r="H7103" s="4"/>
    </row>
    <row r="7104" spans="7:8" x14ac:dyDescent="0.3">
      <c r="G7104" s="4"/>
      <c r="H7104" s="4"/>
    </row>
    <row r="7105" spans="7:8" x14ac:dyDescent="0.3">
      <c r="G7105" s="4"/>
      <c r="H7105" s="4"/>
    </row>
    <row r="7106" spans="7:8" x14ac:dyDescent="0.3">
      <c r="G7106" s="4"/>
      <c r="H7106" s="4"/>
    </row>
    <row r="7107" spans="7:8" x14ac:dyDescent="0.3">
      <c r="G7107" s="4"/>
      <c r="H7107" s="4"/>
    </row>
    <row r="7108" spans="7:8" x14ac:dyDescent="0.3">
      <c r="G7108" s="4"/>
      <c r="H7108" s="4"/>
    </row>
    <row r="7109" spans="7:8" x14ac:dyDescent="0.3">
      <c r="G7109" s="4"/>
      <c r="H7109" s="4"/>
    </row>
    <row r="7110" spans="7:8" x14ac:dyDescent="0.3">
      <c r="G7110" s="4"/>
      <c r="H7110" s="4"/>
    </row>
    <row r="7111" spans="7:8" x14ac:dyDescent="0.3">
      <c r="G7111" s="4"/>
      <c r="H7111" s="4"/>
    </row>
    <row r="7112" spans="7:8" x14ac:dyDescent="0.3">
      <c r="G7112" s="4"/>
      <c r="H7112" s="4"/>
    </row>
    <row r="7113" spans="7:8" x14ac:dyDescent="0.3">
      <c r="G7113" s="4"/>
      <c r="H7113" s="4"/>
    </row>
    <row r="7114" spans="7:8" x14ac:dyDescent="0.3">
      <c r="G7114" s="4"/>
      <c r="H7114" s="4"/>
    </row>
    <row r="7115" spans="7:8" x14ac:dyDescent="0.3">
      <c r="G7115" s="4"/>
      <c r="H7115" s="4"/>
    </row>
    <row r="7116" spans="7:8" x14ac:dyDescent="0.3">
      <c r="G7116" s="4"/>
      <c r="H7116" s="4"/>
    </row>
    <row r="7117" spans="7:8" x14ac:dyDescent="0.3">
      <c r="G7117" s="4"/>
      <c r="H7117" s="4"/>
    </row>
    <row r="7118" spans="7:8" x14ac:dyDescent="0.3">
      <c r="G7118" s="4"/>
      <c r="H7118" s="4"/>
    </row>
    <row r="7119" spans="7:8" x14ac:dyDescent="0.3">
      <c r="G7119" s="4"/>
      <c r="H7119" s="4"/>
    </row>
    <row r="7120" spans="7:8" x14ac:dyDescent="0.3">
      <c r="G7120" s="4"/>
      <c r="H7120" s="4"/>
    </row>
    <row r="7121" spans="7:8" x14ac:dyDescent="0.3">
      <c r="G7121" s="4"/>
      <c r="H7121" s="4"/>
    </row>
    <row r="7122" spans="7:8" x14ac:dyDescent="0.3">
      <c r="G7122" s="4"/>
      <c r="H7122" s="4"/>
    </row>
    <row r="7123" spans="7:8" x14ac:dyDescent="0.3">
      <c r="G7123" s="4"/>
      <c r="H7123" s="4"/>
    </row>
    <row r="7124" spans="7:8" x14ac:dyDescent="0.3">
      <c r="G7124" s="4"/>
      <c r="H7124" s="4"/>
    </row>
    <row r="7125" spans="7:8" x14ac:dyDescent="0.3">
      <c r="G7125" s="4"/>
      <c r="H7125" s="4"/>
    </row>
    <row r="7126" spans="7:8" x14ac:dyDescent="0.3">
      <c r="G7126" s="4"/>
      <c r="H7126" s="4"/>
    </row>
    <row r="7127" spans="7:8" x14ac:dyDescent="0.3">
      <c r="G7127" s="4"/>
      <c r="H7127" s="4"/>
    </row>
    <row r="7128" spans="7:8" x14ac:dyDescent="0.3">
      <c r="G7128" s="4"/>
      <c r="H7128" s="4"/>
    </row>
    <row r="7129" spans="7:8" x14ac:dyDescent="0.3">
      <c r="G7129" s="4"/>
      <c r="H7129" s="4"/>
    </row>
    <row r="7130" spans="7:8" x14ac:dyDescent="0.3">
      <c r="G7130" s="4"/>
      <c r="H7130" s="4"/>
    </row>
    <row r="7131" spans="7:8" x14ac:dyDescent="0.3">
      <c r="G7131" s="4"/>
      <c r="H7131" s="4"/>
    </row>
    <row r="7132" spans="7:8" x14ac:dyDescent="0.3">
      <c r="G7132" s="4"/>
      <c r="H7132" s="4"/>
    </row>
    <row r="7133" spans="7:8" x14ac:dyDescent="0.3">
      <c r="G7133" s="4"/>
      <c r="H7133" s="4"/>
    </row>
    <row r="7134" spans="7:8" x14ac:dyDescent="0.3">
      <c r="G7134" s="4"/>
      <c r="H7134" s="4"/>
    </row>
    <row r="7135" spans="7:8" x14ac:dyDescent="0.3">
      <c r="G7135" s="4"/>
      <c r="H7135" s="4"/>
    </row>
    <row r="7136" spans="7:8" x14ac:dyDescent="0.3">
      <c r="G7136" s="4"/>
      <c r="H7136" s="4"/>
    </row>
    <row r="7137" spans="7:8" x14ac:dyDescent="0.3">
      <c r="G7137" s="4"/>
      <c r="H7137" s="4"/>
    </row>
    <row r="7138" spans="7:8" x14ac:dyDescent="0.3">
      <c r="G7138" s="4"/>
      <c r="H7138" s="4"/>
    </row>
    <row r="7139" spans="7:8" x14ac:dyDescent="0.3">
      <c r="G7139" s="4"/>
      <c r="H7139" s="4"/>
    </row>
    <row r="7140" spans="7:8" x14ac:dyDescent="0.3">
      <c r="G7140" s="4"/>
      <c r="H7140" s="4"/>
    </row>
    <row r="7141" spans="7:8" x14ac:dyDescent="0.3">
      <c r="G7141" s="4"/>
      <c r="H7141" s="4"/>
    </row>
    <row r="7142" spans="7:8" x14ac:dyDescent="0.3">
      <c r="G7142" s="4"/>
      <c r="H7142" s="4"/>
    </row>
    <row r="7143" spans="7:8" x14ac:dyDescent="0.3">
      <c r="G7143" s="4"/>
      <c r="H7143" s="4"/>
    </row>
    <row r="7144" spans="7:8" x14ac:dyDescent="0.3">
      <c r="G7144" s="4"/>
      <c r="H7144" s="4"/>
    </row>
    <row r="7145" spans="7:8" x14ac:dyDescent="0.3">
      <c r="G7145" s="4"/>
      <c r="H7145" s="4"/>
    </row>
    <row r="7146" spans="7:8" x14ac:dyDescent="0.3">
      <c r="G7146" s="4"/>
      <c r="H7146" s="4"/>
    </row>
    <row r="7147" spans="7:8" x14ac:dyDescent="0.3">
      <c r="G7147" s="4"/>
      <c r="H7147" s="4"/>
    </row>
    <row r="7148" spans="7:8" x14ac:dyDescent="0.3">
      <c r="G7148" s="4"/>
      <c r="H7148" s="4"/>
    </row>
    <row r="7149" spans="7:8" x14ac:dyDescent="0.3">
      <c r="G7149" s="4"/>
      <c r="H7149" s="4"/>
    </row>
    <row r="7150" spans="7:8" x14ac:dyDescent="0.3">
      <c r="G7150" s="4"/>
      <c r="H7150" s="4"/>
    </row>
    <row r="7151" spans="7:8" x14ac:dyDescent="0.3">
      <c r="G7151" s="4"/>
      <c r="H7151" s="4"/>
    </row>
    <row r="7152" spans="7:8" x14ac:dyDescent="0.3">
      <c r="G7152" s="4"/>
      <c r="H7152" s="4"/>
    </row>
    <row r="7153" spans="7:8" x14ac:dyDescent="0.3">
      <c r="G7153" s="4"/>
      <c r="H7153" s="4"/>
    </row>
    <row r="7154" spans="7:8" x14ac:dyDescent="0.3">
      <c r="G7154" s="4"/>
      <c r="H7154" s="4"/>
    </row>
    <row r="7155" spans="7:8" x14ac:dyDescent="0.3">
      <c r="G7155" s="4"/>
      <c r="H7155" s="4"/>
    </row>
    <row r="7156" spans="7:8" x14ac:dyDescent="0.3">
      <c r="G7156" s="4"/>
      <c r="H7156" s="4"/>
    </row>
    <row r="7157" spans="7:8" x14ac:dyDescent="0.3">
      <c r="G7157" s="4"/>
      <c r="H7157" s="4"/>
    </row>
    <row r="7158" spans="7:8" x14ac:dyDescent="0.3">
      <c r="G7158" s="4"/>
      <c r="H7158" s="4"/>
    </row>
    <row r="7159" spans="7:8" x14ac:dyDescent="0.3">
      <c r="G7159" s="4"/>
      <c r="H7159" s="4"/>
    </row>
    <row r="7160" spans="7:8" x14ac:dyDescent="0.3">
      <c r="G7160" s="4"/>
      <c r="H7160" s="4"/>
    </row>
    <row r="7161" spans="7:8" x14ac:dyDescent="0.3">
      <c r="G7161" s="4"/>
      <c r="H7161" s="4"/>
    </row>
    <row r="7162" spans="7:8" x14ac:dyDescent="0.3">
      <c r="G7162" s="4"/>
      <c r="H7162" s="4"/>
    </row>
    <row r="7163" spans="7:8" x14ac:dyDescent="0.3">
      <c r="G7163" s="4"/>
      <c r="H7163" s="4"/>
    </row>
    <row r="7164" spans="7:8" x14ac:dyDescent="0.3">
      <c r="G7164" s="4"/>
      <c r="H7164" s="4"/>
    </row>
    <row r="7165" spans="7:8" x14ac:dyDescent="0.3">
      <c r="G7165" s="4"/>
      <c r="H7165" s="4"/>
    </row>
    <row r="7166" spans="7:8" x14ac:dyDescent="0.3">
      <c r="G7166" s="4"/>
      <c r="H7166" s="4"/>
    </row>
    <row r="7167" spans="7:8" x14ac:dyDescent="0.3">
      <c r="G7167" s="4"/>
      <c r="H7167" s="4"/>
    </row>
    <row r="7168" spans="7:8" x14ac:dyDescent="0.3">
      <c r="G7168" s="4"/>
      <c r="H7168" s="4"/>
    </row>
    <row r="7169" spans="7:8" x14ac:dyDescent="0.3">
      <c r="G7169" s="4"/>
      <c r="H7169" s="4"/>
    </row>
    <row r="7170" spans="7:8" x14ac:dyDescent="0.3">
      <c r="G7170" s="4"/>
      <c r="H7170" s="4"/>
    </row>
    <row r="7171" spans="7:8" x14ac:dyDescent="0.3">
      <c r="G7171" s="4"/>
      <c r="H7171" s="4"/>
    </row>
    <row r="7172" spans="7:8" x14ac:dyDescent="0.3">
      <c r="G7172" s="4"/>
      <c r="H7172" s="4"/>
    </row>
    <row r="7173" spans="7:8" x14ac:dyDescent="0.3">
      <c r="G7173" s="4"/>
      <c r="H7173" s="4"/>
    </row>
    <row r="7174" spans="7:8" x14ac:dyDescent="0.3">
      <c r="G7174" s="4"/>
      <c r="H7174" s="4"/>
    </row>
    <row r="7175" spans="7:8" x14ac:dyDescent="0.3">
      <c r="G7175" s="4"/>
      <c r="H7175" s="4"/>
    </row>
    <row r="7176" spans="7:8" x14ac:dyDescent="0.3">
      <c r="G7176" s="4"/>
      <c r="H7176" s="4"/>
    </row>
    <row r="7177" spans="7:8" x14ac:dyDescent="0.3">
      <c r="G7177" s="4"/>
      <c r="H7177" s="4"/>
    </row>
    <row r="7178" spans="7:8" x14ac:dyDescent="0.3">
      <c r="G7178" s="4"/>
      <c r="H7178" s="4"/>
    </row>
    <row r="7179" spans="7:8" x14ac:dyDescent="0.3">
      <c r="G7179" s="4"/>
      <c r="H7179" s="4"/>
    </row>
    <row r="7180" spans="7:8" x14ac:dyDescent="0.3">
      <c r="G7180" s="4"/>
      <c r="H7180" s="4"/>
    </row>
    <row r="7181" spans="7:8" x14ac:dyDescent="0.3">
      <c r="G7181" s="4"/>
      <c r="H7181" s="4"/>
    </row>
    <row r="7182" spans="7:8" x14ac:dyDescent="0.3">
      <c r="G7182" s="4"/>
      <c r="H7182" s="4"/>
    </row>
    <row r="7183" spans="7:8" x14ac:dyDescent="0.3">
      <c r="G7183" s="4"/>
      <c r="H7183" s="4"/>
    </row>
    <row r="7184" spans="7:8" x14ac:dyDescent="0.3">
      <c r="G7184" s="4"/>
      <c r="H7184" s="4"/>
    </row>
    <row r="7185" spans="7:8" x14ac:dyDescent="0.3">
      <c r="G7185" s="4"/>
      <c r="H7185" s="4"/>
    </row>
    <row r="7186" spans="7:8" x14ac:dyDescent="0.3">
      <c r="G7186" s="4"/>
      <c r="H7186" s="4"/>
    </row>
    <row r="7187" spans="7:8" x14ac:dyDescent="0.3">
      <c r="G7187" s="4"/>
      <c r="H7187" s="4"/>
    </row>
    <row r="7188" spans="7:8" x14ac:dyDescent="0.3">
      <c r="G7188" s="4"/>
      <c r="H7188" s="4"/>
    </row>
    <row r="7189" spans="7:8" x14ac:dyDescent="0.3">
      <c r="G7189" s="4"/>
      <c r="H7189" s="4"/>
    </row>
    <row r="7190" spans="7:8" x14ac:dyDescent="0.3">
      <c r="G7190" s="4"/>
      <c r="H7190" s="4"/>
    </row>
    <row r="7191" spans="7:8" x14ac:dyDescent="0.3">
      <c r="G7191" s="4"/>
      <c r="H7191" s="4"/>
    </row>
    <row r="7192" spans="7:8" x14ac:dyDescent="0.3">
      <c r="G7192" s="4"/>
      <c r="H7192" s="4"/>
    </row>
    <row r="7193" spans="7:8" x14ac:dyDescent="0.3">
      <c r="G7193" s="4"/>
      <c r="H7193" s="4"/>
    </row>
    <row r="7194" spans="7:8" x14ac:dyDescent="0.3">
      <c r="G7194" s="4"/>
      <c r="H7194" s="4"/>
    </row>
    <row r="7195" spans="7:8" x14ac:dyDescent="0.3">
      <c r="G7195" s="4"/>
      <c r="H7195" s="4"/>
    </row>
    <row r="7196" spans="7:8" x14ac:dyDescent="0.3">
      <c r="G7196" s="4"/>
      <c r="H7196" s="4"/>
    </row>
    <row r="7197" spans="7:8" x14ac:dyDescent="0.3">
      <c r="G7197" s="4"/>
      <c r="H7197" s="4"/>
    </row>
    <row r="7198" spans="7:8" x14ac:dyDescent="0.3">
      <c r="G7198" s="4"/>
      <c r="H7198" s="4"/>
    </row>
    <row r="7199" spans="7:8" x14ac:dyDescent="0.3">
      <c r="G7199" s="4"/>
      <c r="H7199" s="4"/>
    </row>
    <row r="7200" spans="7:8" x14ac:dyDescent="0.3">
      <c r="G7200" s="4"/>
      <c r="H7200" s="4"/>
    </row>
    <row r="7201" spans="7:8" x14ac:dyDescent="0.3">
      <c r="G7201" s="4"/>
      <c r="H7201" s="4"/>
    </row>
    <row r="7202" spans="7:8" x14ac:dyDescent="0.3">
      <c r="G7202" s="4"/>
      <c r="H7202" s="4"/>
    </row>
    <row r="7203" spans="7:8" x14ac:dyDescent="0.3">
      <c r="G7203" s="4"/>
      <c r="H7203" s="4"/>
    </row>
    <row r="7204" spans="7:8" x14ac:dyDescent="0.3">
      <c r="G7204" s="4"/>
      <c r="H7204" s="4"/>
    </row>
    <row r="7205" spans="7:8" x14ac:dyDescent="0.3">
      <c r="G7205" s="4"/>
      <c r="H7205" s="4"/>
    </row>
    <row r="7206" spans="7:8" x14ac:dyDescent="0.3">
      <c r="G7206" s="4"/>
      <c r="H7206" s="4"/>
    </row>
    <row r="7207" spans="7:8" x14ac:dyDescent="0.3">
      <c r="G7207" s="4"/>
      <c r="H7207" s="4"/>
    </row>
    <row r="7208" spans="7:8" x14ac:dyDescent="0.3">
      <c r="G7208" s="4"/>
      <c r="H7208" s="4"/>
    </row>
    <row r="7209" spans="7:8" x14ac:dyDescent="0.3">
      <c r="G7209" s="4"/>
      <c r="H7209" s="4"/>
    </row>
    <row r="7210" spans="7:8" x14ac:dyDescent="0.3">
      <c r="G7210" s="4"/>
      <c r="H7210" s="4"/>
    </row>
    <row r="7211" spans="7:8" x14ac:dyDescent="0.3">
      <c r="G7211" s="4"/>
      <c r="H7211" s="4"/>
    </row>
    <row r="7212" spans="7:8" x14ac:dyDescent="0.3">
      <c r="G7212" s="4"/>
      <c r="H7212" s="4"/>
    </row>
    <row r="7213" spans="7:8" x14ac:dyDescent="0.3">
      <c r="G7213" s="4"/>
      <c r="H7213" s="4"/>
    </row>
    <row r="7214" spans="7:8" x14ac:dyDescent="0.3">
      <c r="G7214" s="4"/>
      <c r="H7214" s="4"/>
    </row>
    <row r="7215" spans="7:8" x14ac:dyDescent="0.3">
      <c r="G7215" s="4"/>
      <c r="H7215" s="4"/>
    </row>
    <row r="7216" spans="7:8" x14ac:dyDescent="0.3">
      <c r="G7216" s="4"/>
      <c r="H7216" s="4"/>
    </row>
    <row r="7217" spans="7:8" x14ac:dyDescent="0.3">
      <c r="G7217" s="4"/>
      <c r="H7217" s="4"/>
    </row>
    <row r="7218" spans="7:8" x14ac:dyDescent="0.3">
      <c r="G7218" s="4"/>
      <c r="H7218" s="4"/>
    </row>
    <row r="7219" spans="7:8" x14ac:dyDescent="0.3">
      <c r="G7219" s="4"/>
      <c r="H7219" s="4"/>
    </row>
    <row r="7220" spans="7:8" x14ac:dyDescent="0.3">
      <c r="G7220" s="4"/>
      <c r="H7220" s="4"/>
    </row>
    <row r="7221" spans="7:8" x14ac:dyDescent="0.3">
      <c r="G7221" s="4"/>
      <c r="H7221" s="4"/>
    </row>
    <row r="7222" spans="7:8" x14ac:dyDescent="0.3">
      <c r="G7222" s="4"/>
      <c r="H7222" s="4"/>
    </row>
    <row r="7223" spans="7:8" x14ac:dyDescent="0.3">
      <c r="G7223" s="4"/>
      <c r="H7223" s="4"/>
    </row>
    <row r="7224" spans="7:8" x14ac:dyDescent="0.3">
      <c r="G7224" s="4"/>
      <c r="H7224" s="4"/>
    </row>
    <row r="7225" spans="7:8" x14ac:dyDescent="0.3">
      <c r="G7225" s="4"/>
      <c r="H7225" s="4"/>
    </row>
    <row r="7226" spans="7:8" x14ac:dyDescent="0.3">
      <c r="G7226" s="4"/>
      <c r="H7226" s="4"/>
    </row>
    <row r="7227" spans="7:8" x14ac:dyDescent="0.3">
      <c r="G7227" s="4"/>
      <c r="H7227" s="4"/>
    </row>
    <row r="7228" spans="7:8" x14ac:dyDescent="0.3">
      <c r="G7228" s="4"/>
      <c r="H7228" s="4"/>
    </row>
    <row r="7229" spans="7:8" x14ac:dyDescent="0.3">
      <c r="G7229" s="4"/>
      <c r="H7229" s="4"/>
    </row>
    <row r="7230" spans="7:8" x14ac:dyDescent="0.3">
      <c r="G7230" s="4"/>
      <c r="H7230" s="4"/>
    </row>
    <row r="7231" spans="7:8" x14ac:dyDescent="0.3">
      <c r="G7231" s="4"/>
      <c r="H7231" s="4"/>
    </row>
    <row r="7232" spans="7:8" x14ac:dyDescent="0.3">
      <c r="G7232" s="4"/>
      <c r="H7232" s="4"/>
    </row>
    <row r="7233" spans="7:8" x14ac:dyDescent="0.3">
      <c r="G7233" s="4"/>
      <c r="H7233" s="4"/>
    </row>
    <row r="7234" spans="7:8" x14ac:dyDescent="0.3">
      <c r="G7234" s="4"/>
      <c r="H7234" s="4"/>
    </row>
    <row r="7235" spans="7:8" x14ac:dyDescent="0.3">
      <c r="G7235" s="4"/>
      <c r="H7235" s="4"/>
    </row>
    <row r="7236" spans="7:8" x14ac:dyDescent="0.3">
      <c r="G7236" s="4"/>
      <c r="H7236" s="4"/>
    </row>
    <row r="7237" spans="7:8" x14ac:dyDescent="0.3">
      <c r="G7237" s="4"/>
      <c r="H7237" s="4"/>
    </row>
    <row r="7238" spans="7:8" x14ac:dyDescent="0.3">
      <c r="G7238" s="4"/>
      <c r="H7238" s="4"/>
    </row>
    <row r="7239" spans="7:8" x14ac:dyDescent="0.3">
      <c r="G7239" s="4"/>
      <c r="H7239" s="4"/>
    </row>
    <row r="7240" spans="7:8" x14ac:dyDescent="0.3">
      <c r="G7240" s="4"/>
      <c r="H7240" s="4"/>
    </row>
    <row r="7241" spans="7:8" x14ac:dyDescent="0.3">
      <c r="G7241" s="4"/>
      <c r="H7241" s="4"/>
    </row>
    <row r="7242" spans="7:8" x14ac:dyDescent="0.3">
      <c r="G7242" s="4"/>
      <c r="H7242" s="4"/>
    </row>
    <row r="7243" spans="7:8" x14ac:dyDescent="0.3">
      <c r="G7243" s="4"/>
      <c r="H7243" s="4"/>
    </row>
    <row r="7244" spans="7:8" x14ac:dyDescent="0.3">
      <c r="G7244" s="4"/>
      <c r="H7244" s="4"/>
    </row>
    <row r="7245" spans="7:8" x14ac:dyDescent="0.3">
      <c r="G7245" s="4"/>
      <c r="H7245" s="4"/>
    </row>
    <row r="7246" spans="7:8" x14ac:dyDescent="0.3">
      <c r="G7246" s="4"/>
      <c r="H7246" s="4"/>
    </row>
    <row r="7247" spans="7:8" x14ac:dyDescent="0.3">
      <c r="G7247" s="4"/>
      <c r="H7247" s="4"/>
    </row>
    <row r="7248" spans="7:8" x14ac:dyDescent="0.3">
      <c r="G7248" s="4"/>
      <c r="H7248" s="4"/>
    </row>
    <row r="7249" spans="7:8" x14ac:dyDescent="0.3">
      <c r="G7249" s="4"/>
      <c r="H7249" s="4"/>
    </row>
    <row r="7250" spans="7:8" x14ac:dyDescent="0.3">
      <c r="G7250" s="4"/>
      <c r="H7250" s="4"/>
    </row>
    <row r="7251" spans="7:8" x14ac:dyDescent="0.3">
      <c r="G7251" s="4"/>
      <c r="H7251" s="4"/>
    </row>
    <row r="7252" spans="7:8" x14ac:dyDescent="0.3">
      <c r="G7252" s="4"/>
      <c r="H7252" s="4"/>
    </row>
    <row r="7253" spans="7:8" x14ac:dyDescent="0.3">
      <c r="G7253" s="4"/>
      <c r="H7253" s="4"/>
    </row>
    <row r="7254" spans="7:8" x14ac:dyDescent="0.3">
      <c r="G7254" s="4"/>
      <c r="H7254" s="4"/>
    </row>
    <row r="7255" spans="7:8" x14ac:dyDescent="0.3">
      <c r="G7255" s="4"/>
      <c r="H7255" s="4"/>
    </row>
    <row r="7256" spans="7:8" x14ac:dyDescent="0.3">
      <c r="G7256" s="4"/>
      <c r="H7256" s="4"/>
    </row>
    <row r="7257" spans="7:8" x14ac:dyDescent="0.3">
      <c r="G7257" s="4"/>
      <c r="H7257" s="4"/>
    </row>
    <row r="7258" spans="7:8" x14ac:dyDescent="0.3">
      <c r="G7258" s="4"/>
      <c r="H7258" s="4"/>
    </row>
    <row r="7259" spans="7:8" x14ac:dyDescent="0.3">
      <c r="G7259" s="4"/>
      <c r="H7259" s="4"/>
    </row>
    <row r="7260" spans="7:8" x14ac:dyDescent="0.3">
      <c r="G7260" s="4"/>
      <c r="H7260" s="4"/>
    </row>
    <row r="7261" spans="7:8" x14ac:dyDescent="0.3">
      <c r="G7261" s="4"/>
      <c r="H7261" s="4"/>
    </row>
    <row r="7262" spans="7:8" x14ac:dyDescent="0.3">
      <c r="G7262" s="4"/>
      <c r="H7262" s="4"/>
    </row>
    <row r="7263" spans="7:8" x14ac:dyDescent="0.3">
      <c r="G7263" s="4"/>
      <c r="H7263" s="4"/>
    </row>
    <row r="7264" spans="7:8" x14ac:dyDescent="0.3">
      <c r="G7264" s="4"/>
      <c r="H7264" s="4"/>
    </row>
    <row r="7265" spans="7:8" x14ac:dyDescent="0.3">
      <c r="G7265" s="4"/>
      <c r="H7265" s="4"/>
    </row>
    <row r="7266" spans="7:8" x14ac:dyDescent="0.3">
      <c r="G7266" s="4"/>
      <c r="H7266" s="4"/>
    </row>
    <row r="7267" spans="7:8" x14ac:dyDescent="0.3">
      <c r="G7267" s="4"/>
      <c r="H7267" s="4"/>
    </row>
    <row r="7268" spans="7:8" x14ac:dyDescent="0.3">
      <c r="G7268" s="4"/>
      <c r="H7268" s="4"/>
    </row>
    <row r="7269" spans="7:8" x14ac:dyDescent="0.3">
      <c r="G7269" s="4"/>
      <c r="H7269" s="4"/>
    </row>
    <row r="7270" spans="7:8" x14ac:dyDescent="0.3">
      <c r="G7270" s="4"/>
      <c r="H7270" s="4"/>
    </row>
    <row r="7271" spans="7:8" x14ac:dyDescent="0.3">
      <c r="G7271" s="4"/>
      <c r="H7271" s="4"/>
    </row>
    <row r="7272" spans="7:8" x14ac:dyDescent="0.3">
      <c r="G7272" s="4"/>
      <c r="H7272" s="4"/>
    </row>
    <row r="7273" spans="7:8" x14ac:dyDescent="0.3">
      <c r="G7273" s="4"/>
      <c r="H7273" s="4"/>
    </row>
    <row r="7274" spans="7:8" x14ac:dyDescent="0.3">
      <c r="G7274" s="4"/>
      <c r="H7274" s="4"/>
    </row>
    <row r="7275" spans="7:8" x14ac:dyDescent="0.3">
      <c r="G7275" s="4"/>
      <c r="H7275" s="4"/>
    </row>
    <row r="7276" spans="7:8" x14ac:dyDescent="0.3">
      <c r="G7276" s="4"/>
      <c r="H7276" s="4"/>
    </row>
    <row r="7277" spans="7:8" x14ac:dyDescent="0.3">
      <c r="G7277" s="4"/>
      <c r="H7277" s="4"/>
    </row>
    <row r="7278" spans="7:8" x14ac:dyDescent="0.3">
      <c r="G7278" s="4"/>
      <c r="H7278" s="4"/>
    </row>
    <row r="7279" spans="7:8" x14ac:dyDescent="0.3">
      <c r="G7279" s="4"/>
      <c r="H7279" s="4"/>
    </row>
    <row r="7280" spans="7:8" x14ac:dyDescent="0.3">
      <c r="G7280" s="4"/>
      <c r="H7280" s="4"/>
    </row>
    <row r="7281" spans="7:8" x14ac:dyDescent="0.3">
      <c r="G7281" s="4"/>
      <c r="H7281" s="4"/>
    </row>
    <row r="7282" spans="7:8" x14ac:dyDescent="0.3">
      <c r="G7282" s="4"/>
      <c r="H7282" s="4"/>
    </row>
    <row r="7283" spans="7:8" x14ac:dyDescent="0.3">
      <c r="G7283" s="4"/>
      <c r="H7283" s="4"/>
    </row>
    <row r="7284" spans="7:8" x14ac:dyDescent="0.3">
      <c r="G7284" s="4"/>
      <c r="H7284" s="4"/>
    </row>
    <row r="7285" spans="7:8" x14ac:dyDescent="0.3">
      <c r="G7285" s="4"/>
      <c r="H7285" s="4"/>
    </row>
    <row r="7286" spans="7:8" x14ac:dyDescent="0.3">
      <c r="G7286" s="4"/>
      <c r="H7286" s="4"/>
    </row>
    <row r="7287" spans="7:8" x14ac:dyDescent="0.3">
      <c r="G7287" s="4"/>
      <c r="H7287" s="4"/>
    </row>
    <row r="7288" spans="7:8" x14ac:dyDescent="0.3">
      <c r="G7288" s="4"/>
      <c r="H7288" s="4"/>
    </row>
    <row r="7289" spans="7:8" x14ac:dyDescent="0.3">
      <c r="G7289" s="4"/>
      <c r="H7289" s="4"/>
    </row>
    <row r="7290" spans="7:8" x14ac:dyDescent="0.3">
      <c r="G7290" s="4"/>
      <c r="H7290" s="4"/>
    </row>
    <row r="7291" spans="7:8" x14ac:dyDescent="0.3">
      <c r="G7291" s="4"/>
      <c r="H7291" s="4"/>
    </row>
    <row r="7292" spans="7:8" x14ac:dyDescent="0.3">
      <c r="G7292" s="4"/>
      <c r="H7292" s="4"/>
    </row>
    <row r="7293" spans="7:8" x14ac:dyDescent="0.3">
      <c r="G7293" s="4"/>
      <c r="H7293" s="4"/>
    </row>
    <row r="7294" spans="7:8" x14ac:dyDescent="0.3">
      <c r="G7294" s="4"/>
      <c r="H7294" s="4"/>
    </row>
    <row r="7295" spans="7:8" x14ac:dyDescent="0.3">
      <c r="G7295" s="4"/>
      <c r="H7295" s="4"/>
    </row>
    <row r="7296" spans="7:8" x14ac:dyDescent="0.3">
      <c r="G7296" s="4"/>
      <c r="H7296" s="4"/>
    </row>
    <row r="7297" spans="7:8" x14ac:dyDescent="0.3">
      <c r="G7297" s="4"/>
      <c r="H7297" s="4"/>
    </row>
    <row r="7298" spans="7:8" x14ac:dyDescent="0.3">
      <c r="G7298" s="4"/>
      <c r="H7298" s="4"/>
    </row>
    <row r="7299" spans="7:8" x14ac:dyDescent="0.3">
      <c r="G7299" s="4"/>
      <c r="H7299" s="4"/>
    </row>
    <row r="7300" spans="7:8" x14ac:dyDescent="0.3">
      <c r="G7300" s="4"/>
      <c r="H7300" s="4"/>
    </row>
    <row r="7301" spans="7:8" x14ac:dyDescent="0.3">
      <c r="G7301" s="4"/>
      <c r="H7301" s="4"/>
    </row>
    <row r="7302" spans="7:8" x14ac:dyDescent="0.3">
      <c r="G7302" s="4"/>
      <c r="H7302" s="4"/>
    </row>
    <row r="7303" spans="7:8" x14ac:dyDescent="0.3">
      <c r="G7303" s="4"/>
      <c r="H7303" s="4"/>
    </row>
    <row r="7304" spans="7:8" x14ac:dyDescent="0.3">
      <c r="G7304" s="4"/>
      <c r="H7304" s="4"/>
    </row>
    <row r="7305" spans="7:8" x14ac:dyDescent="0.3">
      <c r="G7305" s="4"/>
      <c r="H7305" s="4"/>
    </row>
    <row r="7306" spans="7:8" x14ac:dyDescent="0.3">
      <c r="G7306" s="4"/>
      <c r="H7306" s="4"/>
    </row>
    <row r="7307" spans="7:8" x14ac:dyDescent="0.3">
      <c r="G7307" s="4"/>
      <c r="H7307" s="4"/>
    </row>
    <row r="7308" spans="7:8" x14ac:dyDescent="0.3">
      <c r="G7308" s="4"/>
      <c r="H7308" s="4"/>
    </row>
    <row r="7309" spans="7:8" x14ac:dyDescent="0.3">
      <c r="G7309" s="4"/>
      <c r="H7309" s="4"/>
    </row>
    <row r="7310" spans="7:8" x14ac:dyDescent="0.3">
      <c r="G7310" s="4"/>
      <c r="H7310" s="4"/>
    </row>
    <row r="7311" spans="7:8" x14ac:dyDescent="0.3">
      <c r="G7311" s="4"/>
      <c r="H7311" s="4"/>
    </row>
    <row r="7312" spans="7:8" x14ac:dyDescent="0.3">
      <c r="G7312" s="4"/>
      <c r="H7312" s="4"/>
    </row>
    <row r="7313" spans="7:8" x14ac:dyDescent="0.3">
      <c r="G7313" s="4"/>
      <c r="H7313" s="4"/>
    </row>
    <row r="7314" spans="7:8" x14ac:dyDescent="0.3">
      <c r="G7314" s="4"/>
      <c r="H7314" s="4"/>
    </row>
    <row r="7315" spans="7:8" x14ac:dyDescent="0.3">
      <c r="G7315" s="4"/>
      <c r="H7315" s="4"/>
    </row>
    <row r="7316" spans="7:8" x14ac:dyDescent="0.3">
      <c r="G7316" s="4"/>
      <c r="H7316" s="4"/>
    </row>
    <row r="7317" spans="7:8" x14ac:dyDescent="0.3">
      <c r="G7317" s="4"/>
      <c r="H7317" s="4"/>
    </row>
    <row r="7318" spans="7:8" x14ac:dyDescent="0.3">
      <c r="G7318" s="4"/>
      <c r="H7318" s="4"/>
    </row>
    <row r="7319" spans="7:8" x14ac:dyDescent="0.3">
      <c r="G7319" s="4"/>
      <c r="H7319" s="4"/>
    </row>
    <row r="7320" spans="7:8" x14ac:dyDescent="0.3">
      <c r="G7320" s="4"/>
      <c r="H7320" s="4"/>
    </row>
    <row r="7321" spans="7:8" x14ac:dyDescent="0.3">
      <c r="G7321" s="4"/>
      <c r="H7321" s="4"/>
    </row>
    <row r="7322" spans="7:8" x14ac:dyDescent="0.3">
      <c r="G7322" s="4"/>
      <c r="H7322" s="4"/>
    </row>
    <row r="7323" spans="7:8" x14ac:dyDescent="0.3">
      <c r="G7323" s="4"/>
      <c r="H7323" s="4"/>
    </row>
    <row r="7324" spans="7:8" x14ac:dyDescent="0.3">
      <c r="G7324" s="4"/>
      <c r="H7324" s="4"/>
    </row>
    <row r="7325" spans="7:8" x14ac:dyDescent="0.3">
      <c r="G7325" s="4"/>
      <c r="H7325" s="4"/>
    </row>
    <row r="7326" spans="7:8" x14ac:dyDescent="0.3">
      <c r="G7326" s="4"/>
      <c r="H7326" s="4"/>
    </row>
    <row r="7327" spans="7:8" x14ac:dyDescent="0.3">
      <c r="G7327" s="4"/>
      <c r="H7327" s="4"/>
    </row>
    <row r="7328" spans="7:8" x14ac:dyDescent="0.3">
      <c r="G7328" s="4"/>
      <c r="H7328" s="4"/>
    </row>
    <row r="7329" spans="7:8" x14ac:dyDescent="0.3">
      <c r="G7329" s="4"/>
      <c r="H7329" s="4"/>
    </row>
    <row r="7330" spans="7:8" x14ac:dyDescent="0.3">
      <c r="G7330" s="4"/>
      <c r="H7330" s="4"/>
    </row>
    <row r="7331" spans="7:8" x14ac:dyDescent="0.3">
      <c r="G7331" s="4"/>
      <c r="H7331" s="4"/>
    </row>
    <row r="7332" spans="7:8" x14ac:dyDescent="0.3">
      <c r="G7332" s="4"/>
      <c r="H7332" s="4"/>
    </row>
    <row r="7333" spans="7:8" x14ac:dyDescent="0.3">
      <c r="G7333" s="4"/>
      <c r="H7333" s="4"/>
    </row>
    <row r="7334" spans="7:8" x14ac:dyDescent="0.3">
      <c r="G7334" s="4"/>
      <c r="H7334" s="4"/>
    </row>
    <row r="7335" spans="7:8" x14ac:dyDescent="0.3">
      <c r="G7335" s="4"/>
      <c r="H7335" s="4"/>
    </row>
    <row r="7336" spans="7:8" x14ac:dyDescent="0.3">
      <c r="G7336" s="4"/>
      <c r="H7336" s="4"/>
    </row>
    <row r="7337" spans="7:8" x14ac:dyDescent="0.3">
      <c r="G7337" s="4"/>
      <c r="H7337" s="4"/>
    </row>
    <row r="7338" spans="7:8" x14ac:dyDescent="0.3">
      <c r="G7338" s="4"/>
      <c r="H7338" s="4"/>
    </row>
    <row r="7339" spans="7:8" x14ac:dyDescent="0.3">
      <c r="G7339" s="4"/>
      <c r="H7339" s="4"/>
    </row>
    <row r="7340" spans="7:8" x14ac:dyDescent="0.3">
      <c r="G7340" s="4"/>
      <c r="H7340" s="4"/>
    </row>
    <row r="7341" spans="7:8" x14ac:dyDescent="0.3">
      <c r="G7341" s="4"/>
      <c r="H7341" s="4"/>
    </row>
    <row r="7342" spans="7:8" x14ac:dyDescent="0.3">
      <c r="G7342" s="4"/>
      <c r="H7342" s="4"/>
    </row>
    <row r="7343" spans="7:8" x14ac:dyDescent="0.3">
      <c r="G7343" s="4"/>
      <c r="H7343" s="4"/>
    </row>
    <row r="7344" spans="7:8" x14ac:dyDescent="0.3">
      <c r="G7344" s="4"/>
      <c r="H7344" s="4"/>
    </row>
    <row r="7345" spans="7:8" x14ac:dyDescent="0.3">
      <c r="G7345" s="4"/>
      <c r="H7345" s="4"/>
    </row>
    <row r="7346" spans="7:8" x14ac:dyDescent="0.3">
      <c r="G7346" s="4"/>
      <c r="H7346" s="4"/>
    </row>
    <row r="7347" spans="7:8" x14ac:dyDescent="0.3">
      <c r="G7347" s="4"/>
      <c r="H7347" s="4"/>
    </row>
    <row r="7348" spans="7:8" x14ac:dyDescent="0.3">
      <c r="G7348" s="4"/>
      <c r="H7348" s="4"/>
    </row>
    <row r="7349" spans="7:8" x14ac:dyDescent="0.3">
      <c r="G7349" s="4"/>
      <c r="H7349" s="4"/>
    </row>
    <row r="7350" spans="7:8" x14ac:dyDescent="0.3">
      <c r="G7350" s="4"/>
      <c r="H7350" s="4"/>
    </row>
    <row r="7351" spans="7:8" x14ac:dyDescent="0.3">
      <c r="G7351" s="4"/>
      <c r="H7351" s="4"/>
    </row>
    <row r="7352" spans="7:8" x14ac:dyDescent="0.3">
      <c r="G7352" s="4"/>
      <c r="H7352" s="4"/>
    </row>
    <row r="7353" spans="7:8" x14ac:dyDescent="0.3">
      <c r="G7353" s="4"/>
      <c r="H7353" s="4"/>
    </row>
    <row r="7354" spans="7:8" x14ac:dyDescent="0.3">
      <c r="G7354" s="4"/>
      <c r="H7354" s="4"/>
    </row>
    <row r="7355" spans="7:8" x14ac:dyDescent="0.3">
      <c r="G7355" s="4"/>
      <c r="H7355" s="4"/>
    </row>
    <row r="7356" spans="7:8" x14ac:dyDescent="0.3">
      <c r="G7356" s="4"/>
      <c r="H7356" s="4"/>
    </row>
    <row r="7357" spans="7:8" x14ac:dyDescent="0.3">
      <c r="G7357" s="4"/>
      <c r="H7357" s="4"/>
    </row>
    <row r="7358" spans="7:8" x14ac:dyDescent="0.3">
      <c r="G7358" s="4"/>
      <c r="H7358" s="4"/>
    </row>
    <row r="7359" spans="7:8" x14ac:dyDescent="0.3">
      <c r="G7359" s="4"/>
      <c r="H7359" s="4"/>
    </row>
    <row r="7360" spans="7:8" x14ac:dyDescent="0.3">
      <c r="G7360" s="4"/>
      <c r="H7360" s="4"/>
    </row>
    <row r="7361" spans="7:8" x14ac:dyDescent="0.3">
      <c r="G7361" s="4"/>
      <c r="H7361" s="4"/>
    </row>
    <row r="7362" spans="7:8" x14ac:dyDescent="0.3">
      <c r="G7362" s="4"/>
      <c r="H7362" s="4"/>
    </row>
    <row r="7363" spans="7:8" x14ac:dyDescent="0.3">
      <c r="G7363" s="4"/>
      <c r="H7363" s="4"/>
    </row>
    <row r="7364" spans="7:8" x14ac:dyDescent="0.3">
      <c r="G7364" s="4"/>
      <c r="H7364" s="4"/>
    </row>
    <row r="7365" spans="7:8" x14ac:dyDescent="0.3">
      <c r="G7365" s="4"/>
      <c r="H7365" s="4"/>
    </row>
    <row r="7366" spans="7:8" x14ac:dyDescent="0.3">
      <c r="G7366" s="4"/>
      <c r="H7366" s="4"/>
    </row>
    <row r="7367" spans="7:8" x14ac:dyDescent="0.3">
      <c r="G7367" s="4"/>
      <c r="H7367" s="4"/>
    </row>
    <row r="7368" spans="7:8" x14ac:dyDescent="0.3">
      <c r="G7368" s="4"/>
      <c r="H7368" s="4"/>
    </row>
    <row r="7369" spans="7:8" x14ac:dyDescent="0.3">
      <c r="G7369" s="4"/>
      <c r="H7369" s="4"/>
    </row>
    <row r="7370" spans="7:8" x14ac:dyDescent="0.3">
      <c r="G7370" s="4"/>
      <c r="H7370" s="4"/>
    </row>
    <row r="7371" spans="7:8" x14ac:dyDescent="0.3">
      <c r="G7371" s="4"/>
      <c r="H7371" s="4"/>
    </row>
    <row r="7372" spans="7:8" x14ac:dyDescent="0.3">
      <c r="G7372" s="4"/>
      <c r="H7372" s="4"/>
    </row>
    <row r="7373" spans="7:8" x14ac:dyDescent="0.3">
      <c r="G7373" s="4"/>
      <c r="H7373" s="4"/>
    </row>
    <row r="7374" spans="7:8" x14ac:dyDescent="0.3">
      <c r="G7374" s="4"/>
      <c r="H7374" s="4"/>
    </row>
    <row r="7375" spans="7:8" x14ac:dyDescent="0.3">
      <c r="G7375" s="4"/>
      <c r="H7375" s="4"/>
    </row>
    <row r="7376" spans="7:8" x14ac:dyDescent="0.3">
      <c r="G7376" s="4"/>
      <c r="H7376" s="4"/>
    </row>
    <row r="7377" spans="7:8" x14ac:dyDescent="0.3">
      <c r="G7377" s="4"/>
      <c r="H7377" s="4"/>
    </row>
    <row r="7378" spans="7:8" x14ac:dyDescent="0.3">
      <c r="G7378" s="4"/>
      <c r="H7378" s="4"/>
    </row>
    <row r="7379" spans="7:8" x14ac:dyDescent="0.3">
      <c r="G7379" s="4"/>
      <c r="H7379" s="4"/>
    </row>
    <row r="7380" spans="7:8" x14ac:dyDescent="0.3">
      <c r="G7380" s="4"/>
      <c r="H7380" s="4"/>
    </row>
    <row r="7381" spans="7:8" x14ac:dyDescent="0.3">
      <c r="G7381" s="4"/>
      <c r="H7381" s="4"/>
    </row>
    <row r="7382" spans="7:8" x14ac:dyDescent="0.3">
      <c r="G7382" s="4"/>
      <c r="H7382" s="4"/>
    </row>
    <row r="7383" spans="7:8" x14ac:dyDescent="0.3">
      <c r="G7383" s="4"/>
      <c r="H7383" s="4"/>
    </row>
    <row r="7384" spans="7:8" x14ac:dyDescent="0.3">
      <c r="G7384" s="4"/>
      <c r="H7384" s="4"/>
    </row>
    <row r="7385" spans="7:8" x14ac:dyDescent="0.3">
      <c r="G7385" s="4"/>
      <c r="H7385" s="4"/>
    </row>
    <row r="7386" spans="7:8" x14ac:dyDescent="0.3">
      <c r="G7386" s="4"/>
      <c r="H7386" s="4"/>
    </row>
    <row r="7387" spans="7:8" x14ac:dyDescent="0.3">
      <c r="G7387" s="4"/>
      <c r="H7387" s="4"/>
    </row>
    <row r="7388" spans="7:8" x14ac:dyDescent="0.3">
      <c r="G7388" s="4"/>
      <c r="H7388" s="4"/>
    </row>
    <row r="7389" spans="7:8" x14ac:dyDescent="0.3">
      <c r="G7389" s="4"/>
      <c r="H7389" s="4"/>
    </row>
    <row r="7390" spans="7:8" x14ac:dyDescent="0.3">
      <c r="G7390" s="4"/>
      <c r="H7390" s="4"/>
    </row>
    <row r="7391" spans="7:8" x14ac:dyDescent="0.3">
      <c r="G7391" s="4"/>
      <c r="H7391" s="4"/>
    </row>
    <row r="7392" spans="7:8" x14ac:dyDescent="0.3">
      <c r="G7392" s="4"/>
      <c r="H7392" s="4"/>
    </row>
    <row r="7393" spans="7:8" x14ac:dyDescent="0.3">
      <c r="G7393" s="4"/>
      <c r="H7393" s="4"/>
    </row>
    <row r="7394" spans="7:8" x14ac:dyDescent="0.3">
      <c r="G7394" s="4"/>
      <c r="H7394" s="4"/>
    </row>
    <row r="7395" spans="7:8" x14ac:dyDescent="0.3">
      <c r="G7395" s="4"/>
      <c r="H7395" s="4"/>
    </row>
    <row r="7396" spans="7:8" x14ac:dyDescent="0.3">
      <c r="G7396" s="4"/>
      <c r="H7396" s="4"/>
    </row>
    <row r="7397" spans="7:8" x14ac:dyDescent="0.3">
      <c r="G7397" s="4"/>
      <c r="H7397" s="4"/>
    </row>
    <row r="7398" spans="7:8" x14ac:dyDescent="0.3">
      <c r="G7398" s="4"/>
      <c r="H7398" s="4"/>
    </row>
    <row r="7399" spans="7:8" x14ac:dyDescent="0.3">
      <c r="G7399" s="4"/>
      <c r="H7399" s="4"/>
    </row>
    <row r="7400" spans="7:8" x14ac:dyDescent="0.3">
      <c r="G7400" s="4"/>
      <c r="H7400" s="4"/>
    </row>
    <row r="7401" spans="7:8" x14ac:dyDescent="0.3">
      <c r="G7401" s="4"/>
      <c r="H7401" s="4"/>
    </row>
    <row r="7402" spans="7:8" x14ac:dyDescent="0.3">
      <c r="G7402" s="4"/>
      <c r="H7402" s="4"/>
    </row>
    <row r="7403" spans="7:8" x14ac:dyDescent="0.3">
      <c r="G7403" s="4"/>
      <c r="H7403" s="4"/>
    </row>
    <row r="7404" spans="7:8" x14ac:dyDescent="0.3">
      <c r="G7404" s="4"/>
      <c r="H7404" s="4"/>
    </row>
    <row r="7405" spans="7:8" x14ac:dyDescent="0.3">
      <c r="G7405" s="4"/>
      <c r="H7405" s="4"/>
    </row>
    <row r="7406" spans="7:8" x14ac:dyDescent="0.3">
      <c r="G7406" s="4"/>
      <c r="H7406" s="4"/>
    </row>
    <row r="7407" spans="7:8" x14ac:dyDescent="0.3">
      <c r="G7407" s="4"/>
      <c r="H7407" s="4"/>
    </row>
    <row r="7408" spans="7:8" x14ac:dyDescent="0.3">
      <c r="G7408" s="4"/>
      <c r="H7408" s="4"/>
    </row>
    <row r="7409" spans="7:8" x14ac:dyDescent="0.3">
      <c r="G7409" s="4"/>
      <c r="H7409" s="4"/>
    </row>
    <row r="7410" spans="7:8" x14ac:dyDescent="0.3">
      <c r="G7410" s="4"/>
      <c r="H7410" s="4"/>
    </row>
    <row r="7411" spans="7:8" x14ac:dyDescent="0.3">
      <c r="G7411" s="4"/>
      <c r="H7411" s="4"/>
    </row>
    <row r="7412" spans="7:8" x14ac:dyDescent="0.3">
      <c r="G7412" s="4"/>
      <c r="H7412" s="4"/>
    </row>
    <row r="7413" spans="7:8" x14ac:dyDescent="0.3">
      <c r="G7413" s="4"/>
      <c r="H7413" s="4"/>
    </row>
    <row r="7414" spans="7:8" x14ac:dyDescent="0.3">
      <c r="G7414" s="4"/>
      <c r="H7414" s="4"/>
    </row>
    <row r="7415" spans="7:8" x14ac:dyDescent="0.3">
      <c r="G7415" s="4"/>
      <c r="H7415" s="4"/>
    </row>
    <row r="7416" spans="7:8" x14ac:dyDescent="0.3">
      <c r="G7416" s="4"/>
      <c r="H7416" s="4"/>
    </row>
    <row r="7417" spans="7:8" x14ac:dyDescent="0.3">
      <c r="G7417" s="4"/>
      <c r="H7417" s="4"/>
    </row>
    <row r="7418" spans="7:8" x14ac:dyDescent="0.3">
      <c r="G7418" s="4"/>
      <c r="H7418" s="4"/>
    </row>
    <row r="7419" spans="7:8" x14ac:dyDescent="0.3">
      <c r="G7419" s="4"/>
      <c r="H7419" s="4"/>
    </row>
    <row r="7420" spans="7:8" x14ac:dyDescent="0.3">
      <c r="G7420" s="4"/>
      <c r="H7420" s="4"/>
    </row>
    <row r="7421" spans="7:8" x14ac:dyDescent="0.3">
      <c r="G7421" s="4"/>
      <c r="H7421" s="4"/>
    </row>
    <row r="7422" spans="7:8" x14ac:dyDescent="0.3">
      <c r="G7422" s="4"/>
      <c r="H7422" s="4"/>
    </row>
    <row r="7423" spans="7:8" x14ac:dyDescent="0.3">
      <c r="G7423" s="4"/>
      <c r="H7423" s="4"/>
    </row>
    <row r="7424" spans="7:8" x14ac:dyDescent="0.3">
      <c r="G7424" s="4"/>
      <c r="H7424" s="4"/>
    </row>
    <row r="7425" spans="7:8" x14ac:dyDescent="0.3">
      <c r="G7425" s="4"/>
      <c r="H7425" s="4"/>
    </row>
    <row r="7426" spans="7:8" x14ac:dyDescent="0.3">
      <c r="G7426" s="4"/>
      <c r="H7426" s="4"/>
    </row>
    <row r="7427" spans="7:8" x14ac:dyDescent="0.3">
      <c r="G7427" s="4"/>
      <c r="H7427" s="4"/>
    </row>
    <row r="7428" spans="7:8" x14ac:dyDescent="0.3">
      <c r="G7428" s="4"/>
      <c r="H7428" s="4"/>
    </row>
    <row r="7429" spans="7:8" x14ac:dyDescent="0.3">
      <c r="G7429" s="4"/>
      <c r="H7429" s="4"/>
    </row>
    <row r="7430" spans="7:8" x14ac:dyDescent="0.3">
      <c r="G7430" s="4"/>
      <c r="H7430" s="4"/>
    </row>
    <row r="7431" spans="7:8" x14ac:dyDescent="0.3">
      <c r="G7431" s="4"/>
      <c r="H7431" s="4"/>
    </row>
    <row r="7432" spans="7:8" x14ac:dyDescent="0.3">
      <c r="G7432" s="4"/>
      <c r="H7432" s="4"/>
    </row>
    <row r="7433" spans="7:8" x14ac:dyDescent="0.3">
      <c r="G7433" s="4"/>
      <c r="H7433" s="4"/>
    </row>
    <row r="7434" spans="7:8" x14ac:dyDescent="0.3">
      <c r="G7434" s="4"/>
      <c r="H7434" s="4"/>
    </row>
    <row r="7435" spans="7:8" x14ac:dyDescent="0.3">
      <c r="G7435" s="4"/>
      <c r="H7435" s="4"/>
    </row>
    <row r="7436" spans="7:8" x14ac:dyDescent="0.3">
      <c r="G7436" s="4"/>
      <c r="H7436" s="4"/>
    </row>
    <row r="7437" spans="7:8" x14ac:dyDescent="0.3">
      <c r="G7437" s="4"/>
      <c r="H7437" s="4"/>
    </row>
    <row r="7438" spans="7:8" x14ac:dyDescent="0.3">
      <c r="G7438" s="4"/>
      <c r="H7438" s="4"/>
    </row>
    <row r="7439" spans="7:8" x14ac:dyDescent="0.3">
      <c r="G7439" s="4"/>
      <c r="H7439" s="4"/>
    </row>
    <row r="7440" spans="7:8" x14ac:dyDescent="0.3">
      <c r="G7440" s="4"/>
      <c r="H7440" s="4"/>
    </row>
    <row r="7441" spans="7:8" x14ac:dyDescent="0.3">
      <c r="G7441" s="4"/>
      <c r="H7441" s="4"/>
    </row>
    <row r="7442" spans="7:8" x14ac:dyDescent="0.3">
      <c r="G7442" s="4"/>
      <c r="H7442" s="4"/>
    </row>
    <row r="7443" spans="7:8" x14ac:dyDescent="0.3">
      <c r="G7443" s="4"/>
      <c r="H7443" s="4"/>
    </row>
    <row r="7444" spans="7:8" x14ac:dyDescent="0.3">
      <c r="G7444" s="4"/>
      <c r="H7444" s="4"/>
    </row>
    <row r="7445" spans="7:8" x14ac:dyDescent="0.3">
      <c r="G7445" s="4"/>
      <c r="H7445" s="4"/>
    </row>
    <row r="7446" spans="7:8" x14ac:dyDescent="0.3">
      <c r="G7446" s="4"/>
      <c r="H7446" s="4"/>
    </row>
    <row r="7447" spans="7:8" x14ac:dyDescent="0.3">
      <c r="G7447" s="4"/>
      <c r="H7447" s="4"/>
    </row>
    <row r="7448" spans="7:8" x14ac:dyDescent="0.3">
      <c r="G7448" s="4"/>
      <c r="H7448" s="4"/>
    </row>
    <row r="7449" spans="7:8" x14ac:dyDescent="0.3">
      <c r="G7449" s="4"/>
      <c r="H7449" s="4"/>
    </row>
    <row r="7450" spans="7:8" x14ac:dyDescent="0.3">
      <c r="G7450" s="4"/>
      <c r="H7450" s="4"/>
    </row>
    <row r="7451" spans="7:8" x14ac:dyDescent="0.3">
      <c r="G7451" s="4"/>
      <c r="H7451" s="4"/>
    </row>
    <row r="7452" spans="7:8" x14ac:dyDescent="0.3">
      <c r="G7452" s="4"/>
      <c r="H7452" s="4"/>
    </row>
    <row r="7453" spans="7:8" x14ac:dyDescent="0.3">
      <c r="G7453" s="4"/>
      <c r="H7453" s="4"/>
    </row>
    <row r="7454" spans="7:8" x14ac:dyDescent="0.3">
      <c r="G7454" s="4"/>
      <c r="H7454" s="4"/>
    </row>
    <row r="7455" spans="7:8" x14ac:dyDescent="0.3">
      <c r="G7455" s="4"/>
      <c r="H7455" s="4"/>
    </row>
    <row r="7456" spans="7:8" x14ac:dyDescent="0.3">
      <c r="G7456" s="4"/>
      <c r="H7456" s="4"/>
    </row>
    <row r="7457" spans="7:8" x14ac:dyDescent="0.3">
      <c r="G7457" s="4"/>
      <c r="H7457" s="4"/>
    </row>
    <row r="7458" spans="7:8" x14ac:dyDescent="0.3">
      <c r="G7458" s="4"/>
      <c r="H7458" s="4"/>
    </row>
    <row r="7459" spans="7:8" x14ac:dyDescent="0.3">
      <c r="G7459" s="4"/>
      <c r="H7459" s="4"/>
    </row>
    <row r="7460" spans="7:8" x14ac:dyDescent="0.3">
      <c r="G7460" s="4"/>
      <c r="H7460" s="4"/>
    </row>
    <row r="7461" spans="7:8" x14ac:dyDescent="0.3">
      <c r="G7461" s="4"/>
      <c r="H7461" s="4"/>
    </row>
    <row r="7462" spans="7:8" x14ac:dyDescent="0.3">
      <c r="G7462" s="4"/>
      <c r="H7462" s="4"/>
    </row>
    <row r="7463" spans="7:8" x14ac:dyDescent="0.3">
      <c r="G7463" s="4"/>
      <c r="H7463" s="4"/>
    </row>
    <row r="7464" spans="7:8" x14ac:dyDescent="0.3">
      <c r="G7464" s="4"/>
      <c r="H7464" s="4"/>
    </row>
    <row r="7465" spans="7:8" x14ac:dyDescent="0.3">
      <c r="G7465" s="4"/>
      <c r="H7465" s="4"/>
    </row>
    <row r="7466" spans="7:8" x14ac:dyDescent="0.3">
      <c r="G7466" s="4"/>
      <c r="H7466" s="4"/>
    </row>
    <row r="7467" spans="7:8" x14ac:dyDescent="0.3">
      <c r="G7467" s="4"/>
      <c r="H7467" s="4"/>
    </row>
    <row r="7468" spans="7:8" x14ac:dyDescent="0.3">
      <c r="G7468" s="4"/>
      <c r="H7468" s="4"/>
    </row>
    <row r="7469" spans="7:8" x14ac:dyDescent="0.3">
      <c r="G7469" s="4"/>
      <c r="H7469" s="4"/>
    </row>
    <row r="7470" spans="7:8" x14ac:dyDescent="0.3">
      <c r="G7470" s="4"/>
      <c r="H7470" s="4"/>
    </row>
    <row r="7471" spans="7:8" x14ac:dyDescent="0.3">
      <c r="G7471" s="4"/>
      <c r="H7471" s="4"/>
    </row>
    <row r="7472" spans="7:8" x14ac:dyDescent="0.3">
      <c r="G7472" s="4"/>
      <c r="H7472" s="4"/>
    </row>
    <row r="7473" spans="7:8" x14ac:dyDescent="0.3">
      <c r="G7473" s="4"/>
      <c r="H7473" s="4"/>
    </row>
    <row r="7474" spans="7:8" x14ac:dyDescent="0.3">
      <c r="G7474" s="4"/>
      <c r="H7474" s="4"/>
    </row>
    <row r="7475" spans="7:8" x14ac:dyDescent="0.3">
      <c r="G7475" s="4"/>
      <c r="H7475" s="4"/>
    </row>
    <row r="7476" spans="7:8" x14ac:dyDescent="0.3">
      <c r="G7476" s="4"/>
      <c r="H7476" s="4"/>
    </row>
    <row r="7477" spans="7:8" x14ac:dyDescent="0.3">
      <c r="G7477" s="4"/>
      <c r="H7477" s="4"/>
    </row>
    <row r="7478" spans="7:8" x14ac:dyDescent="0.3">
      <c r="G7478" s="4"/>
      <c r="H7478" s="4"/>
    </row>
    <row r="7479" spans="7:8" x14ac:dyDescent="0.3">
      <c r="G7479" s="4"/>
      <c r="H7479" s="4"/>
    </row>
    <row r="7480" spans="7:8" x14ac:dyDescent="0.3">
      <c r="G7480" s="4"/>
      <c r="H7480" s="4"/>
    </row>
    <row r="7481" spans="7:8" x14ac:dyDescent="0.3">
      <c r="G7481" s="4"/>
      <c r="H7481" s="4"/>
    </row>
    <row r="7482" spans="7:8" x14ac:dyDescent="0.3">
      <c r="G7482" s="4"/>
      <c r="H7482" s="4"/>
    </row>
    <row r="7483" spans="7:8" x14ac:dyDescent="0.3">
      <c r="G7483" s="4"/>
      <c r="H7483" s="4"/>
    </row>
    <row r="7484" spans="7:8" x14ac:dyDescent="0.3">
      <c r="G7484" s="4"/>
      <c r="H7484" s="4"/>
    </row>
    <row r="7485" spans="7:8" x14ac:dyDescent="0.3">
      <c r="G7485" s="4"/>
      <c r="H7485" s="4"/>
    </row>
    <row r="7486" spans="7:8" x14ac:dyDescent="0.3">
      <c r="G7486" s="4"/>
      <c r="H7486" s="4"/>
    </row>
    <row r="7487" spans="7:8" x14ac:dyDescent="0.3">
      <c r="G7487" s="4"/>
      <c r="H7487" s="4"/>
    </row>
    <row r="7488" spans="7:8" x14ac:dyDescent="0.3">
      <c r="G7488" s="4"/>
      <c r="H7488" s="4"/>
    </row>
    <row r="7489" spans="7:8" x14ac:dyDescent="0.3">
      <c r="G7489" s="4"/>
      <c r="H7489" s="4"/>
    </row>
    <row r="7490" spans="7:8" x14ac:dyDescent="0.3">
      <c r="G7490" s="4"/>
      <c r="H7490" s="4"/>
    </row>
    <row r="7491" spans="7:8" x14ac:dyDescent="0.3">
      <c r="G7491" s="4"/>
      <c r="H7491" s="4"/>
    </row>
    <row r="7492" spans="7:8" x14ac:dyDescent="0.3">
      <c r="G7492" s="4"/>
      <c r="H7492" s="4"/>
    </row>
    <row r="7493" spans="7:8" x14ac:dyDescent="0.3">
      <c r="G7493" s="4"/>
      <c r="H7493" s="4"/>
    </row>
    <row r="7494" spans="7:8" x14ac:dyDescent="0.3">
      <c r="G7494" s="4"/>
      <c r="H7494" s="4"/>
    </row>
    <row r="7495" spans="7:8" x14ac:dyDescent="0.3">
      <c r="G7495" s="4"/>
      <c r="H7495" s="4"/>
    </row>
    <row r="7496" spans="7:8" x14ac:dyDescent="0.3">
      <c r="G7496" s="4"/>
      <c r="H7496" s="4"/>
    </row>
    <row r="7497" spans="7:8" x14ac:dyDescent="0.3">
      <c r="G7497" s="4"/>
      <c r="H7497" s="4"/>
    </row>
    <row r="7498" spans="7:8" x14ac:dyDescent="0.3">
      <c r="G7498" s="4"/>
      <c r="H7498" s="4"/>
    </row>
    <row r="7499" spans="7:8" x14ac:dyDescent="0.3">
      <c r="G7499" s="4"/>
      <c r="H7499" s="4"/>
    </row>
    <row r="7500" spans="7:8" x14ac:dyDescent="0.3">
      <c r="G7500" s="4"/>
      <c r="H7500" s="4"/>
    </row>
    <row r="7501" spans="7:8" x14ac:dyDescent="0.3">
      <c r="G7501" s="4"/>
      <c r="H7501" s="4"/>
    </row>
    <row r="7502" spans="7:8" x14ac:dyDescent="0.3">
      <c r="G7502" s="4"/>
      <c r="H7502" s="4"/>
    </row>
    <row r="7503" spans="7:8" x14ac:dyDescent="0.3">
      <c r="G7503" s="4"/>
      <c r="H7503" s="4"/>
    </row>
    <row r="7504" spans="7:8" x14ac:dyDescent="0.3">
      <c r="G7504" s="4"/>
      <c r="H7504" s="4"/>
    </row>
    <row r="7505" spans="7:8" x14ac:dyDescent="0.3">
      <c r="G7505" s="4"/>
      <c r="H7505" s="4"/>
    </row>
    <row r="7506" spans="7:8" x14ac:dyDescent="0.3">
      <c r="G7506" s="4"/>
      <c r="H7506" s="4"/>
    </row>
    <row r="7507" spans="7:8" x14ac:dyDescent="0.3">
      <c r="G7507" s="4"/>
      <c r="H7507" s="4"/>
    </row>
    <row r="7508" spans="7:8" x14ac:dyDescent="0.3">
      <c r="G7508" s="4"/>
      <c r="H7508" s="4"/>
    </row>
    <row r="7509" spans="7:8" x14ac:dyDescent="0.3">
      <c r="G7509" s="4"/>
      <c r="H7509" s="4"/>
    </row>
    <row r="7510" spans="7:8" x14ac:dyDescent="0.3">
      <c r="G7510" s="4"/>
      <c r="H7510" s="4"/>
    </row>
    <row r="7511" spans="7:8" x14ac:dyDescent="0.3">
      <c r="G7511" s="4"/>
      <c r="H7511" s="4"/>
    </row>
    <row r="7512" spans="7:8" x14ac:dyDescent="0.3">
      <c r="G7512" s="4"/>
      <c r="H7512" s="4"/>
    </row>
    <row r="7513" spans="7:8" x14ac:dyDescent="0.3">
      <c r="G7513" s="4"/>
      <c r="H7513" s="4"/>
    </row>
    <row r="7514" spans="7:8" x14ac:dyDescent="0.3">
      <c r="G7514" s="4"/>
      <c r="H7514" s="4"/>
    </row>
    <row r="7515" spans="7:8" x14ac:dyDescent="0.3">
      <c r="G7515" s="4"/>
      <c r="H7515" s="4"/>
    </row>
    <row r="7516" spans="7:8" x14ac:dyDescent="0.3">
      <c r="G7516" s="4"/>
      <c r="H7516" s="4"/>
    </row>
    <row r="7517" spans="7:8" x14ac:dyDescent="0.3">
      <c r="G7517" s="4"/>
      <c r="H7517" s="4"/>
    </row>
    <row r="7518" spans="7:8" x14ac:dyDescent="0.3">
      <c r="G7518" s="4"/>
      <c r="H7518" s="4"/>
    </row>
    <row r="7519" spans="7:8" x14ac:dyDescent="0.3">
      <c r="G7519" s="4"/>
      <c r="H7519" s="4"/>
    </row>
    <row r="7520" spans="7:8" x14ac:dyDescent="0.3">
      <c r="G7520" s="4"/>
      <c r="H7520" s="4"/>
    </row>
    <row r="7521" spans="7:8" x14ac:dyDescent="0.3">
      <c r="G7521" s="4"/>
      <c r="H7521" s="4"/>
    </row>
    <row r="7522" spans="7:8" x14ac:dyDescent="0.3">
      <c r="G7522" s="4"/>
      <c r="H7522" s="4"/>
    </row>
    <row r="7523" spans="7:8" x14ac:dyDescent="0.3">
      <c r="G7523" s="4"/>
      <c r="H7523" s="4"/>
    </row>
    <row r="7524" spans="7:8" x14ac:dyDescent="0.3">
      <c r="G7524" s="4"/>
      <c r="H7524" s="4"/>
    </row>
    <row r="7525" spans="7:8" x14ac:dyDescent="0.3">
      <c r="G7525" s="4"/>
      <c r="H7525" s="4"/>
    </row>
    <row r="7526" spans="7:8" x14ac:dyDescent="0.3">
      <c r="G7526" s="4"/>
      <c r="H7526" s="4"/>
    </row>
    <row r="7527" spans="7:8" x14ac:dyDescent="0.3">
      <c r="G7527" s="4"/>
      <c r="H7527" s="4"/>
    </row>
    <row r="7528" spans="7:8" x14ac:dyDescent="0.3">
      <c r="G7528" s="4"/>
      <c r="H7528" s="4"/>
    </row>
    <row r="7529" spans="7:8" x14ac:dyDescent="0.3">
      <c r="G7529" s="4"/>
      <c r="H7529" s="4"/>
    </row>
    <row r="7530" spans="7:8" x14ac:dyDescent="0.3">
      <c r="G7530" s="4"/>
      <c r="H7530" s="4"/>
    </row>
    <row r="7531" spans="7:8" x14ac:dyDescent="0.3">
      <c r="G7531" s="4"/>
      <c r="H7531" s="4"/>
    </row>
    <row r="7532" spans="7:8" x14ac:dyDescent="0.3">
      <c r="G7532" s="4"/>
      <c r="H7532" s="4"/>
    </row>
    <row r="7533" spans="7:8" x14ac:dyDescent="0.3">
      <c r="G7533" s="4"/>
      <c r="H7533" s="4"/>
    </row>
    <row r="7534" spans="7:8" x14ac:dyDescent="0.3">
      <c r="G7534" s="4"/>
      <c r="H7534" s="4"/>
    </row>
    <row r="7535" spans="7:8" x14ac:dyDescent="0.3">
      <c r="G7535" s="4"/>
      <c r="H7535" s="4"/>
    </row>
    <row r="7536" spans="7:8" x14ac:dyDescent="0.3">
      <c r="G7536" s="4"/>
      <c r="H7536" s="4"/>
    </row>
    <row r="7537" spans="7:8" x14ac:dyDescent="0.3">
      <c r="G7537" s="4"/>
      <c r="H7537" s="4"/>
    </row>
    <row r="7538" spans="7:8" x14ac:dyDescent="0.3">
      <c r="G7538" s="4"/>
      <c r="H7538" s="4"/>
    </row>
    <row r="7539" spans="7:8" x14ac:dyDescent="0.3">
      <c r="G7539" s="4"/>
      <c r="H7539" s="4"/>
    </row>
    <row r="7540" spans="7:8" x14ac:dyDescent="0.3">
      <c r="G7540" s="4"/>
      <c r="H7540" s="4"/>
    </row>
    <row r="7541" spans="7:8" x14ac:dyDescent="0.3">
      <c r="G7541" s="4"/>
      <c r="H7541" s="4"/>
    </row>
    <row r="7542" spans="7:8" x14ac:dyDescent="0.3">
      <c r="G7542" s="4"/>
      <c r="H7542" s="4"/>
    </row>
    <row r="7543" spans="7:8" x14ac:dyDescent="0.3">
      <c r="G7543" s="4"/>
      <c r="H7543" s="4"/>
    </row>
    <row r="7544" spans="7:8" x14ac:dyDescent="0.3">
      <c r="G7544" s="4"/>
      <c r="H7544" s="4"/>
    </row>
    <row r="7545" spans="7:8" x14ac:dyDescent="0.3">
      <c r="G7545" s="4"/>
      <c r="H7545" s="4"/>
    </row>
    <row r="7546" spans="7:8" x14ac:dyDescent="0.3">
      <c r="G7546" s="4"/>
      <c r="H7546" s="4"/>
    </row>
    <row r="7547" spans="7:8" x14ac:dyDescent="0.3">
      <c r="G7547" s="4"/>
      <c r="H7547" s="4"/>
    </row>
    <row r="7548" spans="7:8" x14ac:dyDescent="0.3">
      <c r="G7548" s="4"/>
      <c r="H7548" s="4"/>
    </row>
    <row r="7549" spans="7:8" x14ac:dyDescent="0.3">
      <c r="G7549" s="4"/>
      <c r="H7549" s="4"/>
    </row>
    <row r="7550" spans="7:8" x14ac:dyDescent="0.3">
      <c r="G7550" s="4"/>
      <c r="H7550" s="4"/>
    </row>
    <row r="7551" spans="7:8" x14ac:dyDescent="0.3">
      <c r="G7551" s="4"/>
      <c r="H7551" s="4"/>
    </row>
    <row r="7552" spans="7:8" x14ac:dyDescent="0.3">
      <c r="G7552" s="4"/>
      <c r="H7552" s="4"/>
    </row>
    <row r="7553" spans="7:8" x14ac:dyDescent="0.3">
      <c r="G7553" s="4"/>
      <c r="H7553" s="4"/>
    </row>
    <row r="7554" spans="7:8" x14ac:dyDescent="0.3">
      <c r="G7554" s="4"/>
      <c r="H7554" s="4"/>
    </row>
    <row r="7555" spans="7:8" x14ac:dyDescent="0.3">
      <c r="G7555" s="4"/>
      <c r="H7555" s="4"/>
    </row>
    <row r="7556" spans="7:8" x14ac:dyDescent="0.3">
      <c r="G7556" s="4"/>
      <c r="H7556" s="4"/>
    </row>
    <row r="7557" spans="7:8" x14ac:dyDescent="0.3">
      <c r="G7557" s="4"/>
      <c r="H7557" s="4"/>
    </row>
    <row r="7558" spans="7:8" x14ac:dyDescent="0.3">
      <c r="G7558" s="4"/>
      <c r="H7558" s="4"/>
    </row>
    <row r="7559" spans="7:8" x14ac:dyDescent="0.3">
      <c r="G7559" s="4"/>
      <c r="H7559" s="4"/>
    </row>
    <row r="7560" spans="7:8" x14ac:dyDescent="0.3">
      <c r="G7560" s="4"/>
      <c r="H7560" s="4"/>
    </row>
    <row r="7561" spans="7:8" x14ac:dyDescent="0.3">
      <c r="G7561" s="4"/>
      <c r="H7561" s="4"/>
    </row>
    <row r="7562" spans="7:8" x14ac:dyDescent="0.3">
      <c r="G7562" s="4"/>
      <c r="H7562" s="4"/>
    </row>
    <row r="7563" spans="7:8" x14ac:dyDescent="0.3">
      <c r="G7563" s="4"/>
      <c r="H7563" s="4"/>
    </row>
    <row r="7564" spans="7:8" x14ac:dyDescent="0.3">
      <c r="G7564" s="4"/>
      <c r="H7564" s="4"/>
    </row>
    <row r="7565" spans="7:8" x14ac:dyDescent="0.3">
      <c r="G7565" s="4"/>
      <c r="H7565" s="4"/>
    </row>
    <row r="7566" spans="7:8" x14ac:dyDescent="0.3">
      <c r="G7566" s="4"/>
      <c r="H7566" s="4"/>
    </row>
    <row r="7567" spans="7:8" x14ac:dyDescent="0.3">
      <c r="G7567" s="4"/>
      <c r="H7567" s="4"/>
    </row>
    <row r="7568" spans="7:8" x14ac:dyDescent="0.3">
      <c r="G7568" s="4"/>
      <c r="H7568" s="4"/>
    </row>
    <row r="7569" spans="7:8" x14ac:dyDescent="0.3">
      <c r="G7569" s="4"/>
      <c r="H7569" s="4"/>
    </row>
    <row r="7570" spans="7:8" x14ac:dyDescent="0.3">
      <c r="G7570" s="4"/>
      <c r="H7570" s="4"/>
    </row>
    <row r="7571" spans="7:8" x14ac:dyDescent="0.3">
      <c r="G7571" s="4"/>
      <c r="H7571" s="4"/>
    </row>
    <row r="7572" spans="7:8" x14ac:dyDescent="0.3">
      <c r="G7572" s="4"/>
      <c r="H7572" s="4"/>
    </row>
    <row r="7573" spans="7:8" x14ac:dyDescent="0.3">
      <c r="G7573" s="4"/>
      <c r="H7573" s="4"/>
    </row>
    <row r="7574" spans="7:8" x14ac:dyDescent="0.3">
      <c r="G7574" s="4"/>
      <c r="H7574" s="4"/>
    </row>
    <row r="7575" spans="7:8" x14ac:dyDescent="0.3">
      <c r="G7575" s="4"/>
      <c r="H7575" s="4"/>
    </row>
    <row r="7576" spans="7:8" x14ac:dyDescent="0.3">
      <c r="G7576" s="4"/>
      <c r="H7576" s="4"/>
    </row>
    <row r="7577" spans="7:8" x14ac:dyDescent="0.3">
      <c r="G7577" s="4"/>
      <c r="H7577" s="4"/>
    </row>
    <row r="7578" spans="7:8" x14ac:dyDescent="0.3">
      <c r="G7578" s="4"/>
      <c r="H7578" s="4"/>
    </row>
    <row r="7579" spans="7:8" x14ac:dyDescent="0.3">
      <c r="G7579" s="4"/>
      <c r="H7579" s="4"/>
    </row>
    <row r="7580" spans="7:8" x14ac:dyDescent="0.3">
      <c r="G7580" s="4"/>
      <c r="H7580" s="4"/>
    </row>
    <row r="7581" spans="7:8" x14ac:dyDescent="0.3">
      <c r="G7581" s="4"/>
      <c r="H7581" s="4"/>
    </row>
    <row r="7582" spans="7:8" x14ac:dyDescent="0.3">
      <c r="G7582" s="4"/>
      <c r="H7582" s="4"/>
    </row>
    <row r="7583" spans="7:8" x14ac:dyDescent="0.3">
      <c r="G7583" s="4"/>
      <c r="H7583" s="4"/>
    </row>
    <row r="7584" spans="7:8" x14ac:dyDescent="0.3">
      <c r="G7584" s="4"/>
      <c r="H7584" s="4"/>
    </row>
    <row r="7585" spans="7:8" x14ac:dyDescent="0.3">
      <c r="G7585" s="4"/>
      <c r="H7585" s="4"/>
    </row>
    <row r="7586" spans="7:8" x14ac:dyDescent="0.3">
      <c r="G7586" s="4"/>
      <c r="H7586" s="4"/>
    </row>
    <row r="7587" spans="7:8" x14ac:dyDescent="0.3">
      <c r="G7587" s="4"/>
      <c r="H7587" s="4"/>
    </row>
    <row r="7588" spans="7:8" x14ac:dyDescent="0.3">
      <c r="G7588" s="4"/>
      <c r="H7588" s="4"/>
    </row>
    <row r="7589" spans="7:8" x14ac:dyDescent="0.3">
      <c r="G7589" s="4"/>
      <c r="H7589" s="4"/>
    </row>
    <row r="7590" spans="7:8" x14ac:dyDescent="0.3">
      <c r="G7590" s="4"/>
      <c r="H7590" s="4"/>
    </row>
    <row r="7591" spans="7:8" x14ac:dyDescent="0.3">
      <c r="G7591" s="4"/>
      <c r="H7591" s="4"/>
    </row>
    <row r="7592" spans="7:8" x14ac:dyDescent="0.3">
      <c r="G7592" s="4"/>
      <c r="H7592" s="4"/>
    </row>
    <row r="7593" spans="7:8" x14ac:dyDescent="0.3">
      <c r="G7593" s="4"/>
      <c r="H7593" s="4"/>
    </row>
    <row r="7594" spans="7:8" x14ac:dyDescent="0.3">
      <c r="G7594" s="4"/>
      <c r="H7594" s="4"/>
    </row>
    <row r="7595" spans="7:8" x14ac:dyDescent="0.3">
      <c r="G7595" s="4"/>
      <c r="H7595" s="4"/>
    </row>
    <row r="7596" spans="7:8" x14ac:dyDescent="0.3">
      <c r="G7596" s="4"/>
      <c r="H7596" s="4"/>
    </row>
    <row r="7597" spans="7:8" x14ac:dyDescent="0.3">
      <c r="G7597" s="4"/>
      <c r="H7597" s="4"/>
    </row>
    <row r="7598" spans="7:8" x14ac:dyDescent="0.3">
      <c r="G7598" s="4"/>
      <c r="H7598" s="4"/>
    </row>
    <row r="7599" spans="7:8" x14ac:dyDescent="0.3">
      <c r="G7599" s="4"/>
      <c r="H7599" s="4"/>
    </row>
    <row r="7600" spans="7:8" x14ac:dyDescent="0.3">
      <c r="G7600" s="4"/>
      <c r="H7600" s="4"/>
    </row>
    <row r="7601" spans="7:8" x14ac:dyDescent="0.3">
      <c r="G7601" s="4"/>
      <c r="H7601" s="4"/>
    </row>
    <row r="7602" spans="7:8" x14ac:dyDescent="0.3">
      <c r="G7602" s="4"/>
      <c r="H7602" s="4"/>
    </row>
    <row r="7603" spans="7:8" x14ac:dyDescent="0.3">
      <c r="G7603" s="4"/>
      <c r="H7603" s="4"/>
    </row>
    <row r="7604" spans="7:8" x14ac:dyDescent="0.3">
      <c r="G7604" s="4"/>
      <c r="H7604" s="4"/>
    </row>
    <row r="7605" spans="7:8" x14ac:dyDescent="0.3">
      <c r="G7605" s="4"/>
      <c r="H7605" s="4"/>
    </row>
    <row r="7606" spans="7:8" x14ac:dyDescent="0.3">
      <c r="G7606" s="4"/>
      <c r="H7606" s="4"/>
    </row>
    <row r="7607" spans="7:8" x14ac:dyDescent="0.3">
      <c r="G7607" s="4"/>
      <c r="H7607" s="4"/>
    </row>
    <row r="7608" spans="7:8" x14ac:dyDescent="0.3">
      <c r="G7608" s="4"/>
      <c r="H7608" s="4"/>
    </row>
    <row r="7609" spans="7:8" x14ac:dyDescent="0.3">
      <c r="G7609" s="4"/>
      <c r="H7609" s="4"/>
    </row>
    <row r="7610" spans="7:8" x14ac:dyDescent="0.3">
      <c r="G7610" s="4"/>
      <c r="H7610" s="4"/>
    </row>
    <row r="7611" spans="7:8" x14ac:dyDescent="0.3">
      <c r="G7611" s="4"/>
      <c r="H7611" s="4"/>
    </row>
    <row r="7612" spans="7:8" x14ac:dyDescent="0.3">
      <c r="G7612" s="4"/>
      <c r="H7612" s="4"/>
    </row>
    <row r="7613" spans="7:8" x14ac:dyDescent="0.3">
      <c r="G7613" s="4"/>
      <c r="H7613" s="4"/>
    </row>
    <row r="7614" spans="7:8" x14ac:dyDescent="0.3">
      <c r="G7614" s="4"/>
      <c r="H7614" s="4"/>
    </row>
    <row r="7615" spans="7:8" x14ac:dyDescent="0.3">
      <c r="G7615" s="4"/>
      <c r="H7615" s="4"/>
    </row>
    <row r="7616" spans="7:8" x14ac:dyDescent="0.3">
      <c r="G7616" s="4"/>
      <c r="H7616" s="4"/>
    </row>
    <row r="7617" spans="7:8" x14ac:dyDescent="0.3">
      <c r="G7617" s="4"/>
      <c r="H7617" s="4"/>
    </row>
    <row r="7618" spans="7:8" x14ac:dyDescent="0.3">
      <c r="G7618" s="4"/>
      <c r="H7618" s="4"/>
    </row>
    <row r="7619" spans="7:8" x14ac:dyDescent="0.3">
      <c r="G7619" s="4"/>
      <c r="H7619" s="4"/>
    </row>
    <row r="7620" spans="7:8" x14ac:dyDescent="0.3">
      <c r="G7620" s="4"/>
      <c r="H7620" s="4"/>
    </row>
    <row r="7621" spans="7:8" x14ac:dyDescent="0.3">
      <c r="G7621" s="4"/>
      <c r="H7621" s="4"/>
    </row>
    <row r="7622" spans="7:8" x14ac:dyDescent="0.3">
      <c r="G7622" s="4"/>
      <c r="H7622" s="4"/>
    </row>
    <row r="7623" spans="7:8" x14ac:dyDescent="0.3">
      <c r="G7623" s="4"/>
      <c r="H7623" s="4"/>
    </row>
    <row r="7624" spans="7:8" x14ac:dyDescent="0.3">
      <c r="G7624" s="4"/>
      <c r="H7624" s="4"/>
    </row>
    <row r="7625" spans="7:8" x14ac:dyDescent="0.3">
      <c r="G7625" s="4"/>
      <c r="H7625" s="4"/>
    </row>
    <row r="7626" spans="7:8" x14ac:dyDescent="0.3">
      <c r="G7626" s="4"/>
      <c r="H7626" s="4"/>
    </row>
    <row r="7627" spans="7:8" x14ac:dyDescent="0.3">
      <c r="G7627" s="4"/>
      <c r="H7627" s="4"/>
    </row>
    <row r="7628" spans="7:8" x14ac:dyDescent="0.3">
      <c r="G7628" s="4"/>
      <c r="H7628" s="4"/>
    </row>
    <row r="7629" spans="7:8" x14ac:dyDescent="0.3">
      <c r="G7629" s="4"/>
      <c r="H7629" s="4"/>
    </row>
    <row r="7630" spans="7:8" x14ac:dyDescent="0.3">
      <c r="G7630" s="4"/>
      <c r="H7630" s="4"/>
    </row>
    <row r="7631" spans="7:8" x14ac:dyDescent="0.3">
      <c r="G7631" s="4"/>
      <c r="H7631" s="4"/>
    </row>
    <row r="7632" spans="7:8" x14ac:dyDescent="0.3">
      <c r="G7632" s="4"/>
      <c r="H7632" s="4"/>
    </row>
    <row r="7633" spans="7:8" x14ac:dyDescent="0.3">
      <c r="G7633" s="4"/>
      <c r="H7633" s="4"/>
    </row>
    <row r="7634" spans="7:8" x14ac:dyDescent="0.3">
      <c r="G7634" s="4"/>
      <c r="H7634" s="4"/>
    </row>
    <row r="7635" spans="7:8" x14ac:dyDescent="0.3">
      <c r="G7635" s="4"/>
      <c r="H7635" s="4"/>
    </row>
    <row r="7636" spans="7:8" x14ac:dyDescent="0.3">
      <c r="G7636" s="4"/>
      <c r="H7636" s="4"/>
    </row>
    <row r="7637" spans="7:8" x14ac:dyDescent="0.3">
      <c r="G7637" s="4"/>
      <c r="H7637" s="4"/>
    </row>
    <row r="7638" spans="7:8" x14ac:dyDescent="0.3">
      <c r="G7638" s="4"/>
      <c r="H7638" s="4"/>
    </row>
    <row r="7639" spans="7:8" x14ac:dyDescent="0.3">
      <c r="G7639" s="4"/>
      <c r="H7639" s="4"/>
    </row>
    <row r="7640" spans="7:8" x14ac:dyDescent="0.3">
      <c r="G7640" s="4"/>
      <c r="H7640" s="4"/>
    </row>
    <row r="7641" spans="7:8" x14ac:dyDescent="0.3">
      <c r="G7641" s="4"/>
      <c r="H7641" s="4"/>
    </row>
    <row r="7642" spans="7:8" x14ac:dyDescent="0.3">
      <c r="G7642" s="4"/>
      <c r="H7642" s="4"/>
    </row>
    <row r="7643" spans="7:8" x14ac:dyDescent="0.3">
      <c r="G7643" s="4"/>
      <c r="H7643" s="4"/>
    </row>
    <row r="7644" spans="7:8" x14ac:dyDescent="0.3">
      <c r="G7644" s="4"/>
      <c r="H7644" s="4"/>
    </row>
    <row r="7645" spans="7:8" x14ac:dyDescent="0.3">
      <c r="G7645" s="4"/>
      <c r="H7645" s="4"/>
    </row>
    <row r="7646" spans="7:8" x14ac:dyDescent="0.3">
      <c r="G7646" s="4"/>
      <c r="H7646" s="4"/>
    </row>
    <row r="7647" spans="7:8" x14ac:dyDescent="0.3">
      <c r="G7647" s="4"/>
      <c r="H7647" s="4"/>
    </row>
    <row r="7648" spans="7:8" x14ac:dyDescent="0.3">
      <c r="G7648" s="4"/>
      <c r="H7648" s="4"/>
    </row>
    <row r="7649" spans="7:8" x14ac:dyDescent="0.3">
      <c r="G7649" s="4"/>
      <c r="H7649" s="4"/>
    </row>
    <row r="7650" spans="7:8" x14ac:dyDescent="0.3">
      <c r="G7650" s="4"/>
      <c r="H7650" s="4"/>
    </row>
    <row r="7651" spans="7:8" x14ac:dyDescent="0.3">
      <c r="G7651" s="4"/>
      <c r="H7651" s="4"/>
    </row>
    <row r="7652" spans="7:8" x14ac:dyDescent="0.3">
      <c r="G7652" s="4"/>
      <c r="H7652" s="4"/>
    </row>
    <row r="7653" spans="7:8" x14ac:dyDescent="0.3">
      <c r="G7653" s="4"/>
      <c r="H7653" s="4"/>
    </row>
    <row r="7654" spans="7:8" x14ac:dyDescent="0.3">
      <c r="G7654" s="4"/>
      <c r="H7654" s="4"/>
    </row>
    <row r="7655" spans="7:8" x14ac:dyDescent="0.3">
      <c r="G7655" s="4"/>
      <c r="H7655" s="4"/>
    </row>
    <row r="7656" spans="7:8" x14ac:dyDescent="0.3">
      <c r="G7656" s="4"/>
      <c r="H7656" s="4"/>
    </row>
    <row r="7657" spans="7:8" x14ac:dyDescent="0.3">
      <c r="G7657" s="4"/>
      <c r="H7657" s="4"/>
    </row>
    <row r="7658" spans="7:8" x14ac:dyDescent="0.3">
      <c r="G7658" s="4"/>
      <c r="H7658" s="4"/>
    </row>
    <row r="7659" spans="7:8" x14ac:dyDescent="0.3">
      <c r="G7659" s="4"/>
      <c r="H7659" s="4"/>
    </row>
    <row r="7660" spans="7:8" x14ac:dyDescent="0.3">
      <c r="G7660" s="4"/>
      <c r="H7660" s="4"/>
    </row>
    <row r="7661" spans="7:8" x14ac:dyDescent="0.3">
      <c r="G7661" s="4"/>
      <c r="H7661" s="4"/>
    </row>
    <row r="7662" spans="7:8" x14ac:dyDescent="0.3">
      <c r="G7662" s="4"/>
      <c r="H7662" s="4"/>
    </row>
    <row r="7663" spans="7:8" x14ac:dyDescent="0.3">
      <c r="G7663" s="4"/>
      <c r="H7663" s="4"/>
    </row>
    <row r="7664" spans="7:8" x14ac:dyDescent="0.3">
      <c r="G7664" s="4"/>
      <c r="H7664" s="4"/>
    </row>
    <row r="7665" spans="7:8" x14ac:dyDescent="0.3">
      <c r="G7665" s="4"/>
      <c r="H7665" s="4"/>
    </row>
    <row r="7666" spans="7:8" x14ac:dyDescent="0.3">
      <c r="G7666" s="4"/>
      <c r="H7666" s="4"/>
    </row>
    <row r="7667" spans="7:8" x14ac:dyDescent="0.3">
      <c r="G7667" s="4"/>
      <c r="H7667" s="4"/>
    </row>
    <row r="7668" spans="7:8" x14ac:dyDescent="0.3">
      <c r="G7668" s="4"/>
      <c r="H7668" s="4"/>
    </row>
    <row r="7669" spans="7:8" x14ac:dyDescent="0.3">
      <c r="G7669" s="4"/>
      <c r="H7669" s="4"/>
    </row>
    <row r="7670" spans="7:8" x14ac:dyDescent="0.3">
      <c r="G7670" s="4"/>
      <c r="H7670" s="4"/>
    </row>
    <row r="7671" spans="7:8" x14ac:dyDescent="0.3">
      <c r="G7671" s="4"/>
      <c r="H7671" s="4"/>
    </row>
    <row r="7672" spans="7:8" x14ac:dyDescent="0.3">
      <c r="G7672" s="4"/>
      <c r="H7672" s="4"/>
    </row>
    <row r="7673" spans="7:8" x14ac:dyDescent="0.3">
      <c r="G7673" s="4"/>
      <c r="H7673" s="4"/>
    </row>
    <row r="7674" spans="7:8" x14ac:dyDescent="0.3">
      <c r="G7674" s="4"/>
      <c r="H7674" s="4"/>
    </row>
    <row r="7675" spans="7:8" x14ac:dyDescent="0.3">
      <c r="G7675" s="4"/>
      <c r="H7675" s="4"/>
    </row>
    <row r="7676" spans="7:8" x14ac:dyDescent="0.3">
      <c r="G7676" s="4"/>
      <c r="H7676" s="4"/>
    </row>
    <row r="7677" spans="7:8" x14ac:dyDescent="0.3">
      <c r="G7677" s="4"/>
      <c r="H7677" s="4"/>
    </row>
    <row r="7678" spans="7:8" x14ac:dyDescent="0.3">
      <c r="G7678" s="4"/>
      <c r="H7678" s="4"/>
    </row>
    <row r="7679" spans="7:8" x14ac:dyDescent="0.3">
      <c r="G7679" s="4"/>
      <c r="H7679" s="4"/>
    </row>
    <row r="7680" spans="7:8" x14ac:dyDescent="0.3">
      <c r="G7680" s="4"/>
      <c r="H7680" s="4"/>
    </row>
    <row r="7681" spans="7:8" x14ac:dyDescent="0.3">
      <c r="G7681" s="4"/>
      <c r="H7681" s="4"/>
    </row>
    <row r="7682" spans="7:8" x14ac:dyDescent="0.3">
      <c r="G7682" s="4"/>
      <c r="H7682" s="4"/>
    </row>
    <row r="7683" spans="7:8" x14ac:dyDescent="0.3">
      <c r="G7683" s="4"/>
      <c r="H7683" s="4"/>
    </row>
    <row r="7684" spans="7:8" x14ac:dyDescent="0.3">
      <c r="G7684" s="4"/>
      <c r="H7684" s="4"/>
    </row>
    <row r="7685" spans="7:8" x14ac:dyDescent="0.3">
      <c r="G7685" s="4"/>
      <c r="H7685" s="4"/>
    </row>
    <row r="7686" spans="7:8" x14ac:dyDescent="0.3">
      <c r="G7686" s="4"/>
      <c r="H7686" s="4"/>
    </row>
    <row r="7687" spans="7:8" x14ac:dyDescent="0.3">
      <c r="G7687" s="4"/>
      <c r="H7687" s="4"/>
    </row>
    <row r="7688" spans="7:8" x14ac:dyDescent="0.3">
      <c r="G7688" s="4"/>
      <c r="H7688" s="4"/>
    </row>
    <row r="7689" spans="7:8" x14ac:dyDescent="0.3">
      <c r="G7689" s="4"/>
      <c r="H7689" s="4"/>
    </row>
    <row r="7690" spans="7:8" x14ac:dyDescent="0.3">
      <c r="G7690" s="4"/>
      <c r="H7690" s="4"/>
    </row>
    <row r="7691" spans="7:8" x14ac:dyDescent="0.3">
      <c r="G7691" s="4"/>
      <c r="H7691" s="4"/>
    </row>
    <row r="7692" spans="7:8" x14ac:dyDescent="0.3">
      <c r="G7692" s="4"/>
      <c r="H7692" s="4"/>
    </row>
    <row r="7693" spans="7:8" x14ac:dyDescent="0.3">
      <c r="G7693" s="4"/>
      <c r="H7693" s="4"/>
    </row>
    <row r="7694" spans="7:8" x14ac:dyDescent="0.3">
      <c r="G7694" s="4"/>
      <c r="H7694" s="4"/>
    </row>
    <row r="7695" spans="7:8" x14ac:dyDescent="0.3">
      <c r="G7695" s="4"/>
      <c r="H7695" s="4"/>
    </row>
    <row r="7696" spans="7:8" x14ac:dyDescent="0.3">
      <c r="G7696" s="4"/>
      <c r="H7696" s="4"/>
    </row>
    <row r="7697" spans="7:8" x14ac:dyDescent="0.3">
      <c r="G7697" s="4"/>
      <c r="H7697" s="4"/>
    </row>
    <row r="7698" spans="7:8" x14ac:dyDescent="0.3">
      <c r="G7698" s="4"/>
      <c r="H7698" s="4"/>
    </row>
    <row r="7699" spans="7:8" x14ac:dyDescent="0.3">
      <c r="G7699" s="4"/>
      <c r="H7699" s="4"/>
    </row>
    <row r="7700" spans="7:8" x14ac:dyDescent="0.3">
      <c r="G7700" s="4"/>
      <c r="H7700" s="4"/>
    </row>
    <row r="7701" spans="7:8" x14ac:dyDescent="0.3">
      <c r="G7701" s="4"/>
      <c r="H7701" s="4"/>
    </row>
    <row r="7702" spans="7:8" x14ac:dyDescent="0.3">
      <c r="G7702" s="4"/>
      <c r="H7702" s="4"/>
    </row>
    <row r="7703" spans="7:8" x14ac:dyDescent="0.3">
      <c r="G7703" s="4"/>
      <c r="H7703" s="4"/>
    </row>
    <row r="7704" spans="7:8" x14ac:dyDescent="0.3">
      <c r="G7704" s="4"/>
      <c r="H7704" s="4"/>
    </row>
    <row r="7705" spans="7:8" x14ac:dyDescent="0.3">
      <c r="G7705" s="4"/>
      <c r="H7705" s="4"/>
    </row>
    <row r="7706" spans="7:8" x14ac:dyDescent="0.3">
      <c r="G7706" s="4"/>
      <c r="H7706" s="4"/>
    </row>
    <row r="7707" spans="7:8" x14ac:dyDescent="0.3">
      <c r="G7707" s="4"/>
      <c r="H7707" s="4"/>
    </row>
    <row r="7708" spans="7:8" x14ac:dyDescent="0.3">
      <c r="G7708" s="4"/>
      <c r="H7708" s="4"/>
    </row>
    <row r="7709" spans="7:8" x14ac:dyDescent="0.3">
      <c r="G7709" s="4"/>
      <c r="H7709" s="4"/>
    </row>
    <row r="7710" spans="7:8" x14ac:dyDescent="0.3">
      <c r="G7710" s="4"/>
      <c r="H7710" s="4"/>
    </row>
    <row r="7711" spans="7:8" x14ac:dyDescent="0.3">
      <c r="G7711" s="4"/>
      <c r="H7711" s="4"/>
    </row>
    <row r="7712" spans="7:8" x14ac:dyDescent="0.3">
      <c r="G7712" s="4"/>
      <c r="H7712" s="4"/>
    </row>
    <row r="7713" spans="7:8" x14ac:dyDescent="0.3">
      <c r="G7713" s="4"/>
      <c r="H7713" s="4"/>
    </row>
    <row r="7714" spans="7:8" x14ac:dyDescent="0.3">
      <c r="G7714" s="4"/>
      <c r="H7714" s="4"/>
    </row>
    <row r="7715" spans="7:8" x14ac:dyDescent="0.3">
      <c r="G7715" s="4"/>
      <c r="H7715" s="4"/>
    </row>
    <row r="7716" spans="7:8" x14ac:dyDescent="0.3">
      <c r="G7716" s="4"/>
      <c r="H7716" s="4"/>
    </row>
    <row r="7717" spans="7:8" x14ac:dyDescent="0.3">
      <c r="G7717" s="4"/>
      <c r="H7717" s="4"/>
    </row>
    <row r="7718" spans="7:8" x14ac:dyDescent="0.3">
      <c r="G7718" s="4"/>
      <c r="H7718" s="4"/>
    </row>
    <row r="7719" spans="7:8" x14ac:dyDescent="0.3">
      <c r="G7719" s="4"/>
      <c r="H7719" s="4"/>
    </row>
    <row r="7720" spans="7:8" x14ac:dyDescent="0.3">
      <c r="G7720" s="4"/>
      <c r="H7720" s="4"/>
    </row>
    <row r="7721" spans="7:8" x14ac:dyDescent="0.3">
      <c r="G7721" s="4"/>
      <c r="H7721" s="4"/>
    </row>
    <row r="7722" spans="7:8" x14ac:dyDescent="0.3">
      <c r="G7722" s="4"/>
      <c r="H7722" s="4"/>
    </row>
    <row r="7723" spans="7:8" x14ac:dyDescent="0.3">
      <c r="G7723" s="4"/>
      <c r="H7723" s="4"/>
    </row>
    <row r="7724" spans="7:8" x14ac:dyDescent="0.3">
      <c r="G7724" s="4"/>
      <c r="H7724" s="4"/>
    </row>
    <row r="7725" spans="7:8" x14ac:dyDescent="0.3">
      <c r="G7725" s="4"/>
      <c r="H7725" s="4"/>
    </row>
    <row r="7726" spans="7:8" x14ac:dyDescent="0.3">
      <c r="G7726" s="4"/>
      <c r="H7726" s="4"/>
    </row>
    <row r="7727" spans="7:8" x14ac:dyDescent="0.3">
      <c r="G7727" s="4"/>
      <c r="H7727" s="4"/>
    </row>
    <row r="7728" spans="7:8" x14ac:dyDescent="0.3">
      <c r="G7728" s="4"/>
      <c r="H7728" s="4"/>
    </row>
    <row r="7729" spans="7:8" x14ac:dyDescent="0.3">
      <c r="G7729" s="4"/>
      <c r="H7729" s="4"/>
    </row>
    <row r="7730" spans="7:8" x14ac:dyDescent="0.3">
      <c r="G7730" s="4"/>
      <c r="H7730" s="4"/>
    </row>
    <row r="7731" spans="7:8" x14ac:dyDescent="0.3">
      <c r="G7731" s="4"/>
      <c r="H7731" s="4"/>
    </row>
    <row r="7732" spans="7:8" x14ac:dyDescent="0.3">
      <c r="G7732" s="4"/>
      <c r="H7732" s="4"/>
    </row>
    <row r="7733" spans="7:8" x14ac:dyDescent="0.3">
      <c r="G7733" s="4"/>
      <c r="H7733" s="4"/>
    </row>
    <row r="7734" spans="7:8" x14ac:dyDescent="0.3">
      <c r="G7734" s="4"/>
      <c r="H7734" s="4"/>
    </row>
    <row r="7735" spans="7:8" x14ac:dyDescent="0.3">
      <c r="G7735" s="4"/>
      <c r="H7735" s="4"/>
    </row>
    <row r="7736" spans="7:8" x14ac:dyDescent="0.3">
      <c r="G7736" s="4"/>
      <c r="H7736" s="4"/>
    </row>
    <row r="7737" spans="7:8" x14ac:dyDescent="0.3">
      <c r="G7737" s="4"/>
      <c r="H7737" s="4"/>
    </row>
    <row r="7738" spans="7:8" x14ac:dyDescent="0.3">
      <c r="G7738" s="4"/>
      <c r="H7738" s="4"/>
    </row>
    <row r="7739" spans="7:8" x14ac:dyDescent="0.3">
      <c r="G7739" s="4"/>
      <c r="H7739" s="4"/>
    </row>
    <row r="7740" spans="7:8" x14ac:dyDescent="0.3">
      <c r="G7740" s="4"/>
      <c r="H7740" s="4"/>
    </row>
    <row r="7741" spans="7:8" x14ac:dyDescent="0.3">
      <c r="G7741" s="4"/>
      <c r="H7741" s="4"/>
    </row>
    <row r="7742" spans="7:8" x14ac:dyDescent="0.3">
      <c r="G7742" s="4"/>
      <c r="H7742" s="4"/>
    </row>
    <row r="7743" spans="7:8" x14ac:dyDescent="0.3">
      <c r="G7743" s="4"/>
      <c r="H7743" s="4"/>
    </row>
    <row r="7744" spans="7:8" x14ac:dyDescent="0.3">
      <c r="G7744" s="4"/>
      <c r="H7744" s="4"/>
    </row>
    <row r="7745" spans="7:8" x14ac:dyDescent="0.3">
      <c r="G7745" s="4"/>
      <c r="H7745" s="4"/>
    </row>
    <row r="7746" spans="7:8" x14ac:dyDescent="0.3">
      <c r="G7746" s="4"/>
      <c r="H7746" s="4"/>
    </row>
    <row r="7747" spans="7:8" x14ac:dyDescent="0.3">
      <c r="G7747" s="4"/>
      <c r="H7747" s="4"/>
    </row>
    <row r="7748" spans="7:8" x14ac:dyDescent="0.3">
      <c r="G7748" s="4"/>
      <c r="H7748" s="4"/>
    </row>
    <row r="7749" spans="7:8" x14ac:dyDescent="0.3">
      <c r="G7749" s="4"/>
      <c r="H7749" s="4"/>
    </row>
    <row r="7750" spans="7:8" x14ac:dyDescent="0.3">
      <c r="G7750" s="4"/>
      <c r="H7750" s="4"/>
    </row>
    <row r="7751" spans="7:8" x14ac:dyDescent="0.3">
      <c r="G7751" s="4"/>
      <c r="H7751" s="4"/>
    </row>
    <row r="7752" spans="7:8" x14ac:dyDescent="0.3">
      <c r="G7752" s="4"/>
      <c r="H7752" s="4"/>
    </row>
    <row r="7753" spans="7:8" x14ac:dyDescent="0.3">
      <c r="G7753" s="4"/>
      <c r="H7753" s="4"/>
    </row>
    <row r="7754" spans="7:8" x14ac:dyDescent="0.3">
      <c r="G7754" s="4"/>
      <c r="H7754" s="4"/>
    </row>
    <row r="7755" spans="7:8" x14ac:dyDescent="0.3">
      <c r="G7755" s="4"/>
      <c r="H7755" s="4"/>
    </row>
    <row r="7756" spans="7:8" x14ac:dyDescent="0.3">
      <c r="G7756" s="4"/>
      <c r="H7756" s="4"/>
    </row>
    <row r="7757" spans="7:8" x14ac:dyDescent="0.3">
      <c r="G7757" s="4"/>
      <c r="H7757" s="4"/>
    </row>
    <row r="7758" spans="7:8" x14ac:dyDescent="0.3">
      <c r="G7758" s="4"/>
      <c r="H7758" s="4"/>
    </row>
    <row r="7759" spans="7:8" x14ac:dyDescent="0.3">
      <c r="G7759" s="4"/>
      <c r="H7759" s="4"/>
    </row>
    <row r="7760" spans="7:8" x14ac:dyDescent="0.3">
      <c r="G7760" s="4"/>
      <c r="H7760" s="4"/>
    </row>
    <row r="7761" spans="7:8" x14ac:dyDescent="0.3">
      <c r="G7761" s="4"/>
      <c r="H7761" s="4"/>
    </row>
    <row r="7762" spans="7:8" x14ac:dyDescent="0.3">
      <c r="G7762" s="4"/>
      <c r="H7762" s="4"/>
    </row>
    <row r="7763" spans="7:8" x14ac:dyDescent="0.3">
      <c r="G7763" s="4"/>
      <c r="H7763" s="4"/>
    </row>
    <row r="7764" spans="7:8" x14ac:dyDescent="0.3">
      <c r="G7764" s="4"/>
      <c r="H7764" s="4"/>
    </row>
    <row r="7765" spans="7:8" x14ac:dyDescent="0.3">
      <c r="G7765" s="4"/>
      <c r="H7765" s="4"/>
    </row>
    <row r="7766" spans="7:8" x14ac:dyDescent="0.3">
      <c r="G7766" s="4"/>
      <c r="H7766" s="4"/>
    </row>
    <row r="7767" spans="7:8" x14ac:dyDescent="0.3">
      <c r="G7767" s="4"/>
      <c r="H7767" s="4"/>
    </row>
    <row r="7768" spans="7:8" x14ac:dyDescent="0.3">
      <c r="G7768" s="4"/>
      <c r="H7768" s="4"/>
    </row>
    <row r="7769" spans="7:8" x14ac:dyDescent="0.3">
      <c r="G7769" s="4"/>
      <c r="H7769" s="4"/>
    </row>
    <row r="7770" spans="7:8" x14ac:dyDescent="0.3">
      <c r="G7770" s="4"/>
      <c r="H7770" s="4"/>
    </row>
    <row r="7771" spans="7:8" x14ac:dyDescent="0.3">
      <c r="G7771" s="4"/>
      <c r="H7771" s="4"/>
    </row>
    <row r="7772" spans="7:8" x14ac:dyDescent="0.3">
      <c r="G7772" s="4"/>
      <c r="H7772" s="4"/>
    </row>
    <row r="7773" spans="7:8" x14ac:dyDescent="0.3">
      <c r="G7773" s="4"/>
      <c r="H7773" s="4"/>
    </row>
    <row r="7774" spans="7:8" x14ac:dyDescent="0.3">
      <c r="G7774" s="4"/>
      <c r="H7774" s="4"/>
    </row>
    <row r="7775" spans="7:8" x14ac:dyDescent="0.3">
      <c r="G7775" s="4"/>
      <c r="H7775" s="4"/>
    </row>
    <row r="7776" spans="7:8" x14ac:dyDescent="0.3">
      <c r="G7776" s="4"/>
      <c r="H7776" s="4"/>
    </row>
    <row r="7777" spans="7:8" x14ac:dyDescent="0.3">
      <c r="G7777" s="4"/>
      <c r="H7777" s="4"/>
    </row>
    <row r="7778" spans="7:8" x14ac:dyDescent="0.3">
      <c r="G7778" s="4"/>
      <c r="H7778" s="4"/>
    </row>
    <row r="7779" spans="7:8" x14ac:dyDescent="0.3">
      <c r="G7779" s="4"/>
      <c r="H7779" s="4"/>
    </row>
    <row r="7780" spans="7:8" x14ac:dyDescent="0.3">
      <c r="G7780" s="4"/>
      <c r="H7780" s="4"/>
    </row>
    <row r="7781" spans="7:8" x14ac:dyDescent="0.3">
      <c r="G7781" s="4"/>
      <c r="H7781" s="4"/>
    </row>
    <row r="7782" spans="7:8" x14ac:dyDescent="0.3">
      <c r="G7782" s="4"/>
      <c r="H7782" s="4"/>
    </row>
    <row r="7783" spans="7:8" x14ac:dyDescent="0.3">
      <c r="G7783" s="4"/>
      <c r="H7783" s="4"/>
    </row>
    <row r="7784" spans="7:8" x14ac:dyDescent="0.3">
      <c r="G7784" s="4"/>
      <c r="H7784" s="4"/>
    </row>
    <row r="7785" spans="7:8" x14ac:dyDescent="0.3">
      <c r="G7785" s="4"/>
      <c r="H7785" s="4"/>
    </row>
    <row r="7786" spans="7:8" x14ac:dyDescent="0.3">
      <c r="G7786" s="4"/>
      <c r="H7786" s="4"/>
    </row>
    <row r="7787" spans="7:8" x14ac:dyDescent="0.3">
      <c r="G7787" s="4"/>
      <c r="H7787" s="4"/>
    </row>
    <row r="7788" spans="7:8" x14ac:dyDescent="0.3">
      <c r="G7788" s="4"/>
      <c r="H7788" s="4"/>
    </row>
    <row r="7789" spans="7:8" x14ac:dyDescent="0.3">
      <c r="G7789" s="4"/>
      <c r="H7789" s="4"/>
    </row>
    <row r="7790" spans="7:8" x14ac:dyDescent="0.3">
      <c r="G7790" s="4"/>
      <c r="H7790" s="4"/>
    </row>
    <row r="7791" spans="7:8" x14ac:dyDescent="0.3">
      <c r="G7791" s="4"/>
      <c r="H7791" s="4"/>
    </row>
    <row r="7792" spans="7:8" x14ac:dyDescent="0.3">
      <c r="G7792" s="4"/>
      <c r="H7792" s="4"/>
    </row>
    <row r="7793" spans="7:8" x14ac:dyDescent="0.3">
      <c r="G7793" s="4"/>
      <c r="H7793" s="4"/>
    </row>
    <row r="7794" spans="7:8" x14ac:dyDescent="0.3">
      <c r="G7794" s="4"/>
      <c r="H7794" s="4"/>
    </row>
    <row r="7795" spans="7:8" x14ac:dyDescent="0.3">
      <c r="G7795" s="4"/>
      <c r="H7795" s="4"/>
    </row>
    <row r="7796" spans="7:8" x14ac:dyDescent="0.3">
      <c r="G7796" s="4"/>
      <c r="H7796" s="4"/>
    </row>
    <row r="7797" spans="7:8" x14ac:dyDescent="0.3">
      <c r="G7797" s="4"/>
      <c r="H7797" s="4"/>
    </row>
    <row r="7798" spans="7:8" x14ac:dyDescent="0.3">
      <c r="G7798" s="4"/>
      <c r="H7798" s="4"/>
    </row>
    <row r="7799" spans="7:8" x14ac:dyDescent="0.3">
      <c r="G7799" s="4"/>
      <c r="H7799" s="4"/>
    </row>
    <row r="7800" spans="7:8" x14ac:dyDescent="0.3">
      <c r="G7800" s="4"/>
      <c r="H7800" s="4"/>
    </row>
    <row r="7801" spans="7:8" x14ac:dyDescent="0.3">
      <c r="G7801" s="4"/>
      <c r="H7801" s="4"/>
    </row>
    <row r="7802" spans="7:8" x14ac:dyDescent="0.3">
      <c r="G7802" s="4"/>
      <c r="H7802" s="4"/>
    </row>
    <row r="7803" spans="7:8" x14ac:dyDescent="0.3">
      <c r="G7803" s="4"/>
      <c r="H7803" s="4"/>
    </row>
    <row r="7804" spans="7:8" x14ac:dyDescent="0.3">
      <c r="G7804" s="4"/>
      <c r="H7804" s="4"/>
    </row>
    <row r="7805" spans="7:8" x14ac:dyDescent="0.3">
      <c r="G7805" s="4"/>
      <c r="H7805" s="4"/>
    </row>
    <row r="7806" spans="7:8" x14ac:dyDescent="0.3">
      <c r="G7806" s="4"/>
      <c r="H7806" s="4"/>
    </row>
    <row r="7807" spans="7:8" x14ac:dyDescent="0.3">
      <c r="G7807" s="4"/>
      <c r="H7807" s="4"/>
    </row>
    <row r="7808" spans="7:8" x14ac:dyDescent="0.3">
      <c r="G7808" s="4"/>
      <c r="H7808" s="4"/>
    </row>
    <row r="7809" spans="7:8" x14ac:dyDescent="0.3">
      <c r="G7809" s="4"/>
      <c r="H7809" s="4"/>
    </row>
    <row r="7810" spans="7:8" x14ac:dyDescent="0.3">
      <c r="G7810" s="4"/>
      <c r="H7810" s="4"/>
    </row>
    <row r="7811" spans="7:8" x14ac:dyDescent="0.3">
      <c r="G7811" s="4"/>
      <c r="H7811" s="4"/>
    </row>
    <row r="7812" spans="7:8" x14ac:dyDescent="0.3">
      <c r="G7812" s="4"/>
      <c r="H7812" s="4"/>
    </row>
    <row r="7813" spans="7:8" x14ac:dyDescent="0.3">
      <c r="G7813" s="4"/>
      <c r="H7813" s="4"/>
    </row>
    <row r="7814" spans="7:8" x14ac:dyDescent="0.3">
      <c r="G7814" s="4"/>
      <c r="H7814" s="4"/>
    </row>
    <row r="7815" spans="7:8" x14ac:dyDescent="0.3">
      <c r="G7815" s="4"/>
      <c r="H7815" s="4"/>
    </row>
    <row r="7816" spans="7:8" x14ac:dyDescent="0.3">
      <c r="G7816" s="4"/>
      <c r="H7816" s="4"/>
    </row>
    <row r="7817" spans="7:8" x14ac:dyDescent="0.3">
      <c r="G7817" s="4"/>
      <c r="H7817" s="4"/>
    </row>
    <row r="7818" spans="7:8" x14ac:dyDescent="0.3">
      <c r="G7818" s="4"/>
      <c r="H7818" s="4"/>
    </row>
    <row r="7819" spans="7:8" x14ac:dyDescent="0.3">
      <c r="G7819" s="4"/>
      <c r="H7819" s="4"/>
    </row>
    <row r="7820" spans="7:8" x14ac:dyDescent="0.3">
      <c r="G7820" s="4"/>
      <c r="H7820" s="4"/>
    </row>
    <row r="7821" spans="7:8" x14ac:dyDescent="0.3">
      <c r="G7821" s="4"/>
      <c r="H7821" s="4"/>
    </row>
    <row r="7822" spans="7:8" x14ac:dyDescent="0.3">
      <c r="G7822" s="4"/>
      <c r="H7822" s="4"/>
    </row>
    <row r="7823" spans="7:8" x14ac:dyDescent="0.3">
      <c r="G7823" s="4"/>
      <c r="H7823" s="4"/>
    </row>
    <row r="7824" spans="7:8" x14ac:dyDescent="0.3">
      <c r="G7824" s="4"/>
      <c r="H7824" s="4"/>
    </row>
    <row r="7825" spans="7:8" x14ac:dyDescent="0.3">
      <c r="G7825" s="4"/>
      <c r="H7825" s="4"/>
    </row>
    <row r="7826" spans="7:8" x14ac:dyDescent="0.3">
      <c r="G7826" s="4"/>
      <c r="H7826" s="4"/>
    </row>
    <row r="7827" spans="7:8" x14ac:dyDescent="0.3">
      <c r="G7827" s="4"/>
      <c r="H7827" s="4"/>
    </row>
    <row r="7828" spans="7:8" x14ac:dyDescent="0.3">
      <c r="G7828" s="4"/>
      <c r="H7828" s="4"/>
    </row>
    <row r="7829" spans="7:8" x14ac:dyDescent="0.3">
      <c r="G7829" s="4"/>
      <c r="H7829" s="4"/>
    </row>
    <row r="7830" spans="7:8" x14ac:dyDescent="0.3">
      <c r="G7830" s="4"/>
      <c r="H7830" s="4"/>
    </row>
    <row r="7831" spans="7:8" x14ac:dyDescent="0.3">
      <c r="G7831" s="4"/>
      <c r="H7831" s="4"/>
    </row>
    <row r="7832" spans="7:8" x14ac:dyDescent="0.3">
      <c r="G7832" s="4"/>
      <c r="H7832" s="4"/>
    </row>
    <row r="7833" spans="7:8" x14ac:dyDescent="0.3">
      <c r="G7833" s="4"/>
      <c r="H7833" s="4"/>
    </row>
    <row r="7834" spans="7:8" x14ac:dyDescent="0.3">
      <c r="G7834" s="4"/>
      <c r="H7834" s="4"/>
    </row>
    <row r="7835" spans="7:8" x14ac:dyDescent="0.3">
      <c r="G7835" s="4"/>
      <c r="H7835" s="4"/>
    </row>
    <row r="7836" spans="7:8" x14ac:dyDescent="0.3">
      <c r="G7836" s="4"/>
      <c r="H7836" s="4"/>
    </row>
    <row r="7837" spans="7:8" x14ac:dyDescent="0.3">
      <c r="G7837" s="4"/>
      <c r="H7837" s="4"/>
    </row>
    <row r="7838" spans="7:8" x14ac:dyDescent="0.3">
      <c r="G7838" s="4"/>
      <c r="H7838" s="4"/>
    </row>
    <row r="7839" spans="7:8" x14ac:dyDescent="0.3">
      <c r="G7839" s="4"/>
      <c r="H7839" s="4"/>
    </row>
    <row r="7840" spans="7:8" x14ac:dyDescent="0.3">
      <c r="G7840" s="4"/>
      <c r="H7840" s="4"/>
    </row>
    <row r="7841" spans="7:8" x14ac:dyDescent="0.3">
      <c r="G7841" s="4"/>
      <c r="H7841" s="4"/>
    </row>
    <row r="7842" spans="7:8" x14ac:dyDescent="0.3">
      <c r="G7842" s="4"/>
      <c r="H7842" s="4"/>
    </row>
    <row r="7843" spans="7:8" x14ac:dyDescent="0.3">
      <c r="G7843" s="4"/>
      <c r="H7843" s="4"/>
    </row>
    <row r="7844" spans="7:8" x14ac:dyDescent="0.3">
      <c r="G7844" s="4"/>
      <c r="H7844" s="4"/>
    </row>
    <row r="7845" spans="7:8" x14ac:dyDescent="0.3">
      <c r="G7845" s="4"/>
      <c r="H7845" s="4"/>
    </row>
    <row r="7846" spans="7:8" x14ac:dyDescent="0.3">
      <c r="G7846" s="4"/>
      <c r="H7846" s="4"/>
    </row>
    <row r="7847" spans="7:8" x14ac:dyDescent="0.3">
      <c r="G7847" s="4"/>
      <c r="H7847" s="4"/>
    </row>
    <row r="7848" spans="7:8" x14ac:dyDescent="0.3">
      <c r="G7848" s="4"/>
      <c r="H7848" s="4"/>
    </row>
    <row r="7849" spans="7:8" x14ac:dyDescent="0.3">
      <c r="G7849" s="4"/>
      <c r="H7849" s="4"/>
    </row>
    <row r="7850" spans="7:8" x14ac:dyDescent="0.3">
      <c r="G7850" s="4"/>
      <c r="H7850" s="4"/>
    </row>
    <row r="7851" spans="7:8" x14ac:dyDescent="0.3">
      <c r="G7851" s="4"/>
      <c r="H7851" s="4"/>
    </row>
    <row r="7852" spans="7:8" x14ac:dyDescent="0.3">
      <c r="G7852" s="4"/>
      <c r="H7852" s="4"/>
    </row>
    <row r="7853" spans="7:8" x14ac:dyDescent="0.3">
      <c r="G7853" s="4"/>
      <c r="H7853" s="4"/>
    </row>
    <row r="7854" spans="7:8" x14ac:dyDescent="0.3">
      <c r="G7854" s="4"/>
      <c r="H7854" s="4"/>
    </row>
    <row r="7855" spans="7:8" x14ac:dyDescent="0.3">
      <c r="G7855" s="4"/>
      <c r="H7855" s="4"/>
    </row>
    <row r="7856" spans="7:8" x14ac:dyDescent="0.3">
      <c r="G7856" s="4"/>
      <c r="H7856" s="4"/>
    </row>
    <row r="7857" spans="7:8" x14ac:dyDescent="0.3">
      <c r="G7857" s="4"/>
      <c r="H7857" s="4"/>
    </row>
    <row r="7858" spans="7:8" x14ac:dyDescent="0.3">
      <c r="G7858" s="4"/>
      <c r="H7858" s="4"/>
    </row>
    <row r="7859" spans="7:8" x14ac:dyDescent="0.3">
      <c r="G7859" s="4"/>
      <c r="H7859" s="4"/>
    </row>
    <row r="7860" spans="7:8" x14ac:dyDescent="0.3">
      <c r="G7860" s="4"/>
      <c r="H7860" s="4"/>
    </row>
    <row r="7861" spans="7:8" x14ac:dyDescent="0.3">
      <c r="G7861" s="4"/>
      <c r="H7861" s="4"/>
    </row>
    <row r="7862" spans="7:8" x14ac:dyDescent="0.3">
      <c r="G7862" s="4"/>
      <c r="H7862" s="4"/>
    </row>
    <row r="7863" spans="7:8" x14ac:dyDescent="0.3">
      <c r="G7863" s="4"/>
      <c r="H7863" s="4"/>
    </row>
    <row r="7864" spans="7:8" x14ac:dyDescent="0.3">
      <c r="G7864" s="4"/>
      <c r="H7864" s="4"/>
    </row>
    <row r="7865" spans="7:8" x14ac:dyDescent="0.3">
      <c r="G7865" s="4"/>
      <c r="H7865" s="4"/>
    </row>
    <row r="7866" spans="7:8" x14ac:dyDescent="0.3">
      <c r="G7866" s="4"/>
      <c r="H7866" s="4"/>
    </row>
    <row r="7867" spans="7:8" x14ac:dyDescent="0.3">
      <c r="G7867" s="4"/>
      <c r="H7867" s="4"/>
    </row>
    <row r="7868" spans="7:8" x14ac:dyDescent="0.3">
      <c r="G7868" s="4"/>
      <c r="H7868" s="4"/>
    </row>
    <row r="7869" spans="7:8" x14ac:dyDescent="0.3">
      <c r="G7869" s="4"/>
      <c r="H7869" s="4"/>
    </row>
    <row r="7870" spans="7:8" x14ac:dyDescent="0.3">
      <c r="G7870" s="4"/>
      <c r="H7870" s="4"/>
    </row>
    <row r="7871" spans="7:8" x14ac:dyDescent="0.3">
      <c r="G7871" s="4"/>
      <c r="H7871" s="4"/>
    </row>
    <row r="7872" spans="7:8" x14ac:dyDescent="0.3">
      <c r="G7872" s="4"/>
      <c r="H7872" s="4"/>
    </row>
    <row r="7873" spans="7:8" x14ac:dyDescent="0.3">
      <c r="G7873" s="4"/>
      <c r="H7873" s="4"/>
    </row>
    <row r="7874" spans="7:8" x14ac:dyDescent="0.3">
      <c r="G7874" s="4"/>
      <c r="H7874" s="4"/>
    </row>
    <row r="7875" spans="7:8" x14ac:dyDescent="0.3">
      <c r="G7875" s="4"/>
      <c r="H7875" s="4"/>
    </row>
    <row r="7876" spans="7:8" x14ac:dyDescent="0.3">
      <c r="G7876" s="4"/>
      <c r="H7876" s="4"/>
    </row>
    <row r="7877" spans="7:8" x14ac:dyDescent="0.3">
      <c r="G7877" s="4"/>
      <c r="H7877" s="4"/>
    </row>
    <row r="7878" spans="7:8" x14ac:dyDescent="0.3">
      <c r="G7878" s="4"/>
      <c r="H7878" s="4"/>
    </row>
    <row r="7879" spans="7:8" x14ac:dyDescent="0.3">
      <c r="G7879" s="4"/>
      <c r="H7879" s="4"/>
    </row>
    <row r="7880" spans="7:8" x14ac:dyDescent="0.3">
      <c r="G7880" s="4"/>
      <c r="H7880" s="4"/>
    </row>
    <row r="7881" spans="7:8" x14ac:dyDescent="0.3">
      <c r="G7881" s="4"/>
      <c r="H7881" s="4"/>
    </row>
    <row r="7882" spans="7:8" x14ac:dyDescent="0.3">
      <c r="G7882" s="4"/>
      <c r="H7882" s="4"/>
    </row>
    <row r="7883" spans="7:8" x14ac:dyDescent="0.3">
      <c r="G7883" s="4"/>
      <c r="H7883" s="4"/>
    </row>
    <row r="7884" spans="7:8" x14ac:dyDescent="0.3">
      <c r="G7884" s="4"/>
      <c r="H7884" s="4"/>
    </row>
    <row r="7885" spans="7:8" x14ac:dyDescent="0.3">
      <c r="G7885" s="4"/>
      <c r="H7885" s="4"/>
    </row>
    <row r="7886" spans="7:8" x14ac:dyDescent="0.3">
      <c r="G7886" s="4"/>
      <c r="H7886" s="4"/>
    </row>
    <row r="7887" spans="7:8" x14ac:dyDescent="0.3">
      <c r="G7887" s="4"/>
      <c r="H7887" s="4"/>
    </row>
    <row r="7888" spans="7:8" x14ac:dyDescent="0.3">
      <c r="G7888" s="4"/>
      <c r="H7888" s="4"/>
    </row>
    <row r="7889" spans="7:8" x14ac:dyDescent="0.3">
      <c r="G7889" s="4"/>
      <c r="H7889" s="4"/>
    </row>
    <row r="7890" spans="7:8" x14ac:dyDescent="0.3">
      <c r="G7890" s="4"/>
      <c r="H7890" s="4"/>
    </row>
    <row r="7891" spans="7:8" x14ac:dyDescent="0.3">
      <c r="G7891" s="4"/>
      <c r="H7891" s="4"/>
    </row>
    <row r="7892" spans="7:8" x14ac:dyDescent="0.3">
      <c r="G7892" s="4"/>
      <c r="H7892" s="4"/>
    </row>
    <row r="7893" spans="7:8" x14ac:dyDescent="0.3">
      <c r="G7893" s="4"/>
      <c r="H7893" s="4"/>
    </row>
    <row r="7894" spans="7:8" x14ac:dyDescent="0.3">
      <c r="G7894" s="4"/>
      <c r="H7894" s="4"/>
    </row>
    <row r="7895" spans="7:8" x14ac:dyDescent="0.3">
      <c r="G7895" s="4"/>
      <c r="H7895" s="4"/>
    </row>
    <row r="7896" spans="7:8" x14ac:dyDescent="0.3">
      <c r="G7896" s="4"/>
      <c r="H7896" s="4"/>
    </row>
    <row r="7897" spans="7:8" x14ac:dyDescent="0.3">
      <c r="G7897" s="4"/>
      <c r="H7897" s="4"/>
    </row>
    <row r="7898" spans="7:8" x14ac:dyDescent="0.3">
      <c r="G7898" s="4"/>
      <c r="H7898" s="4"/>
    </row>
    <row r="7899" spans="7:8" x14ac:dyDescent="0.3">
      <c r="G7899" s="4"/>
      <c r="H7899" s="4"/>
    </row>
    <row r="7900" spans="7:8" x14ac:dyDescent="0.3">
      <c r="G7900" s="4"/>
      <c r="H7900" s="4"/>
    </row>
    <row r="7901" spans="7:8" x14ac:dyDescent="0.3">
      <c r="G7901" s="4"/>
      <c r="H7901" s="4"/>
    </row>
    <row r="7902" spans="7:8" x14ac:dyDescent="0.3">
      <c r="G7902" s="4"/>
      <c r="H7902" s="4"/>
    </row>
    <row r="7903" spans="7:8" x14ac:dyDescent="0.3">
      <c r="G7903" s="4"/>
      <c r="H7903" s="4"/>
    </row>
    <row r="7904" spans="7:8" x14ac:dyDescent="0.3">
      <c r="G7904" s="4"/>
      <c r="H7904" s="4"/>
    </row>
    <row r="7905" spans="7:8" x14ac:dyDescent="0.3">
      <c r="G7905" s="4"/>
      <c r="H7905" s="4"/>
    </row>
    <row r="7906" spans="7:8" x14ac:dyDescent="0.3">
      <c r="G7906" s="4"/>
      <c r="H7906" s="4"/>
    </row>
    <row r="7907" spans="7:8" x14ac:dyDescent="0.3">
      <c r="G7907" s="4"/>
      <c r="H7907" s="4"/>
    </row>
    <row r="7908" spans="7:8" x14ac:dyDescent="0.3">
      <c r="G7908" s="4"/>
      <c r="H7908" s="4"/>
    </row>
    <row r="7909" spans="7:8" x14ac:dyDescent="0.3">
      <c r="G7909" s="4"/>
      <c r="H7909" s="4"/>
    </row>
    <row r="7910" spans="7:8" x14ac:dyDescent="0.3">
      <c r="G7910" s="4"/>
      <c r="H7910" s="4"/>
    </row>
    <row r="7911" spans="7:8" x14ac:dyDescent="0.3">
      <c r="G7911" s="4"/>
      <c r="H7911" s="4"/>
    </row>
    <row r="7912" spans="7:8" x14ac:dyDescent="0.3">
      <c r="G7912" s="4"/>
      <c r="H7912" s="4"/>
    </row>
    <row r="7913" spans="7:8" x14ac:dyDescent="0.3">
      <c r="G7913" s="4"/>
      <c r="H7913" s="4"/>
    </row>
    <row r="7914" spans="7:8" x14ac:dyDescent="0.3">
      <c r="G7914" s="4"/>
      <c r="H7914" s="4"/>
    </row>
    <row r="7915" spans="7:8" x14ac:dyDescent="0.3">
      <c r="G7915" s="4"/>
      <c r="H7915" s="4"/>
    </row>
    <row r="7916" spans="7:8" x14ac:dyDescent="0.3">
      <c r="G7916" s="4"/>
      <c r="H7916" s="4"/>
    </row>
    <row r="7917" spans="7:8" x14ac:dyDescent="0.3">
      <c r="G7917" s="4"/>
      <c r="H7917" s="4"/>
    </row>
    <row r="7918" spans="7:8" x14ac:dyDescent="0.3">
      <c r="G7918" s="4"/>
      <c r="H7918" s="4"/>
    </row>
    <row r="7919" spans="7:8" x14ac:dyDescent="0.3">
      <c r="G7919" s="4"/>
      <c r="H7919" s="4"/>
    </row>
    <row r="7920" spans="7:8" x14ac:dyDescent="0.3">
      <c r="G7920" s="4"/>
      <c r="H7920" s="4"/>
    </row>
    <row r="7921" spans="7:8" x14ac:dyDescent="0.3">
      <c r="G7921" s="4"/>
      <c r="H7921" s="4"/>
    </row>
    <row r="7922" spans="7:8" x14ac:dyDescent="0.3">
      <c r="G7922" s="4"/>
      <c r="H7922" s="4"/>
    </row>
    <row r="7923" spans="7:8" x14ac:dyDescent="0.3">
      <c r="G7923" s="4"/>
      <c r="H7923" s="4"/>
    </row>
    <row r="7924" spans="7:8" x14ac:dyDescent="0.3">
      <c r="G7924" s="4"/>
      <c r="H7924" s="4"/>
    </row>
    <row r="7925" spans="7:8" x14ac:dyDescent="0.3">
      <c r="G7925" s="4"/>
      <c r="H7925" s="4"/>
    </row>
    <row r="7926" spans="7:8" x14ac:dyDescent="0.3">
      <c r="G7926" s="4"/>
      <c r="H7926" s="4"/>
    </row>
    <row r="7927" spans="7:8" x14ac:dyDescent="0.3">
      <c r="G7927" s="4"/>
      <c r="H7927" s="4"/>
    </row>
    <row r="7928" spans="7:8" x14ac:dyDescent="0.3">
      <c r="G7928" s="4"/>
      <c r="H7928" s="4"/>
    </row>
    <row r="7929" spans="7:8" x14ac:dyDescent="0.3">
      <c r="G7929" s="4"/>
      <c r="H7929" s="4"/>
    </row>
    <row r="7930" spans="7:8" x14ac:dyDescent="0.3">
      <c r="G7930" s="4"/>
      <c r="H7930" s="4"/>
    </row>
    <row r="7931" spans="7:8" x14ac:dyDescent="0.3">
      <c r="G7931" s="4"/>
      <c r="H7931" s="4"/>
    </row>
    <row r="7932" spans="7:8" x14ac:dyDescent="0.3">
      <c r="G7932" s="4"/>
      <c r="H7932" s="4"/>
    </row>
    <row r="7933" spans="7:8" x14ac:dyDescent="0.3">
      <c r="G7933" s="4"/>
      <c r="H7933" s="4"/>
    </row>
    <row r="7934" spans="7:8" x14ac:dyDescent="0.3">
      <c r="G7934" s="4"/>
      <c r="H7934" s="4"/>
    </row>
    <row r="7935" spans="7:8" x14ac:dyDescent="0.3">
      <c r="G7935" s="4"/>
      <c r="H7935" s="4"/>
    </row>
    <row r="7936" spans="7:8" x14ac:dyDescent="0.3">
      <c r="G7936" s="4"/>
      <c r="H7936" s="4"/>
    </row>
    <row r="7937" spans="7:8" x14ac:dyDescent="0.3">
      <c r="G7937" s="4"/>
      <c r="H7937" s="4"/>
    </row>
    <row r="7938" spans="7:8" x14ac:dyDescent="0.3">
      <c r="G7938" s="4"/>
      <c r="H7938" s="4"/>
    </row>
    <row r="7939" spans="7:8" x14ac:dyDescent="0.3">
      <c r="G7939" s="4"/>
      <c r="H7939" s="4"/>
    </row>
    <row r="7940" spans="7:8" x14ac:dyDescent="0.3">
      <c r="G7940" s="4"/>
      <c r="H7940" s="4"/>
    </row>
    <row r="7941" spans="7:8" x14ac:dyDescent="0.3">
      <c r="G7941" s="4"/>
      <c r="H7941" s="4"/>
    </row>
    <row r="7942" spans="7:8" x14ac:dyDescent="0.3">
      <c r="G7942" s="4"/>
      <c r="H7942" s="4"/>
    </row>
    <row r="7943" spans="7:8" x14ac:dyDescent="0.3">
      <c r="G7943" s="4"/>
      <c r="H7943" s="4"/>
    </row>
    <row r="7944" spans="7:8" x14ac:dyDescent="0.3">
      <c r="G7944" s="4"/>
      <c r="H7944" s="4"/>
    </row>
    <row r="7945" spans="7:8" x14ac:dyDescent="0.3">
      <c r="G7945" s="4"/>
      <c r="H7945" s="4"/>
    </row>
    <row r="7946" spans="7:8" x14ac:dyDescent="0.3">
      <c r="G7946" s="4"/>
      <c r="H7946" s="4"/>
    </row>
    <row r="7947" spans="7:8" x14ac:dyDescent="0.3">
      <c r="G7947" s="4"/>
      <c r="H7947" s="4"/>
    </row>
    <row r="7948" spans="7:8" x14ac:dyDescent="0.3">
      <c r="G7948" s="4"/>
      <c r="H7948" s="4"/>
    </row>
    <row r="7949" spans="7:8" x14ac:dyDescent="0.3">
      <c r="G7949" s="4"/>
      <c r="H7949" s="4"/>
    </row>
    <row r="7950" spans="7:8" x14ac:dyDescent="0.3">
      <c r="G7950" s="4"/>
      <c r="H7950" s="4"/>
    </row>
    <row r="7951" spans="7:8" x14ac:dyDescent="0.3">
      <c r="G7951" s="4"/>
      <c r="H7951" s="4"/>
    </row>
    <row r="7952" spans="7:8" x14ac:dyDescent="0.3">
      <c r="G7952" s="4"/>
      <c r="H7952" s="4"/>
    </row>
    <row r="7953" spans="7:8" x14ac:dyDescent="0.3">
      <c r="G7953" s="4"/>
      <c r="H7953" s="4"/>
    </row>
    <row r="7954" spans="7:8" x14ac:dyDescent="0.3">
      <c r="G7954" s="4"/>
      <c r="H7954" s="4"/>
    </row>
    <row r="7955" spans="7:8" x14ac:dyDescent="0.3">
      <c r="G7955" s="4"/>
      <c r="H7955" s="4"/>
    </row>
    <row r="7956" spans="7:8" x14ac:dyDescent="0.3">
      <c r="G7956" s="4"/>
      <c r="H7956" s="4"/>
    </row>
    <row r="7957" spans="7:8" x14ac:dyDescent="0.3">
      <c r="G7957" s="4"/>
      <c r="H7957" s="4"/>
    </row>
    <row r="7958" spans="7:8" x14ac:dyDescent="0.3">
      <c r="G7958" s="4"/>
      <c r="H7958" s="4"/>
    </row>
    <row r="7959" spans="7:8" x14ac:dyDescent="0.3">
      <c r="G7959" s="4"/>
      <c r="H7959" s="4"/>
    </row>
    <row r="7960" spans="7:8" x14ac:dyDescent="0.3">
      <c r="G7960" s="4"/>
      <c r="H7960" s="4"/>
    </row>
    <row r="7961" spans="7:8" x14ac:dyDescent="0.3">
      <c r="G7961" s="4"/>
      <c r="H7961" s="4"/>
    </row>
    <row r="7962" spans="7:8" x14ac:dyDescent="0.3">
      <c r="G7962" s="4"/>
      <c r="H7962" s="4"/>
    </row>
    <row r="7963" spans="7:8" x14ac:dyDescent="0.3">
      <c r="G7963" s="4"/>
      <c r="H7963" s="4"/>
    </row>
    <row r="7964" spans="7:8" x14ac:dyDescent="0.3">
      <c r="G7964" s="4"/>
      <c r="H7964" s="4"/>
    </row>
    <row r="7965" spans="7:8" x14ac:dyDescent="0.3">
      <c r="G7965" s="4"/>
      <c r="H7965" s="4"/>
    </row>
    <row r="7966" spans="7:8" x14ac:dyDescent="0.3">
      <c r="G7966" s="4"/>
      <c r="H7966" s="4"/>
    </row>
    <row r="7967" spans="7:8" x14ac:dyDescent="0.3">
      <c r="G7967" s="4"/>
      <c r="H7967" s="4"/>
    </row>
    <row r="7968" spans="7:8" x14ac:dyDescent="0.3">
      <c r="G7968" s="4"/>
      <c r="H7968" s="4"/>
    </row>
    <row r="7969" spans="7:8" x14ac:dyDescent="0.3">
      <c r="G7969" s="4"/>
      <c r="H7969" s="4"/>
    </row>
    <row r="7970" spans="7:8" x14ac:dyDescent="0.3">
      <c r="G7970" s="4"/>
      <c r="H7970" s="4"/>
    </row>
    <row r="7971" spans="7:8" x14ac:dyDescent="0.3">
      <c r="G7971" s="4"/>
      <c r="H7971" s="4"/>
    </row>
    <row r="7972" spans="7:8" x14ac:dyDescent="0.3">
      <c r="G7972" s="4"/>
      <c r="H7972" s="4"/>
    </row>
    <row r="7973" spans="7:8" x14ac:dyDescent="0.3">
      <c r="G7973" s="4"/>
      <c r="H7973" s="4"/>
    </row>
    <row r="7974" spans="7:8" x14ac:dyDescent="0.3">
      <c r="G7974" s="4"/>
      <c r="H7974" s="4"/>
    </row>
    <row r="7975" spans="7:8" x14ac:dyDescent="0.3">
      <c r="G7975" s="4"/>
      <c r="H7975" s="4"/>
    </row>
    <row r="7976" spans="7:8" x14ac:dyDescent="0.3">
      <c r="G7976" s="4"/>
      <c r="H7976" s="4"/>
    </row>
    <row r="7977" spans="7:8" x14ac:dyDescent="0.3">
      <c r="G7977" s="4"/>
      <c r="H7977" s="4"/>
    </row>
    <row r="7978" spans="7:8" x14ac:dyDescent="0.3">
      <c r="G7978" s="4"/>
      <c r="H7978" s="4"/>
    </row>
    <row r="7979" spans="7:8" x14ac:dyDescent="0.3">
      <c r="G7979" s="4"/>
      <c r="H7979" s="4"/>
    </row>
    <row r="7980" spans="7:8" x14ac:dyDescent="0.3">
      <c r="G7980" s="4"/>
      <c r="H7980" s="4"/>
    </row>
    <row r="7981" spans="7:8" x14ac:dyDescent="0.3">
      <c r="G7981" s="4"/>
      <c r="H7981" s="4"/>
    </row>
    <row r="7982" spans="7:8" x14ac:dyDescent="0.3">
      <c r="G7982" s="4"/>
      <c r="H7982" s="4"/>
    </row>
    <row r="7983" spans="7:8" x14ac:dyDescent="0.3">
      <c r="G7983" s="4"/>
      <c r="H7983" s="4"/>
    </row>
    <row r="7984" spans="7:8" x14ac:dyDescent="0.3">
      <c r="G7984" s="4"/>
      <c r="H7984" s="4"/>
    </row>
    <row r="7985" spans="7:8" x14ac:dyDescent="0.3">
      <c r="G7985" s="4"/>
      <c r="H7985" s="4"/>
    </row>
    <row r="7986" spans="7:8" x14ac:dyDescent="0.3">
      <c r="G7986" s="4"/>
      <c r="H7986" s="4"/>
    </row>
    <row r="7987" spans="7:8" x14ac:dyDescent="0.3">
      <c r="G7987" s="4"/>
      <c r="H7987" s="4"/>
    </row>
    <row r="7988" spans="7:8" x14ac:dyDescent="0.3">
      <c r="G7988" s="4"/>
      <c r="H7988" s="4"/>
    </row>
    <row r="7989" spans="7:8" x14ac:dyDescent="0.3">
      <c r="G7989" s="4"/>
      <c r="H7989" s="4"/>
    </row>
    <row r="7990" spans="7:8" x14ac:dyDescent="0.3">
      <c r="G7990" s="4"/>
      <c r="H7990" s="4"/>
    </row>
    <row r="7991" spans="7:8" x14ac:dyDescent="0.3">
      <c r="G7991" s="4"/>
      <c r="H7991" s="4"/>
    </row>
    <row r="7992" spans="7:8" x14ac:dyDescent="0.3">
      <c r="G7992" s="4"/>
      <c r="H7992" s="4"/>
    </row>
    <row r="7993" spans="7:8" x14ac:dyDescent="0.3">
      <c r="G7993" s="4"/>
      <c r="H7993" s="4"/>
    </row>
    <row r="7994" spans="7:8" x14ac:dyDescent="0.3">
      <c r="G7994" s="4"/>
      <c r="H7994" s="4"/>
    </row>
    <row r="7995" spans="7:8" x14ac:dyDescent="0.3">
      <c r="G7995" s="4"/>
      <c r="H7995" s="4"/>
    </row>
    <row r="7996" spans="7:8" x14ac:dyDescent="0.3">
      <c r="G7996" s="4"/>
      <c r="H7996" s="4"/>
    </row>
    <row r="7997" spans="7:8" x14ac:dyDescent="0.3">
      <c r="G7997" s="4"/>
      <c r="H7997" s="4"/>
    </row>
    <row r="7998" spans="7:8" x14ac:dyDescent="0.3">
      <c r="G7998" s="4"/>
      <c r="H7998" s="4"/>
    </row>
    <row r="7999" spans="7:8" x14ac:dyDescent="0.3">
      <c r="G7999" s="4"/>
      <c r="H7999" s="4"/>
    </row>
    <row r="8000" spans="7:8" x14ac:dyDescent="0.3">
      <c r="G8000" s="4"/>
      <c r="H8000" s="4"/>
    </row>
    <row r="8001" spans="7:8" x14ac:dyDescent="0.3">
      <c r="G8001" s="4"/>
      <c r="H8001" s="4"/>
    </row>
    <row r="8002" spans="7:8" x14ac:dyDescent="0.3">
      <c r="G8002" s="4"/>
      <c r="H8002" s="4"/>
    </row>
    <row r="8003" spans="7:8" x14ac:dyDescent="0.3">
      <c r="G8003" s="4"/>
      <c r="H8003" s="4"/>
    </row>
    <row r="8004" spans="7:8" x14ac:dyDescent="0.3">
      <c r="G8004" s="4"/>
      <c r="H8004" s="4"/>
    </row>
    <row r="8005" spans="7:8" x14ac:dyDescent="0.3">
      <c r="G8005" s="4"/>
      <c r="H8005" s="4"/>
    </row>
    <row r="8006" spans="7:8" x14ac:dyDescent="0.3">
      <c r="G8006" s="4"/>
      <c r="H8006" s="4"/>
    </row>
    <row r="8007" spans="7:8" x14ac:dyDescent="0.3">
      <c r="G8007" s="4"/>
      <c r="H8007" s="4"/>
    </row>
    <row r="8008" spans="7:8" x14ac:dyDescent="0.3">
      <c r="G8008" s="4"/>
      <c r="H8008" s="4"/>
    </row>
    <row r="8009" spans="7:8" x14ac:dyDescent="0.3">
      <c r="G8009" s="4"/>
      <c r="H8009" s="4"/>
    </row>
    <row r="8010" spans="7:8" x14ac:dyDescent="0.3">
      <c r="G8010" s="4"/>
      <c r="H8010" s="4"/>
    </row>
    <row r="8011" spans="7:8" x14ac:dyDescent="0.3">
      <c r="G8011" s="4"/>
      <c r="H8011" s="4"/>
    </row>
    <row r="8012" spans="7:8" x14ac:dyDescent="0.3">
      <c r="G8012" s="4"/>
      <c r="H8012" s="4"/>
    </row>
    <row r="8013" spans="7:8" x14ac:dyDescent="0.3">
      <c r="G8013" s="4"/>
      <c r="H8013" s="4"/>
    </row>
    <row r="8014" spans="7:8" x14ac:dyDescent="0.3">
      <c r="G8014" s="4"/>
      <c r="H8014" s="4"/>
    </row>
    <row r="8015" spans="7:8" x14ac:dyDescent="0.3">
      <c r="G8015" s="4"/>
      <c r="H8015" s="4"/>
    </row>
    <row r="8016" spans="7:8" x14ac:dyDescent="0.3">
      <c r="G8016" s="4"/>
      <c r="H8016" s="4"/>
    </row>
    <row r="8017" spans="7:8" x14ac:dyDescent="0.3">
      <c r="G8017" s="4"/>
      <c r="H8017" s="4"/>
    </row>
    <row r="8018" spans="7:8" x14ac:dyDescent="0.3">
      <c r="G8018" s="4"/>
      <c r="H8018" s="4"/>
    </row>
    <row r="8019" spans="7:8" x14ac:dyDescent="0.3">
      <c r="G8019" s="4"/>
      <c r="H8019" s="4"/>
    </row>
    <row r="8020" spans="7:8" x14ac:dyDescent="0.3">
      <c r="G8020" s="4"/>
      <c r="H8020" s="4"/>
    </row>
    <row r="8021" spans="7:8" x14ac:dyDescent="0.3">
      <c r="G8021" s="4"/>
      <c r="H8021" s="4"/>
    </row>
    <row r="8022" spans="7:8" x14ac:dyDescent="0.3">
      <c r="G8022" s="4"/>
      <c r="H8022" s="4"/>
    </row>
    <row r="8023" spans="7:8" x14ac:dyDescent="0.3">
      <c r="G8023" s="4"/>
      <c r="H8023" s="4"/>
    </row>
    <row r="8024" spans="7:8" x14ac:dyDescent="0.3">
      <c r="G8024" s="4"/>
      <c r="H8024" s="4"/>
    </row>
    <row r="8025" spans="7:8" x14ac:dyDescent="0.3">
      <c r="G8025" s="4"/>
      <c r="H8025" s="4"/>
    </row>
    <row r="8026" spans="7:8" x14ac:dyDescent="0.3">
      <c r="G8026" s="4"/>
      <c r="H8026" s="4"/>
    </row>
    <row r="8027" spans="7:8" x14ac:dyDescent="0.3">
      <c r="G8027" s="4"/>
      <c r="H8027" s="4"/>
    </row>
    <row r="8028" spans="7:8" x14ac:dyDescent="0.3">
      <c r="G8028" s="4"/>
      <c r="H8028" s="4"/>
    </row>
    <row r="8029" spans="7:8" x14ac:dyDescent="0.3">
      <c r="G8029" s="4"/>
      <c r="H8029" s="4"/>
    </row>
    <row r="8030" spans="7:8" x14ac:dyDescent="0.3">
      <c r="G8030" s="4"/>
      <c r="H8030" s="4"/>
    </row>
    <row r="8031" spans="7:8" x14ac:dyDescent="0.3">
      <c r="G8031" s="4"/>
      <c r="H8031" s="4"/>
    </row>
    <row r="8032" spans="7:8" x14ac:dyDescent="0.3">
      <c r="G8032" s="4"/>
      <c r="H8032" s="4"/>
    </row>
    <row r="8033" spans="7:8" x14ac:dyDescent="0.3">
      <c r="G8033" s="4"/>
      <c r="H8033" s="4"/>
    </row>
    <row r="8034" spans="7:8" x14ac:dyDescent="0.3">
      <c r="G8034" s="4"/>
      <c r="H8034" s="4"/>
    </row>
    <row r="8035" spans="7:8" x14ac:dyDescent="0.3">
      <c r="G8035" s="4"/>
      <c r="H8035" s="4"/>
    </row>
    <row r="8036" spans="7:8" x14ac:dyDescent="0.3">
      <c r="G8036" s="4"/>
      <c r="H8036" s="4"/>
    </row>
    <row r="8037" spans="7:8" x14ac:dyDescent="0.3">
      <c r="G8037" s="4"/>
      <c r="H8037" s="4"/>
    </row>
    <row r="8038" spans="7:8" x14ac:dyDescent="0.3">
      <c r="G8038" s="4"/>
      <c r="H8038" s="4"/>
    </row>
    <row r="8039" spans="7:8" x14ac:dyDescent="0.3">
      <c r="G8039" s="4"/>
      <c r="H8039" s="4"/>
    </row>
    <row r="8040" spans="7:8" x14ac:dyDescent="0.3">
      <c r="G8040" s="4"/>
      <c r="H8040" s="4"/>
    </row>
    <row r="8041" spans="7:8" x14ac:dyDescent="0.3">
      <c r="G8041" s="4"/>
      <c r="H8041" s="4"/>
    </row>
    <row r="8042" spans="7:8" x14ac:dyDescent="0.3">
      <c r="G8042" s="4"/>
      <c r="H8042" s="4"/>
    </row>
    <row r="8043" spans="7:8" x14ac:dyDescent="0.3">
      <c r="G8043" s="4"/>
      <c r="H8043" s="4"/>
    </row>
    <row r="8044" spans="7:8" x14ac:dyDescent="0.3">
      <c r="G8044" s="4"/>
      <c r="H8044" s="4"/>
    </row>
    <row r="8045" spans="7:8" x14ac:dyDescent="0.3">
      <c r="G8045" s="4"/>
      <c r="H8045" s="4"/>
    </row>
    <row r="8046" spans="7:8" x14ac:dyDescent="0.3">
      <c r="G8046" s="4"/>
      <c r="H8046" s="4"/>
    </row>
    <row r="8047" spans="7:8" x14ac:dyDescent="0.3">
      <c r="G8047" s="4"/>
      <c r="H8047" s="4"/>
    </row>
    <row r="8048" spans="7:8" x14ac:dyDescent="0.3">
      <c r="G8048" s="4"/>
      <c r="H8048" s="4"/>
    </row>
    <row r="8049" spans="7:8" x14ac:dyDescent="0.3">
      <c r="G8049" s="4"/>
      <c r="H8049" s="4"/>
    </row>
    <row r="8050" spans="7:8" x14ac:dyDescent="0.3">
      <c r="G8050" s="4"/>
      <c r="H8050" s="4"/>
    </row>
    <row r="8051" spans="7:8" x14ac:dyDescent="0.3">
      <c r="G8051" s="4"/>
      <c r="H8051" s="4"/>
    </row>
    <row r="8052" spans="7:8" x14ac:dyDescent="0.3">
      <c r="G8052" s="4"/>
      <c r="H8052" s="4"/>
    </row>
    <row r="8053" spans="7:8" x14ac:dyDescent="0.3">
      <c r="G8053" s="4"/>
      <c r="H8053" s="4"/>
    </row>
    <row r="8054" spans="7:8" x14ac:dyDescent="0.3">
      <c r="G8054" s="4"/>
      <c r="H8054" s="4"/>
    </row>
    <row r="8055" spans="7:8" x14ac:dyDescent="0.3">
      <c r="G8055" s="4"/>
      <c r="H8055" s="4"/>
    </row>
    <row r="8056" spans="7:8" x14ac:dyDescent="0.3">
      <c r="G8056" s="4"/>
      <c r="H8056" s="4"/>
    </row>
    <row r="8057" spans="7:8" x14ac:dyDescent="0.3">
      <c r="G8057" s="4"/>
      <c r="H8057" s="4"/>
    </row>
    <row r="8058" spans="7:8" x14ac:dyDescent="0.3">
      <c r="G8058" s="4"/>
      <c r="H8058" s="4"/>
    </row>
    <row r="8059" spans="7:8" x14ac:dyDescent="0.3">
      <c r="G8059" s="4"/>
      <c r="H8059" s="4"/>
    </row>
    <row r="8060" spans="7:8" x14ac:dyDescent="0.3">
      <c r="G8060" s="4"/>
      <c r="H8060" s="4"/>
    </row>
    <row r="8061" spans="7:8" x14ac:dyDescent="0.3">
      <c r="G8061" s="4"/>
      <c r="H8061" s="4"/>
    </row>
    <row r="8062" spans="7:8" x14ac:dyDescent="0.3">
      <c r="G8062" s="4"/>
      <c r="H8062" s="4"/>
    </row>
    <row r="8063" spans="7:8" x14ac:dyDescent="0.3">
      <c r="G8063" s="4"/>
      <c r="H8063" s="4"/>
    </row>
    <row r="8064" spans="7:8" x14ac:dyDescent="0.3">
      <c r="G8064" s="4"/>
      <c r="H8064" s="4"/>
    </row>
    <row r="8065" spans="7:8" x14ac:dyDescent="0.3">
      <c r="G8065" s="4"/>
      <c r="H8065" s="4"/>
    </row>
    <row r="8066" spans="7:8" x14ac:dyDescent="0.3">
      <c r="G8066" s="4"/>
      <c r="H8066" s="4"/>
    </row>
    <row r="8067" spans="7:8" x14ac:dyDescent="0.3">
      <c r="G8067" s="4"/>
      <c r="H8067" s="4"/>
    </row>
    <row r="8068" spans="7:8" x14ac:dyDescent="0.3">
      <c r="G8068" s="4"/>
      <c r="H8068" s="4"/>
    </row>
    <row r="8069" spans="7:8" x14ac:dyDescent="0.3">
      <c r="G8069" s="4"/>
      <c r="H8069" s="4"/>
    </row>
    <row r="8070" spans="7:8" x14ac:dyDescent="0.3">
      <c r="G8070" s="4"/>
      <c r="H8070" s="4"/>
    </row>
    <row r="8071" spans="7:8" x14ac:dyDescent="0.3">
      <c r="G8071" s="4"/>
      <c r="H8071" s="4"/>
    </row>
    <row r="8072" spans="7:8" x14ac:dyDescent="0.3">
      <c r="G8072" s="4"/>
      <c r="H8072" s="4"/>
    </row>
    <row r="8073" spans="7:8" x14ac:dyDescent="0.3">
      <c r="G8073" s="4"/>
      <c r="H8073" s="4"/>
    </row>
    <row r="8074" spans="7:8" x14ac:dyDescent="0.3">
      <c r="G8074" s="4"/>
      <c r="H8074" s="4"/>
    </row>
    <row r="8075" spans="7:8" x14ac:dyDescent="0.3">
      <c r="G8075" s="4"/>
      <c r="H8075" s="4"/>
    </row>
    <row r="8076" spans="7:8" x14ac:dyDescent="0.3">
      <c r="G8076" s="4"/>
      <c r="H8076" s="4"/>
    </row>
    <row r="8077" spans="7:8" x14ac:dyDescent="0.3">
      <c r="G8077" s="4"/>
      <c r="H8077" s="4"/>
    </row>
    <row r="8078" spans="7:8" x14ac:dyDescent="0.3">
      <c r="G8078" s="4"/>
      <c r="H8078" s="4"/>
    </row>
    <row r="8079" spans="7:8" x14ac:dyDescent="0.3">
      <c r="G8079" s="4"/>
      <c r="H8079" s="4"/>
    </row>
    <row r="8080" spans="7:8" x14ac:dyDescent="0.3">
      <c r="G8080" s="4"/>
      <c r="H8080" s="4"/>
    </row>
    <row r="8081" spans="7:8" x14ac:dyDescent="0.3">
      <c r="G8081" s="4"/>
      <c r="H8081" s="4"/>
    </row>
    <row r="8082" spans="7:8" x14ac:dyDescent="0.3">
      <c r="G8082" s="4"/>
      <c r="H8082" s="4"/>
    </row>
    <row r="8083" spans="7:8" x14ac:dyDescent="0.3">
      <c r="G8083" s="4"/>
      <c r="H8083" s="4"/>
    </row>
    <row r="8084" spans="7:8" x14ac:dyDescent="0.3">
      <c r="G8084" s="4"/>
      <c r="H8084" s="4"/>
    </row>
    <row r="8085" spans="7:8" x14ac:dyDescent="0.3">
      <c r="G8085" s="4"/>
      <c r="H8085" s="4"/>
    </row>
    <row r="8086" spans="7:8" x14ac:dyDescent="0.3">
      <c r="G8086" s="4"/>
      <c r="H8086" s="4"/>
    </row>
    <row r="8087" spans="7:8" x14ac:dyDescent="0.3">
      <c r="G8087" s="4"/>
      <c r="H8087" s="4"/>
    </row>
    <row r="8088" spans="7:8" x14ac:dyDescent="0.3">
      <c r="G8088" s="4"/>
      <c r="H8088" s="4"/>
    </row>
    <row r="8089" spans="7:8" x14ac:dyDescent="0.3">
      <c r="G8089" s="4"/>
      <c r="H8089" s="4"/>
    </row>
    <row r="8090" spans="7:8" x14ac:dyDescent="0.3">
      <c r="G8090" s="4"/>
      <c r="H8090" s="4"/>
    </row>
    <row r="8091" spans="7:8" x14ac:dyDescent="0.3">
      <c r="G8091" s="4"/>
      <c r="H8091" s="4"/>
    </row>
    <row r="8092" spans="7:8" x14ac:dyDescent="0.3">
      <c r="G8092" s="4"/>
      <c r="H8092" s="4"/>
    </row>
    <row r="8093" spans="7:8" x14ac:dyDescent="0.3">
      <c r="G8093" s="4"/>
      <c r="H8093" s="4"/>
    </row>
    <row r="8094" spans="7:8" x14ac:dyDescent="0.3">
      <c r="G8094" s="4"/>
      <c r="H8094" s="4"/>
    </row>
    <row r="8095" spans="7:8" x14ac:dyDescent="0.3">
      <c r="G8095" s="4"/>
      <c r="H8095" s="4"/>
    </row>
    <row r="8096" spans="7:8" x14ac:dyDescent="0.3">
      <c r="G8096" s="4"/>
      <c r="H8096" s="4"/>
    </row>
    <row r="8097" spans="7:8" x14ac:dyDescent="0.3">
      <c r="G8097" s="4"/>
      <c r="H8097" s="4"/>
    </row>
    <row r="8098" spans="7:8" x14ac:dyDescent="0.3">
      <c r="G8098" s="4"/>
      <c r="H8098" s="4"/>
    </row>
    <row r="8099" spans="7:8" x14ac:dyDescent="0.3">
      <c r="G8099" s="4"/>
      <c r="H8099" s="4"/>
    </row>
    <row r="8100" spans="7:8" x14ac:dyDescent="0.3">
      <c r="G8100" s="4"/>
      <c r="H8100" s="4"/>
    </row>
    <row r="8101" spans="7:8" x14ac:dyDescent="0.3">
      <c r="G8101" s="4"/>
      <c r="H8101" s="4"/>
    </row>
    <row r="8102" spans="7:8" x14ac:dyDescent="0.3">
      <c r="G8102" s="4"/>
      <c r="H8102" s="4"/>
    </row>
    <row r="8103" spans="7:8" x14ac:dyDescent="0.3">
      <c r="G8103" s="4"/>
      <c r="H8103" s="4"/>
    </row>
    <row r="8104" spans="7:8" x14ac:dyDescent="0.3">
      <c r="G8104" s="4"/>
      <c r="H8104" s="4"/>
    </row>
    <row r="8105" spans="7:8" x14ac:dyDescent="0.3">
      <c r="G8105" s="4"/>
      <c r="H8105" s="4"/>
    </row>
    <row r="8106" spans="7:8" x14ac:dyDescent="0.3">
      <c r="G8106" s="4"/>
      <c r="H8106" s="4"/>
    </row>
    <row r="8107" spans="7:8" x14ac:dyDescent="0.3">
      <c r="G8107" s="4"/>
      <c r="H8107" s="4"/>
    </row>
    <row r="8108" spans="7:8" x14ac:dyDescent="0.3">
      <c r="G8108" s="4"/>
      <c r="H8108" s="4"/>
    </row>
    <row r="8109" spans="7:8" x14ac:dyDescent="0.3">
      <c r="G8109" s="4"/>
      <c r="H8109" s="4"/>
    </row>
    <row r="8110" spans="7:8" x14ac:dyDescent="0.3">
      <c r="G8110" s="4"/>
      <c r="H8110" s="4"/>
    </row>
    <row r="8111" spans="7:8" x14ac:dyDescent="0.3">
      <c r="G8111" s="4"/>
      <c r="H8111" s="4"/>
    </row>
    <row r="8112" spans="7:8" x14ac:dyDescent="0.3">
      <c r="G8112" s="4"/>
      <c r="H8112" s="4"/>
    </row>
    <row r="8113" spans="7:8" x14ac:dyDescent="0.3">
      <c r="G8113" s="4"/>
      <c r="H8113" s="4"/>
    </row>
    <row r="8114" spans="7:8" x14ac:dyDescent="0.3">
      <c r="G8114" s="4"/>
      <c r="H8114" s="4"/>
    </row>
    <row r="8115" spans="7:8" x14ac:dyDescent="0.3">
      <c r="G8115" s="4"/>
      <c r="H8115" s="4"/>
    </row>
    <row r="8116" spans="7:8" x14ac:dyDescent="0.3">
      <c r="G8116" s="4"/>
      <c r="H8116" s="4"/>
    </row>
    <row r="8117" spans="7:8" x14ac:dyDescent="0.3">
      <c r="G8117" s="4"/>
      <c r="H8117" s="4"/>
    </row>
    <row r="8118" spans="7:8" x14ac:dyDescent="0.3">
      <c r="G8118" s="4"/>
      <c r="H8118" s="4"/>
    </row>
    <row r="8119" spans="7:8" x14ac:dyDescent="0.3">
      <c r="G8119" s="4"/>
      <c r="H8119" s="4"/>
    </row>
    <row r="8120" spans="7:8" x14ac:dyDescent="0.3">
      <c r="G8120" s="4"/>
      <c r="H8120" s="4"/>
    </row>
    <row r="8121" spans="7:8" x14ac:dyDescent="0.3">
      <c r="G8121" s="4"/>
      <c r="H8121" s="4"/>
    </row>
    <row r="8122" spans="7:8" x14ac:dyDescent="0.3">
      <c r="G8122" s="4"/>
      <c r="H8122" s="4"/>
    </row>
    <row r="8123" spans="7:8" x14ac:dyDescent="0.3">
      <c r="G8123" s="4"/>
      <c r="H8123" s="4"/>
    </row>
    <row r="8124" spans="7:8" x14ac:dyDescent="0.3">
      <c r="G8124" s="4"/>
      <c r="H8124" s="4"/>
    </row>
    <row r="8125" spans="7:8" x14ac:dyDescent="0.3">
      <c r="G8125" s="4"/>
      <c r="H8125" s="4"/>
    </row>
    <row r="8126" spans="7:8" x14ac:dyDescent="0.3">
      <c r="G8126" s="4"/>
      <c r="H8126" s="4"/>
    </row>
    <row r="8127" spans="7:8" x14ac:dyDescent="0.3">
      <c r="G8127" s="4"/>
      <c r="H8127" s="4"/>
    </row>
    <row r="8128" spans="7:8" x14ac:dyDescent="0.3">
      <c r="G8128" s="4"/>
      <c r="H8128" s="4"/>
    </row>
    <row r="8129" spans="7:8" x14ac:dyDescent="0.3">
      <c r="G8129" s="4"/>
      <c r="H8129" s="4"/>
    </row>
    <row r="8130" spans="7:8" x14ac:dyDescent="0.3">
      <c r="G8130" s="4"/>
      <c r="H8130" s="4"/>
    </row>
    <row r="8131" spans="7:8" x14ac:dyDescent="0.3">
      <c r="G8131" s="4"/>
      <c r="H8131" s="4"/>
    </row>
    <row r="8132" spans="7:8" x14ac:dyDescent="0.3">
      <c r="G8132" s="4"/>
      <c r="H8132" s="4"/>
    </row>
    <row r="8133" spans="7:8" x14ac:dyDescent="0.3">
      <c r="G8133" s="4"/>
      <c r="H8133" s="4"/>
    </row>
    <row r="8134" spans="7:8" x14ac:dyDescent="0.3">
      <c r="G8134" s="4"/>
      <c r="H8134" s="4"/>
    </row>
    <row r="8135" spans="7:8" x14ac:dyDescent="0.3">
      <c r="G8135" s="4"/>
      <c r="H8135" s="4"/>
    </row>
    <row r="8136" spans="7:8" x14ac:dyDescent="0.3">
      <c r="G8136" s="4"/>
      <c r="H8136" s="4"/>
    </row>
    <row r="8137" spans="7:8" x14ac:dyDescent="0.3">
      <c r="G8137" s="4"/>
      <c r="H8137" s="4"/>
    </row>
    <row r="8138" spans="7:8" x14ac:dyDescent="0.3">
      <c r="G8138" s="4"/>
      <c r="H8138" s="4"/>
    </row>
    <row r="8139" spans="7:8" x14ac:dyDescent="0.3">
      <c r="G8139" s="4"/>
      <c r="H8139" s="4"/>
    </row>
    <row r="8140" spans="7:8" x14ac:dyDescent="0.3">
      <c r="G8140" s="4"/>
      <c r="H8140" s="4"/>
    </row>
    <row r="8141" spans="7:8" x14ac:dyDescent="0.3">
      <c r="G8141" s="4"/>
      <c r="H8141" s="4"/>
    </row>
    <row r="8142" spans="7:8" x14ac:dyDescent="0.3">
      <c r="G8142" s="4"/>
      <c r="H8142" s="4"/>
    </row>
    <row r="8143" spans="7:8" x14ac:dyDescent="0.3">
      <c r="G8143" s="4"/>
      <c r="H8143" s="4"/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67</vt:i4>
      </vt:variant>
    </vt:vector>
  </HeadingPairs>
  <TitlesOfParts>
    <vt:vector size="69" baseType="lpstr">
      <vt:lpstr>xVA Calculations</vt:lpstr>
      <vt:lpstr>Notes</vt:lpstr>
      <vt:lpstr>AddOn</vt:lpstr>
      <vt:lpstr>Alpha</vt:lpstr>
      <vt:lpstr>ApproxDuration</vt:lpstr>
      <vt:lpstr>BaselIIRec</vt:lpstr>
      <vt:lpstr>bFac</vt:lpstr>
      <vt:lpstr>BreakMat</vt:lpstr>
      <vt:lpstr>CapitalMethodology</vt:lpstr>
      <vt:lpstr>CDSHedge</vt:lpstr>
      <vt:lpstr>CntrptyLGD</vt:lpstr>
      <vt:lpstr>CVAbump</vt:lpstr>
      <vt:lpstr>CVACapIMM</vt:lpstr>
      <vt:lpstr>CVAcapitalCEM</vt:lpstr>
      <vt:lpstr>CVACapitalCEMHedged</vt:lpstr>
      <vt:lpstr>CVACapitalIMMHedged</vt:lpstr>
      <vt:lpstr>CVACapitalSACCEHedged</vt:lpstr>
      <vt:lpstr>CVAcapitalSACCR</vt:lpstr>
      <vt:lpstr>CVADelta</vt:lpstr>
      <vt:lpstr>DefCapCEM</vt:lpstr>
      <vt:lpstr>DefCapIMM</vt:lpstr>
      <vt:lpstr>DefCapSACCR</vt:lpstr>
      <vt:lpstr>DF_CEM</vt:lpstr>
      <vt:lpstr>Duration</vt:lpstr>
      <vt:lpstr>Duration1</vt:lpstr>
      <vt:lpstr>EAD_CEM</vt:lpstr>
      <vt:lpstr>EAD_CEM_CVAVAR</vt:lpstr>
      <vt:lpstr>EAD_CEM_Hedged</vt:lpstr>
      <vt:lpstr>EAD_IMM</vt:lpstr>
      <vt:lpstr>EAD_IMM_Hedged</vt:lpstr>
      <vt:lpstr>EAD_SACCR</vt:lpstr>
      <vt:lpstr>EAD_SACCR_Hedged</vt:lpstr>
      <vt:lpstr>FBA</vt:lpstr>
      <vt:lpstr>FCA</vt:lpstr>
      <vt:lpstr>HedgeBeta</vt:lpstr>
      <vt:lpstr>HedgeType</vt:lpstr>
      <vt:lpstr>HR</vt:lpstr>
      <vt:lpstr>IMVA</vt:lpstr>
      <vt:lpstr>InitialMargin1</vt:lpstr>
      <vt:lpstr>InitialMargin2</vt:lpstr>
      <vt:lpstr>InterestRate</vt:lpstr>
      <vt:lpstr>IRVol</vt:lpstr>
      <vt:lpstr>KVA</vt:lpstr>
      <vt:lpstr>MAFac</vt:lpstr>
      <vt:lpstr>Maturity1</vt:lpstr>
      <vt:lpstr>MPR</vt:lpstr>
      <vt:lpstr>MPRfac</vt:lpstr>
      <vt:lpstr>MtoM1</vt:lpstr>
      <vt:lpstr>NormalDuration</vt:lpstr>
      <vt:lpstr>NumCurvePoints</vt:lpstr>
      <vt:lpstr>NumCurvePoints2</vt:lpstr>
      <vt:lpstr>NumCurvePoints3</vt:lpstr>
      <vt:lpstr>OwnLGD</vt:lpstr>
      <vt:lpstr>PD99.9</vt:lpstr>
      <vt:lpstr>PDef</vt:lpstr>
      <vt:lpstr>PortfolioSize</vt:lpstr>
      <vt:lpstr>Rating</vt:lpstr>
      <vt:lpstr>RegMaturity</vt:lpstr>
      <vt:lpstr>Rho</vt:lpstr>
      <vt:lpstr>SpreadToMaturity</vt:lpstr>
      <vt:lpstr>StressMultiplier</vt:lpstr>
      <vt:lpstr>SwapRate1</vt:lpstr>
      <vt:lpstr>TargetROC</vt:lpstr>
      <vt:lpstr>Threshold1</vt:lpstr>
      <vt:lpstr>ThresholdA</vt:lpstr>
      <vt:lpstr>ThresholdB</vt:lpstr>
      <vt:lpstr>UCVA</vt:lpstr>
      <vt:lpstr>UDVA</vt:lpstr>
      <vt:lpstr>WiFac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</dc:creator>
  <cp:lastModifiedBy>Jon</cp:lastModifiedBy>
  <dcterms:created xsi:type="dcterms:W3CDTF">2012-09-27T04:30:30Z</dcterms:created>
  <dcterms:modified xsi:type="dcterms:W3CDTF">2015-11-13T00:52:14Z</dcterms:modified>
</cp:coreProperties>
</file>