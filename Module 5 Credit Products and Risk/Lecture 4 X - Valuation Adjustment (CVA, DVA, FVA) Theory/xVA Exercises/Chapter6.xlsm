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\Documents\CRBook3rd\Exercises\"/>
    </mc:Choice>
  </mc:AlternateContent>
  <bookViews>
    <workbookView xWindow="240" yWindow="108" windowWidth="11352" windowHeight="7932"/>
  </bookViews>
  <sheets>
    <sheet name="Spreadsheet6.1" sheetId="13" r:id="rId1"/>
  </sheets>
  <functionGroups builtInGroupCount="18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LS1">#REF!</definedName>
    <definedName name="_LS2">#REF!</definedName>
    <definedName name="_mu1">#REF!</definedName>
    <definedName name="_mu2">#REF!</definedName>
    <definedName name="_Mu3">#REF!</definedName>
    <definedName name="_PV1">#REF!</definedName>
    <definedName name="_PV2">#REF!</definedName>
    <definedName name="_Val1">[1]CVA!$J$3</definedName>
    <definedName name="_Val2">[1]CVA!$J$4</definedName>
    <definedName name="_Val3">[1]CVA!$J$5</definedName>
    <definedName name="_VaR10">#REF!</definedName>
    <definedName name="_VAR2">[2]LiquidationTimescale!$D$20</definedName>
    <definedName name="_VAR3">[2]LiquidationTimescale!$D$26</definedName>
    <definedName name="_vd1">#REF!</definedName>
    <definedName name="_vd2">#REF!</definedName>
    <definedName name="_vvd1">[3]TreePricer!$C$26</definedName>
    <definedName name="_wd1">[3]TreePricer!$C$27</definedName>
    <definedName name="_xd1">[4]HedgingSimulation!$C$14</definedName>
    <definedName name="_xd2">[4]HedgingSimulation!$C$15</definedName>
    <definedName name="AccrCell">#REF!</definedName>
    <definedName name="AccrChoice">#REF!</definedName>
    <definedName name="AccruedCell">#REF!</definedName>
    <definedName name="AccruedChoice">#REF!</definedName>
    <definedName name="AccruedInterest">'[5]Bond Price with Excel'!$B$24</definedName>
    <definedName name="AccruedOptions">#REF!</definedName>
    <definedName name="AccruedOrNot">#REF!</definedName>
    <definedName name="AccruedPrem">#REF!</definedName>
    <definedName name="AccruedYesNo">#REF!</definedName>
    <definedName name="Accured">#REF!</definedName>
    <definedName name="ActIntensity1">[6]CVA!#REF!</definedName>
    <definedName name="ActIntensity2">[6]CVA!#REF!</definedName>
    <definedName name="ActMat">#REF!</definedName>
    <definedName name="Actual_Rating_11">#REF!</definedName>
    <definedName name="AgentRec">[1]CVA!#REF!</definedName>
    <definedName name="AllRandomNumbers">#REF!</definedName>
    <definedName name="Alpha" localSheetId="0">Spreadsheet6.1!#REF!</definedName>
    <definedName name="Alpha">#REF!</definedName>
    <definedName name="AlphaEPE">[1]Portfolio!$J$9</definedName>
    <definedName name="AlphaParam">[2]LiquidationTimescale!$D$25</definedName>
    <definedName name="AmortChoice">#REF!</definedName>
    <definedName name="Amortisation">#REF!</definedName>
    <definedName name="AmortisedTime">[2]LiquidationTimescale!$D$23</definedName>
    <definedName name="Amortising">#REF!</definedName>
    <definedName name="Amortizing">#REF!</definedName>
    <definedName name="AmortOrNot">#REF!</definedName>
    <definedName name="amount1">[7]SimpleCovarianceWithWeights!$J$3</definedName>
    <definedName name="amount2">[7]SimpleCovarianceWithWeights!$K$3</definedName>
    <definedName name="AmountToLiquidate">[2]LiquidationTimescale!$D$15</definedName>
    <definedName name="AnalyticalDeltas">#REF!</definedName>
    <definedName name="Asset2">[8]MonteCarlo!#REF!</definedName>
    <definedName name="AssetCorrelation">[1]Portfolio!$J$11</definedName>
    <definedName name="AssetMC">[8]MonteCarlo!$C$3</definedName>
    <definedName name="AssetPrice">[2]LiquidationTimescale!$D$12</definedName>
    <definedName name="AssetVal">#REF!</definedName>
    <definedName name="AssetValue">#REF!</definedName>
    <definedName name="Assetvol">[9]CreditGrades!$C$14</definedName>
    <definedName name="AssetVolatility">#REF!</definedName>
    <definedName name="At">[9]CreditGrades!$C$15</definedName>
    <definedName name="Attach">#REF!</definedName>
    <definedName name="Attach2">#REF!</definedName>
    <definedName name="AvDefProb">[1]Portfolio!#REF!</definedName>
    <definedName name="AvRecovery">[9]Portfolio!#REF!</definedName>
    <definedName name="AvSpread">[10]IndexBasis!$I$10</definedName>
    <definedName name="AvSpread2">#REF!</definedName>
    <definedName name="Barrier">[4]OptionPricer!$C$20</definedName>
    <definedName name="BaseCorrel1">#REF!</definedName>
    <definedName name="BaseCorrel2">#REF!</definedName>
    <definedName name="BaseCorrelComb">#REF!</definedName>
    <definedName name="BaseCorrelCurve">#REF!</definedName>
    <definedName name="BaseCorrelEUR">#REF!</definedName>
    <definedName name="BaseCorrelUS">#REF!</definedName>
    <definedName name="BaseCorrEuro">#REF!</definedName>
    <definedName name="BaseCorrUS">#REF!</definedName>
    <definedName name="Basis">#REF!</definedName>
    <definedName name="Basis1">#REF!</definedName>
    <definedName name="Basis2">#REF!</definedName>
    <definedName name="BasisChoices">#REF!</definedName>
    <definedName name="BasisIndex">#REF!</definedName>
    <definedName name="BasisTable1">#REF!</definedName>
    <definedName name="BasisTable2">#REF!</definedName>
    <definedName name="BasketPV">#REF!</definedName>
    <definedName name="BasketType">#REF!</definedName>
    <definedName name="bBasis">#REF!</definedName>
    <definedName name="bBasisIndex">#REF!</definedName>
    <definedName name="BCorrel">#REF!</definedName>
    <definedName name="Beta">[2]LiquidationTimescale!$D$14</definedName>
    <definedName name="bFreq">#REF!</definedName>
    <definedName name="bFreqIndex">#REF!</definedName>
    <definedName name="BID">#REF!</definedName>
    <definedName name="bilateral_penalty">#REF!</definedName>
    <definedName name="bilaterla_penalty">#REF!</definedName>
    <definedName name="blank_ref_cell">#REF!</definedName>
    <definedName name="bMatDate">#REF!</definedName>
    <definedName name="Bond_Data_11">#REF!</definedName>
    <definedName name="BondDeltaApprox">#REF!</definedName>
    <definedName name="BondDeltaApprox2">#REF!</definedName>
    <definedName name="BondDuration">#REF!</definedName>
    <definedName name="BondMaturity">#REF!</definedName>
    <definedName name="BondPrice">#REF!</definedName>
    <definedName name="BondPrice_11">#REF!</definedName>
    <definedName name="BondPriceNow">#REF!</definedName>
    <definedName name="bRecovery">#REF!</definedName>
    <definedName name="BumpType">#REF!</definedName>
    <definedName name="BuyFrom">#REF!</definedName>
    <definedName name="CalChoices">#REF!</definedName>
    <definedName name="CalChoose">#REF!</definedName>
    <definedName name="CalcOptions">#REF!</definedName>
    <definedName name="CalcTypeIndex">#REF!</definedName>
    <definedName name="CalcTypeOption">#REF!</definedName>
    <definedName name="CalculationType">#REF!</definedName>
    <definedName name="CalibChoice">#REF!</definedName>
    <definedName name="CalibChoices">#REF!</definedName>
    <definedName name="calibopencol">OFFSET([0]!LGMChoice,2,0,[0]!NumLGMChoices,1)</definedName>
    <definedName name="calibopencol1">OFFSET([0]!LGMChoice,2,0,[0]!NumLGMChoices,1)</definedName>
    <definedName name="CalibPoints">#REF!</definedName>
    <definedName name="Calibration">#REF!</definedName>
    <definedName name="CalibrationChoices">#REF!</definedName>
    <definedName name="CalibrationMode">#REF!</definedName>
    <definedName name="CalibrationResults">#REF!</definedName>
    <definedName name="CalibrationType">#REF!</definedName>
    <definedName name="CalibType">#REF!</definedName>
    <definedName name="CaliCell">#REF!</definedName>
    <definedName name="CaliChoice">#REF!</definedName>
    <definedName name="CallPut">#REF!</definedName>
    <definedName name="CallRetYesNo">[1]CollateralMarginCall!$C$14</definedName>
    <definedName name="CallYesNo">[2]CollateralCalculation!$C$21</definedName>
    <definedName name="CallYesNo2">[2]CollateralCalculation!$D$21</definedName>
    <definedName name="cBasis">#REF!</definedName>
    <definedName name="cBasisIndex">#REF!</definedName>
    <definedName name="CCY">#REF!</definedName>
    <definedName name="CDODef">#REF!</definedName>
    <definedName name="CDODef2">#REF!</definedName>
    <definedName name="CDOPrem">#REF!</definedName>
    <definedName name="CDOPrem2">#REF!</definedName>
    <definedName name="CDOPV">#REF!</definedName>
    <definedName name="CDOPV2">#REF!</definedName>
    <definedName name="CDSMarket">#REF!</definedName>
    <definedName name="CDSPV">#REF!</definedName>
    <definedName name="CDSSpread">#REF!</definedName>
    <definedName name="cFreq">#REF!</definedName>
    <definedName name="cFreqIndex">#REF!</definedName>
    <definedName name="CholeskyInverse">#REF!</definedName>
    <definedName name="CholeskyMatrix">#REF!</definedName>
    <definedName name="CleanPrice">'[5]Bond Price with Excel'!$B$23</definedName>
    <definedName name="cMatDate">#REF!</definedName>
    <definedName name="CntrptyDefProb">[1]CDSCntrptyRisk!$C$14</definedName>
    <definedName name="CntrptyRec">[1]CVA!#REF!</definedName>
    <definedName name="CntrptySpread">[1]CDSCntrptyRisk!$C$8</definedName>
    <definedName name="Collateral">[2]CollateralExposureSimulation!$K$138</definedName>
    <definedName name="CollateralChoice">#REF!</definedName>
    <definedName name="CollateralChoices">#REF!</definedName>
    <definedName name="CollateralHeld" localSheetId="0">Spreadsheet6.1!#REF!</definedName>
    <definedName name="CollateralHeld">[1]CollateralMarginCall!$C$9</definedName>
    <definedName name="CollateralHeld_A">Spreadsheet6.1!$D$14</definedName>
    <definedName name="CollateralHeld2">[2]CollateralCalculation!$D$15</definedName>
    <definedName name="CollateralisedExposure">[2]CollateralExposureSimulation!$K$264</definedName>
    <definedName name="CollateralMultiplier">#REF!</definedName>
    <definedName name="CollateralRequired">[1]CollateralMarginCall!$C$13</definedName>
    <definedName name="CollateralRequired2">[2]CollateralCalculation!$D$20</definedName>
    <definedName name="CollateralThreshold">#REF!</definedName>
    <definedName name="CollateralType">#REF!</definedName>
    <definedName name="CompoundCorrel">#REF!</definedName>
    <definedName name="ComputCreditPort">#REF!</definedName>
    <definedName name="ConfidenceAlpha">[1]Portfolio!$J$8</definedName>
    <definedName name="ConfLevel">#REF!</definedName>
    <definedName name="ConfLevel1">#REF!</definedName>
    <definedName name="ConfLevel2">#REF!</definedName>
    <definedName name="Constaints">#REF!</definedName>
    <definedName name="Constant">[4]CoherentRiskMeasuresExample!$I$7</definedName>
    <definedName name="Constr">#REF!</definedName>
    <definedName name="ConstTerm">[8]MonteCarlo!$F$6</definedName>
    <definedName name="CopulaCorrelation">[1]CDSCntrptyRisk!$C$9</definedName>
    <definedName name="CorP">#REF!</definedName>
    <definedName name="Corr">#REF!</definedName>
    <definedName name="CorrectionTerm">'[1]Impact of PV'!$C$22</definedName>
    <definedName name="CORRECTPASSWORD">#REF!</definedName>
    <definedName name="Correl">[2]SimpleWrongWay!$C$13</definedName>
    <definedName name="Correlation">[1]EPEAllocation!$C$11</definedName>
    <definedName name="Correlation_Matrix_11">#REF!</definedName>
    <definedName name="CorrelationMatrix">#REF!</definedName>
    <definedName name="CorrelAttach">#REF!</definedName>
    <definedName name="CorrelAttach2">#REF!</definedName>
    <definedName name="CorrelBump">#REF!</definedName>
    <definedName name="CorrelDetach">#REF!</definedName>
    <definedName name="CorrelDetach2">#REF!</definedName>
    <definedName name="CorrelExpColl">[2]CollateralandCorrelation!$C$11</definedName>
    <definedName name="CorrelLowerTranche">#REF!</definedName>
    <definedName name="CorrelScenario">#REF!</definedName>
    <definedName name="CorrelUpperTranche">#REF!</definedName>
    <definedName name="Countries">#REF!</definedName>
    <definedName name="Country_Key">#REF!</definedName>
    <definedName name="Country_Name">#REF!</definedName>
    <definedName name="Country_Rating">#REF!</definedName>
    <definedName name="Country_Region">#REF!</definedName>
    <definedName name="Coup">[5]YieldExample!$C$4</definedName>
    <definedName name="Coupon">'[5]Bond Price with Excel'!$B$12</definedName>
    <definedName name="CouponsPerYear">'[5]Bond Price with Excel'!$B$15</definedName>
    <definedName name="CovarianceMatrix">#REF!</definedName>
    <definedName name="CovarianceMatrixInverse">[5]MeanVariance!$G$11:$J$14</definedName>
    <definedName name="CPCHOICES">#REF!</definedName>
    <definedName name="cpIndex">#REF!</definedName>
    <definedName name="cRecovery">#REF!</definedName>
    <definedName name="CREDIT_STAMP">"DSPricer"</definedName>
    <definedName name="CreditCurveStart">#REF!</definedName>
    <definedName name="CreditModel">#REF!</definedName>
    <definedName name="CreditModelType">#REF!</definedName>
    <definedName name="CreditTau">#REF!</definedName>
    <definedName name="CreditVol">#REF!</definedName>
    <definedName name="CSA">Spreadsheet6.1!#REF!</definedName>
    <definedName name="CSA_A">Spreadsheet6.1!$D$17</definedName>
    <definedName name="CSA_B">Spreadsheet6.1!$E$17</definedName>
    <definedName name="Currency">#REF!</definedName>
    <definedName name="currency_mismatch_penalty">#REF!</definedName>
    <definedName name="CurrentEquity">[3]TradingStrategy!$C$8</definedName>
    <definedName name="CurrentExposure">[2]CollateralExposureSimulation!$C$17</definedName>
    <definedName name="CurrentSpread">[3]TradingStrategy!$C$9</definedName>
    <definedName name="CurrentStock">[3]TreePricer!$C$14</definedName>
    <definedName name="CURVE_INDEX">#REF!</definedName>
    <definedName name="CURVE_LIST">#REF!</definedName>
    <definedName name="DailyVol">[2]Liquidation!#REF!</definedName>
    <definedName name="DailyVol2">[2]Liquidation!#REF!</definedName>
    <definedName name="DailyVolatility">[2]Liquidation!$D$15</definedName>
    <definedName name="DateToday">#REF!</definedName>
    <definedName name="DayCount">'[5]Bond Price with Excel'!#REF!</definedName>
    <definedName name="DaysToLiquidation">[2]LiquidationTimescale!$D$16</definedName>
    <definedName name="DealTerm">#REF!</definedName>
    <definedName name="Debt">[9]Merton!$C$17</definedName>
    <definedName name="DebtPerShare">#REF!</definedName>
    <definedName name="DefaultBarrier">#REF!</definedName>
    <definedName name="DefaultLoss">#REF!</definedName>
    <definedName name="DefaultTime">#REF!</definedName>
    <definedName name="DefComp">#REF!</definedName>
    <definedName name="DefEventLoss">#REF!</definedName>
    <definedName name="DefLegLowerTranche">#REF!</definedName>
    <definedName name="DefLegUpperTranche">#REF!</definedName>
    <definedName name="DefProb">[9]Merton!$C$23</definedName>
    <definedName name="DefProb1">#REF!</definedName>
    <definedName name="DefProb2">#REF!</definedName>
    <definedName name="DefProb3">#REF!</definedName>
    <definedName name="DefProb4">#REF!</definedName>
    <definedName name="DefProb5">#REF!</definedName>
    <definedName name="DefProbs">OFFSET(#REF!,0,#REF!,#REF!,1)</definedName>
    <definedName name="DefThreshold">[2]SimpleWrongWay!$C$18</definedName>
    <definedName name="delay">#REF!</definedName>
    <definedName name="deliveredvol">[4]HedgingSimulation!$G$8</definedName>
    <definedName name="Delta">#REF!</definedName>
    <definedName name="DeltaApprox2">#REF!</definedName>
    <definedName name="DeltaBump">#REF!</definedName>
    <definedName name="DeltaShift">#REF!</definedName>
    <definedName name="DeltaStart">#REF!</definedName>
    <definedName name="Detach">#REF!</definedName>
    <definedName name="Detach2">#REF!</definedName>
    <definedName name="DFSCurve">#REF!</definedName>
    <definedName name="DFSSheets">#REF!</definedName>
    <definedName name="DirtyPrice">'[5]Bond Price with Excel'!$B$25</definedName>
    <definedName name="DividendYield">#REF!</definedName>
    <definedName name="DivYield">#REF!</definedName>
    <definedName name="DL">#REF!</definedName>
    <definedName name="DperS">#REF!</definedName>
    <definedName name="dPV">#REF!</definedName>
    <definedName name="Draws">[4]BinomialVsNormal!$C$7</definedName>
    <definedName name="Drift">#REF!</definedName>
    <definedName name="drift2">[4]HedgingSimulation!$G$7</definedName>
    <definedName name="Dt">[8]MonteCarlo!$F$5</definedName>
    <definedName name="DTDays">#REF!</definedName>
    <definedName name="DTMarketPrem">#REF!</definedName>
    <definedName name="Dump">[1]MonteCarlo!$N$2</definedName>
    <definedName name="Duration">'[5]Bond Price with Excel'!$B$27</definedName>
    <definedName name="DurationIndex">#REF!</definedName>
    <definedName name="Dval">[9]CreditGrades!$C$10</definedName>
    <definedName name="EE" localSheetId="0">Spreadsheet6.1!#REF!</definedName>
    <definedName name="EE">#REF!</definedName>
    <definedName name="EL">#REF!</definedName>
    <definedName name="EL_E2">#REF!</definedName>
    <definedName name="ELBaseTranche1">#REF!</definedName>
    <definedName name="ELBaseTranche2">#REF!</definedName>
    <definedName name="end_date">#REF!</definedName>
    <definedName name="EndDate">#REF!</definedName>
    <definedName name="EPE">[1]EPEAllocation!$C$19</definedName>
    <definedName name="EPEs">[1]Portfolio!$G$8</definedName>
    <definedName name="Equity">[9]Merton!$C$16</definedName>
    <definedName name="EquityPrice">#REF!</definedName>
    <definedName name="EquityVol">#REF!</definedName>
    <definedName name="Error1">#REF!</definedName>
    <definedName name="Errors">[1]CDSStripper!$H$9</definedName>
    <definedName name="EstBeta">[2]Liquidation!$D$17</definedName>
    <definedName name="EURExpLoss">#REF!</definedName>
    <definedName name="EuropeWeight">#REF!</definedName>
    <definedName name="EuropeWeightOveride">#REF!</definedName>
    <definedName name="ExcessReturn">#REF!</definedName>
    <definedName name="ExchangeNotional">#REF!</definedName>
    <definedName name="ExerciseFreq">#REF!</definedName>
    <definedName name="ExerciseOptions">#REF!</definedName>
    <definedName name="ExerciseType">#REF!</definedName>
    <definedName name="ExerFreqChoice">#REF!</definedName>
    <definedName name="ExerTypeIndex">#REF!</definedName>
    <definedName name="Expiry">#REF!</definedName>
    <definedName name="ExpLoss">#REF!</definedName>
    <definedName name="ExpLoss1">#REF!</definedName>
    <definedName name="ExpLoss2">#REF!</definedName>
    <definedName name="Exposure">[2]CollateralExposureSimulation!$K$12</definedName>
    <definedName name="Exposure2">[2]ExposureSimulation!$F$146</definedName>
    <definedName name="ExposurePaths">#REF!</definedName>
    <definedName name="ExposurePaths2">[2]ExposureSimulation!$L$145</definedName>
    <definedName name="Exposures">[1]Portfolio!$E$8</definedName>
    <definedName name="ExposureStart">#REF!</definedName>
    <definedName name="ExposureVol">[1]CollateralMarginCall!$G$6</definedName>
    <definedName name="ExpRetVector">[5]MeanVariance!$D$3:$D$6</definedName>
    <definedName name="external_costs">#REF!</definedName>
    <definedName name="EXTRAINFO">#REF!</definedName>
    <definedName name="FaceValue">[9]Merton!$C$6</definedName>
    <definedName name="FairPremium">#REF!</definedName>
    <definedName name="FFChoice">#REF!</definedName>
    <definedName name="FinalIssCurveRange">OFFSET(#REF!,1,0,#REF!,1)</definedName>
    <definedName name="FinalTotIssCurveRange">#REF!</definedName>
    <definedName name="FirmValue">[9]Merton!$C$7</definedName>
    <definedName name="FirstAnalDelta">#REF!</definedName>
    <definedName name="FirstBondMat">#REF!</definedName>
    <definedName name="FirstCalcDelta">#REF!</definedName>
    <definedName name="FirstDefDate">#REF!</definedName>
    <definedName name="FirstDeltaDispl">#REF!</definedName>
    <definedName name="FirstExerciseDate">#REF!</definedName>
    <definedName name="FirstLiborRate1">#REF!</definedName>
    <definedName name="FirstLiborRate2">#REF!</definedName>
    <definedName name="FirstMaturity">#REF!</definedName>
    <definedName name="FirstMaxLoss">#REF!</definedName>
    <definedName name="FirstMinLoss">#REF!</definedName>
    <definedName name="FirstNotional">#REF!</definedName>
    <definedName name="FirstPrem">#REF!</definedName>
    <definedName name="FirstQCDDelta">[11]CDO!#REF!</definedName>
    <definedName name="FirstRho">#REF!</definedName>
    <definedName name="FirstSeed">#REF!</definedName>
    <definedName name="FirstSeeed">#REF!</definedName>
    <definedName name="FirstSwapDate">#REF!</definedName>
    <definedName name="FirstTenor">#REF!</definedName>
    <definedName name="FirstToDefault">#REF!</definedName>
    <definedName name="FitCorrmat">#REF!</definedName>
    <definedName name="Fixed_Rate">#REF!</definedName>
    <definedName name="FixedBasis">#REF!</definedName>
    <definedName name="FixedFreq">#REF!</definedName>
    <definedName name="FixedOrFloat">#REF!</definedName>
    <definedName name="FixedOrNot">#REF!</definedName>
    <definedName name="FlaotRefRateChoiceIndex">#REF!</definedName>
    <definedName name="FloatBasis">#REF!</definedName>
    <definedName name="FloatFreq">#REF!</definedName>
    <definedName name="FloatRate">#REF!</definedName>
    <definedName name="FloatRefRateChoice">#REF!</definedName>
    <definedName name="FloatRefRateChoiceIndex">#REF!</definedName>
    <definedName name="Floor">#REF!</definedName>
    <definedName name="Freq">#REF!</definedName>
    <definedName name="Freq1">#REF!</definedName>
    <definedName name="Freq2">#REF!</definedName>
    <definedName name="FreqChoices">#REF!</definedName>
    <definedName name="FreqIndex">#REF!</definedName>
    <definedName name="FreqTable1">#REF!</definedName>
    <definedName name="FreqTable2">#REF!</definedName>
    <definedName name="FVMDef">#REF!</definedName>
    <definedName name="FVMMarketPrem">#REF!</definedName>
    <definedName name="FVMPrem">#REF!</definedName>
    <definedName name="FVMPV">#REF!</definedName>
    <definedName name="FVMResults">#REF!</definedName>
    <definedName name="Fwd">[3]TreePricer!$C$25</definedName>
    <definedName name="FXVol">#REF!</definedName>
    <definedName name="Gamma">[5]MeanVariance!$O$23</definedName>
    <definedName name="gamma2">[5]MeanVariance!$C$32</definedName>
    <definedName name="GI">#REF!</definedName>
    <definedName name="Global_Local">#REF!</definedName>
    <definedName name="Gone">#REF!</definedName>
    <definedName name="Greeks">#REF!</definedName>
    <definedName name="GuessYield">[5]YieldExample!$C$3</definedName>
    <definedName name="HazardRae">[12]Survival!#REF!</definedName>
    <definedName name="HazardRage">[12]Survival!#REF!</definedName>
    <definedName name="HazardRate">#REF!</definedName>
    <definedName name="HazardRate1">#REF!</definedName>
    <definedName name="HazardRate2">#REF!</definedName>
    <definedName name="HazardRate3">#REF!</definedName>
    <definedName name="HazardRate4">#REF!</definedName>
    <definedName name="HazardRate5">#REF!</definedName>
    <definedName name="HazardRates">[1]CDSStripper!$C$9</definedName>
    <definedName name="HedgeAmount">[3]TradingStrategy!$C$10</definedName>
    <definedName name="HedgingFreq">#REF!</definedName>
    <definedName name="HistHigh">#REF!</definedName>
    <definedName name="HistLow">#REF!</definedName>
    <definedName name="Histogram1Output">#REF!</definedName>
    <definedName name="Histogram2Output">#REF!</definedName>
    <definedName name="HistoricalError">#REF!</definedName>
    <definedName name="HistStart">#REF!</definedName>
    <definedName name="HistWeight">#REF!</definedName>
    <definedName name="IA" localSheetId="0">Spreadsheet6.1!#REF!</definedName>
    <definedName name="IA">[6]CollateralMarginCall!#REF!</definedName>
    <definedName name="IA_A">Spreadsheet6.1!$D$12</definedName>
    <definedName name="IA_B">Spreadsheet6.1!$E$12</definedName>
    <definedName name="ImpliedVolatility">[4]HedgingSimulation!$C$10</definedName>
    <definedName name="IndependentAmount">[1]CollateralMarginCall!$C$7</definedName>
    <definedName name="IndependentAmount2">[1]CollateralMarginCall!$D$7</definedName>
    <definedName name="Index">#REF!</definedName>
    <definedName name="IndexELEur">#REF!</definedName>
    <definedName name="IndexELUS">#REF!</definedName>
    <definedName name="IndexExpLossEUR">#REF!</definedName>
    <definedName name="IndexExpLossUS">#REF!</definedName>
    <definedName name="IndexLevels">#REF!</definedName>
    <definedName name="IndexPV">#REF!</definedName>
    <definedName name="IndexRiskyLevel">#REF!</definedName>
    <definedName name="IndexStart">#REF!</definedName>
    <definedName name="Industry_Description">#REF!</definedName>
    <definedName name="Industry_Lookup_Table">#REF!</definedName>
    <definedName name="Industry_Number">#REF!</definedName>
    <definedName name="InitialCollateral">[2]CollateralandCorrelation!$C$15</definedName>
    <definedName name="InitialExposure">[2]CollateralandCorrelation!$C$14</definedName>
    <definedName name="InitialPV">'[13]Sheet1 (2)'!$D$4</definedName>
    <definedName name="INST_TYPE">#REF!</definedName>
    <definedName name="InstName">#REF!</definedName>
    <definedName name="IntegrationPoints">#REF!</definedName>
    <definedName name="IntegrationPoints2">#REF!</definedName>
    <definedName name="Intensity">#REF!</definedName>
    <definedName name="IntensityCntrpty">[1]CVA!$D$8</definedName>
    <definedName name="IntensitySystemic">[1]CVA!#REF!</definedName>
    <definedName name="IntensityUs">[1]CVA!#REF!</definedName>
    <definedName name="InterCorrel">[11]CDO!#REF!</definedName>
    <definedName name="InterestR">[3]TreePricer!$C$18</definedName>
    <definedName name="InterestRate">#REF!</definedName>
    <definedName name="InterestRateNow">#REF!</definedName>
    <definedName name="Interval">#REF!</definedName>
    <definedName name="IntPoints">#REF!</definedName>
    <definedName name="IntRate">[4]HedgingSimulation!$C$9</definedName>
    <definedName name="iNumUnderlyings">#REF!</definedName>
    <definedName name="IR">#REF!</definedName>
    <definedName name="IRate">#REF!</definedName>
    <definedName name="IRFXCorr">#REF!</definedName>
    <definedName name="IRMC">[8]MonteCarlo!$C$5</definedName>
    <definedName name="IRModel">#REF!</definedName>
    <definedName name="IRModelType">#REF!</definedName>
    <definedName name="IRTau">#REF!</definedName>
    <definedName name="IRVol">#REF!</definedName>
    <definedName name="IssCurveRangeCopy">OFFSET(#REF!,1+#REF!,0,#REF!,1)</definedName>
    <definedName name="ISSUE_DATE">#REF!</definedName>
    <definedName name="ISSUER">#REF!</definedName>
    <definedName name="Issuer_Curve_cell">#REF!</definedName>
    <definedName name="ISSUER_INDEX">#REF!</definedName>
    <definedName name="ISSUER_LIST">#REF!</definedName>
    <definedName name="ISSUER_MAPPINGS">#REF!</definedName>
    <definedName name="IssuerCurves">OFFSET(#REF!,0,0,#REF!,1)</definedName>
    <definedName name="iter">#REF!</definedName>
    <definedName name="JumpFreq">#REF!</definedName>
    <definedName name="JumpSize">#REF!</definedName>
    <definedName name="Knockout">#REF!</definedName>
    <definedName name="Knockout2">#REF!</definedName>
    <definedName name="kurtosis">#REF!</definedName>
    <definedName name="Label">#REF!</definedName>
    <definedName name="Lamba">[9]CreditGrades!$C$8</definedName>
    <definedName name="lambda">#REF!</definedName>
    <definedName name="lamda">#REF!</definedName>
    <definedName name="lamda2">[4]ExponentialDampingEstimate!$C$6</definedName>
    <definedName name="lamda3">[4]ExponentialDampingEstimate!$C$6</definedName>
    <definedName name="LASTCPN_RATE">#REF!</definedName>
    <definedName name="LastExerciseDate">#REF!</definedName>
    <definedName name="Lbar">[9]CreditGrades!$C$7</definedName>
    <definedName name="LengthBCCurve">#REF!</definedName>
    <definedName name="LengthBCEur">#REF!</definedName>
    <definedName name="LengthBCUS">#REF!</definedName>
    <definedName name="Leverage">#REF!</definedName>
    <definedName name="LGD">[10]BaselIIFormula!$D$8</definedName>
    <definedName name="LGM_STAMP">"LGM"</definedName>
    <definedName name="LGMChoice">#REF!</definedName>
    <definedName name="LGMopencol">OFFSET([0]!LGMChoice,2,0,[0]!NumLGMChoices,1)</definedName>
    <definedName name="LiborRateChoice">#REF!</definedName>
    <definedName name="LiborRateCol">OFFSET(#REF!,0,0,#REF!,1)</definedName>
    <definedName name="LiborRateCol1">OFFSET(#REF!,0,0,#REF!,1)</definedName>
    <definedName name="littled">[9]CreditGrades!$C$16</definedName>
    <definedName name="LOAD_MKT">#REF!</definedName>
    <definedName name="LookUnderlying">#REF!</definedName>
    <definedName name="LossBins">#REF!</definedName>
    <definedName name="LossGivenDefault">[9]Merton!$C$25</definedName>
    <definedName name="LossonLiquidation">[2]LiquidationTimescale!#REF!</definedName>
    <definedName name="Lower">[7]SimpleIntegration!$C$2</definedName>
    <definedName name="LowerBaseTrancheAttach">#REF!</definedName>
    <definedName name="LowerTrancheEURCorrel">#REF!</definedName>
    <definedName name="LowerTrancheUSCorrel">#REF!</definedName>
    <definedName name="LTBorrowings">#REF!</definedName>
    <definedName name="LTMean">#REF!</definedName>
    <definedName name="MAN_IP">#REF!</definedName>
    <definedName name="MAN_MKT">#REF!</definedName>
    <definedName name="ManualMarket">#REF!</definedName>
    <definedName name="Mapset">#REF!</definedName>
    <definedName name="Mapsets_count_cell">#REF!</definedName>
    <definedName name="MargEPE">'[1]Impact of PV'!$C$19</definedName>
    <definedName name="MargEPE1">[1]EPEAllocation!$C$22</definedName>
    <definedName name="MargEPE2">[1]EPEAllocation!$D$22</definedName>
    <definedName name="Market">#REF!</definedName>
    <definedName name="MarketChoice">#REF!</definedName>
    <definedName name="MarketChoiceCell">#REF!</definedName>
    <definedName name="marketcountcol">#REF!</definedName>
    <definedName name="MarketId">#REF!</definedName>
    <definedName name="MarketPrem">#REF!</definedName>
    <definedName name="MarketSheet">#REF!</definedName>
    <definedName name="Mat">#REF!</definedName>
    <definedName name="MatDate">#REF!</definedName>
    <definedName name="maturity">'[14]Class Problems'!$J$39</definedName>
    <definedName name="Maturity_11">#REF!</definedName>
    <definedName name="maturity_mismatch_penalty">#REF!</definedName>
    <definedName name="Maturity2">#REF!</definedName>
    <definedName name="MaturityDate">'[5]Bond Price with Excel'!$B$16</definedName>
    <definedName name="MaturityMC">[8]MonteCarlo!$C$6</definedName>
    <definedName name="MaxBinLoss">#REF!</definedName>
    <definedName name="MaxDefaults">#REF!</definedName>
    <definedName name="MaxLossStart">#REF!</definedName>
    <definedName name="MCorTree">#REF!</definedName>
    <definedName name="MCOutput">[1]MonteCarlo!$J$8</definedName>
    <definedName name="MCPaths">[1]CollateralMarginCall!$G$9</definedName>
    <definedName name="MCSims">[1]MonteCarlo!$C$8</definedName>
    <definedName name="Mean">[2]WCEandEPE!$C$11</definedName>
    <definedName name="Mean1">[7]SimpleCovarianceWithWeights!$C$6</definedName>
    <definedName name="Mean2">[7]SimpleCovarianceWithWeights!$C$7</definedName>
    <definedName name="MeanExposure">[1]Netting!$D$8</definedName>
    <definedName name="MeanMtM" localSheetId="0">Spreadsheet6.1!#REF!</definedName>
    <definedName name="MeanMtM">[15]Spreadsheet3.1!$C$10</definedName>
    <definedName name="MeanReturn">#REF!</definedName>
    <definedName name="MeanRev">#REF!</definedName>
    <definedName name="MinAmountInput">#REF!</definedName>
    <definedName name="MinDefaults">#REF!</definedName>
    <definedName name="MinimumTransferAmount">[1]CollateralMarginCall!$C$10</definedName>
    <definedName name="MinimumTransferAmount2">[1]CollateralMarginCall!$D$10</definedName>
    <definedName name="MinLossStart">#REF!</definedName>
    <definedName name="MinorityInterest">#REF!</definedName>
    <definedName name="MKT">#REF!</definedName>
    <definedName name="mktid">#REF!</definedName>
    <definedName name="MktPriceCell">#REF!</definedName>
    <definedName name="MnL">#REF!</definedName>
    <definedName name="ModelChoiceInt">#REF!</definedName>
    <definedName name="ModelNameMod">#REF!</definedName>
    <definedName name="ModifiedDuration">'[5]Bond Price with Excel'!#REF!</definedName>
    <definedName name="MTA">Spreadsheet6.1!#REF!</definedName>
    <definedName name="MTA_A">Spreadsheet6.1!$D$15</definedName>
    <definedName name="MTA_B">Spreadsheet6.1!$E$15</definedName>
    <definedName name="MtM">Spreadsheet6.1!#REF!</definedName>
    <definedName name="MtM_A">Spreadsheet6.1!$D$11</definedName>
    <definedName name="MtM_B">Spreadsheet6.1!$E$11</definedName>
    <definedName name="Mu" localSheetId="0">Spreadsheet6.1!#REF!</definedName>
    <definedName name="Mu">#REF!</definedName>
    <definedName name="mu1a">[4]TwoAssetsEfficientFrontier!$C$7</definedName>
    <definedName name="mu2a">[4]TwoAssetsEfficientFrontier!$C$8</definedName>
    <definedName name="Mult1">[1]EPEAllocation!$H$7</definedName>
    <definedName name="Mult2">[1]EPEAllocation!$I$7</definedName>
    <definedName name="Multiplier">[4]CoherentRiskMeasuresExample!$I$8</definedName>
    <definedName name="MxL">#REF!</definedName>
    <definedName name="NAME">#REF!</definedName>
    <definedName name="NameInDef">#REF!</definedName>
    <definedName name="NbBond">#REF!</definedName>
    <definedName name="NbParam">#REF!</definedName>
    <definedName name="NbPoints">#REF!</definedName>
    <definedName name="NewEstimate">[1]CDSStripper!$L$10</definedName>
    <definedName name="NextCouponDate">'[5]Bond Price with Excel'!$B$19</definedName>
    <definedName name="non_utilisation_relief">#REF!</definedName>
    <definedName name="Notional">#REF!</definedName>
    <definedName name="Notional_11">#REF!</definedName>
    <definedName name="Notionals">#REF!</definedName>
    <definedName name="NUM_CURVES">#REF!</definedName>
    <definedName name="NUM_ISSUERS">#REF!</definedName>
    <definedName name="NUM_MAPPINGS">#REF!</definedName>
    <definedName name="NUM_QUOTES">#REF!</definedName>
    <definedName name="NumBonds">#REF!</definedName>
    <definedName name="NumCalibInstruments">#REF!</definedName>
    <definedName name="NumCalls">[2]CollateralExposureSimulation!$B$9</definedName>
    <definedName name="NumCoupons">#REF!</definedName>
    <definedName name="NumDeltas">#REF!</definedName>
    <definedName name="NumExercises">#REF!</definedName>
    <definedName name="NumFactors">#REF!</definedName>
    <definedName name="NumFloatCoupons">#REF!</definedName>
    <definedName name="NumInstruments">#REF!</definedName>
    <definedName name="NumLGMChoices">#REF!</definedName>
    <definedName name="NumMarketChoices">#REF!</definedName>
    <definedName name="NumNames">[1]Portfolio!$J$10</definedName>
    <definedName name="NumNames2">#REF!</definedName>
    <definedName name="NumPremiums">#REF!</definedName>
    <definedName name="NumRatings">#REF!</definedName>
    <definedName name="NumRefRateChoices">#REF!</definedName>
    <definedName name="NumReqTnors">#REF!</definedName>
    <definedName name="NumSims">#REF!</definedName>
    <definedName name="NumSteps">[3]TreePricer!$C$10</definedName>
    <definedName name="NumTenors">#REF!</definedName>
    <definedName name="NumTranches">#REF!</definedName>
    <definedName name="NumUnderlyings">#REF!</definedName>
    <definedName name="Obligor_Group">#REF!</definedName>
    <definedName name="Obligor_Location">#REF!</definedName>
    <definedName name="Obligor_Name">#REF!</definedName>
    <definedName name="OFFER">#REF!</definedName>
    <definedName name="OptComp">#REF!</definedName>
    <definedName name="OptionData">[3]OptionPriceTree!$A$1</definedName>
    <definedName name="OptionDelta">#REF!</definedName>
    <definedName name="OptionDeltaApprox">#REF!</definedName>
    <definedName name="OptionImpVol">#REF!</definedName>
    <definedName name="OptionIR">#REF!</definedName>
    <definedName name="OptionMaturity">#REF!</definedName>
    <definedName name="OptionPayoff">[3]TreePricer!$C$9</definedName>
    <definedName name="OptionPrem">#REF!</definedName>
    <definedName name="OptionPrice">[3]TreePricer!$C$22</definedName>
    <definedName name="OptionPVMC">#REF!</definedName>
    <definedName name="OptionSpot">#REF!</definedName>
    <definedName name="OptionStrike">#REF!</definedName>
    <definedName name="OptionType">#REF!</definedName>
    <definedName name="OptionTypeCell">#REF!</definedName>
    <definedName name="OptionValue">#REF!</definedName>
    <definedName name="Original_Obl_Loc">#REF!</definedName>
    <definedName name="OtherLTLiab">#REF!</definedName>
    <definedName name="OtherSTLIab">#REF!</definedName>
    <definedName name="Output">'[1]Impact of PV'!$B$25</definedName>
    <definedName name="OutputGI">#REF!</definedName>
    <definedName name="OverwriteBaseCorrel">#REF!</definedName>
    <definedName name="Param">[6]MonteCarlo!#REF!</definedName>
    <definedName name="Param1">[6]MonteCarlo!#REF!</definedName>
    <definedName name="Param2">#REF!</definedName>
    <definedName name="PASSWORD">#REF!</definedName>
    <definedName name="PayDateCell">#REF!</definedName>
    <definedName name="PayoffRef">#REF!</definedName>
    <definedName name="Payoffs">OFFSET(#REF!,0,0,#REF!,1)</definedName>
    <definedName name="Percentile">[4]CoherentRiskMeasuresExample!$I$9</definedName>
    <definedName name="PercPriceImpact">[2]LiquidationTimescale!$D$19</definedName>
    <definedName name="PFE" localSheetId="0">Spreadsheet6.1!#REF!</definedName>
    <definedName name="PFE">#REF!</definedName>
    <definedName name="Points">[7]SimpleIntegration!$C$4</definedName>
    <definedName name="PortExpLoss">#REF!</definedName>
    <definedName name="PortfolioMTM">[1]CollateralMarginCall!$C$6</definedName>
    <definedName name="Positions">#REF!</definedName>
    <definedName name="PostInterval">[1]CollateralMarginCall!$G$7</definedName>
    <definedName name="PreferredEquity">#REF!</definedName>
    <definedName name="Prem1">#REF!</definedName>
    <definedName name="Prem2">#REF!</definedName>
    <definedName name="PremComp">#REF!</definedName>
    <definedName name="Premium">#REF!</definedName>
    <definedName name="PremiumDateCell">#REF!</definedName>
    <definedName name="PremiumModel">#REF!</definedName>
    <definedName name="PremiumPaid">#REF!</definedName>
    <definedName name="PremiumPaid2">#REF!</definedName>
    <definedName name="PremiumStart">#REF!</definedName>
    <definedName name="PremLeg2">#REF!</definedName>
    <definedName name="Price">[5]YieldExample!$C$2</definedName>
    <definedName name="PrincingError">#REF!</definedName>
    <definedName name="Prob">[4]BinomialVsNormal!$C$6</definedName>
    <definedName name="ProductType">#REF!</definedName>
    <definedName name="PVDef">#REF!</definedName>
    <definedName name="PVDef2">#REF!</definedName>
    <definedName name="PVPrem">#REF!</definedName>
    <definedName name="PVPrem2">#REF!</definedName>
    <definedName name="Quantile">#REF!</definedName>
    <definedName name="QuantoMkt">#REF!</definedName>
    <definedName name="RandomNumberRange">#REF!</definedName>
    <definedName name="RandomNumbers">#REF!</definedName>
    <definedName name="RanNums">[16]RandomNumbers!$B$4</definedName>
    <definedName name="RanNums2">[16]RandomNumbers!$H$4</definedName>
    <definedName name="rate">'[14]Class Problems'!$H$39</definedName>
    <definedName name="Rate2">#REF!</definedName>
    <definedName name="Rating">#REF!</definedName>
    <definedName name="Rating_11">#REF!</definedName>
    <definedName name="RatingT1">#REF!</definedName>
    <definedName name="RatingT2">#REF!</definedName>
    <definedName name="RatingT3">#REF!</definedName>
    <definedName name="RatingTable">#REF!</definedName>
    <definedName name="RBasis">#REF!</definedName>
    <definedName name="RBondStrike">#REF!</definedName>
    <definedName name="RCalibWeight">#REF!</definedName>
    <definedName name="Rec">#REF!</definedName>
    <definedName name="Recovery">[1]CDSCntrptyRisk!$C$10</definedName>
    <definedName name="Recovery_Pricing">#REF!</definedName>
    <definedName name="Recovery_Stripping">#REF!</definedName>
    <definedName name="Recovery2">#REF!</definedName>
    <definedName name="RecoveryPercent">[9]Merton!$C$24</definedName>
    <definedName name="recovrate">#REF!</definedName>
    <definedName name="RecovRate_11">#REF!</definedName>
    <definedName name="RecPayCell">#REF!</definedName>
    <definedName name="RecRate">[10]IndexBasis!$I$7</definedName>
    <definedName name="Redemption">'[5]Bond Price with Excel'!$B$58</definedName>
    <definedName name="ref_currency">#REF!</definedName>
    <definedName name="RefDefProb">[1]CDSCntrptyRisk!$C$13</definedName>
    <definedName name="RefRate">#REF!</definedName>
    <definedName name="RefRateCell">#REF!</definedName>
    <definedName name="RefRateChoiceCell">#REF!</definedName>
    <definedName name="RefRec">#REF!</definedName>
    <definedName name="Region">#REF!</definedName>
    <definedName name="repoCurve">#REF!</definedName>
    <definedName name="ReqCorrMat">#REF!</definedName>
    <definedName name="RescaleEL">#REF!</definedName>
    <definedName name="RescaleRatio">#REF!</definedName>
    <definedName name="Reserve">#REF!</definedName>
    <definedName name="result_11">#REF!</definedName>
    <definedName name="Result1">[1]CVA!$J$6</definedName>
    <definedName name="Result2">[1]CVA!$K$6</definedName>
    <definedName name="Results">#REF!</definedName>
    <definedName name="RetPV">#REF!</definedName>
    <definedName name="RetPV2">#REF!</definedName>
    <definedName name="Return">#REF!</definedName>
    <definedName name="RExerFrontierBounds">OFFSET([0]!ExerRatesBoundsTopCell,0,0,[0]!NumExercises,1)</definedName>
    <definedName name="RFwdVols">OFFSET([0]!FwdVolRangeTopCell,0,0,[0]!NumExercises,[0]!NumExercises)</definedName>
    <definedName name="rho">#REF!</definedName>
    <definedName name="Rhos">#REF!</definedName>
    <definedName name="RhoTerm">#REF!</definedName>
    <definedName name="RISKY_MARKET">#REF!</definedName>
    <definedName name="RiskyInsDef">#REF!</definedName>
    <definedName name="RiskyInsParRate">#REF!</definedName>
    <definedName name="RiskyInsPrem">#REF!</definedName>
    <definedName name="RiskyInsPV">#REF!</definedName>
    <definedName name="RiskyLevel">#REF!</definedName>
    <definedName name="RiskyLevels">#REF!</definedName>
    <definedName name="RiskyMarket">#REF!</definedName>
    <definedName name="RL">#REF!</definedName>
    <definedName name="RLBaseTranche1">#REF!</definedName>
    <definedName name="RLBaseTranche2">#REF!</definedName>
    <definedName name="RLevel">[10]BlackModel!$D$10</definedName>
    <definedName name="RLevel2">#REF!</definedName>
    <definedName name="Rounding" localSheetId="0">Spreadsheet6.1!#REF!</definedName>
    <definedName name="Rounding">[1]CollateralMarginCall!$C$11</definedName>
    <definedName name="Rounding_A">Spreadsheet6.1!$D$16</definedName>
    <definedName name="Rounding_B">Spreadsheet6.1!$E$16</definedName>
    <definedName name="Rounding2">[2]CollateralCalculation!$D$17</definedName>
    <definedName name="sA">[5]MeanVariance!$O$17</definedName>
    <definedName name="sB">[5]MeanVariance!$O$18</definedName>
    <definedName name="sC">[5]MeanVariance!$O$19</definedName>
    <definedName name="ScenarioOutput">#REF!</definedName>
    <definedName name="Scenarios">#REF!</definedName>
    <definedName name="sD">[5]MeanVariance!$O$20</definedName>
    <definedName name="secondcurrency">#REF!</definedName>
    <definedName name="Seed">[1]MonteCarlo!$C$9</definedName>
    <definedName name="Seed2">[1]CollateralMarginCall!$G$8</definedName>
    <definedName name="SET_DATE">#REF!</definedName>
    <definedName name="SettleDate">'[5]Bond Price with Excel'!$B$14</definedName>
    <definedName name="SharesOutstanding">#REF!</definedName>
    <definedName name="ShiftAmount">#REF!</definedName>
    <definedName name="ShowPath">[2]CollateralExposureSimulation!$E$21</definedName>
    <definedName name="ShowPaths">[3]TreePricer!$C$11</definedName>
    <definedName name="Sigma" localSheetId="0">Spreadsheet6.1!#REF!</definedName>
    <definedName name="Sigma">#REF!</definedName>
    <definedName name="sigma1">#REF!</definedName>
    <definedName name="sigma2">#REF!</definedName>
    <definedName name="Sigma3">#REF!</definedName>
    <definedName name="SigmaVector">[5]MeanVariance!$E$3:$E$6</definedName>
    <definedName name="SigmaVolume">[2]Liquidation!$D$14</definedName>
    <definedName name="Sims">[8]MonteCarlo!$F$4</definedName>
    <definedName name="SimulationResults">[3]HedgingSimulation!$R$4</definedName>
    <definedName name="Simulations">#REF!</definedName>
    <definedName name="SizeCouponSchedule">#REF!</definedName>
    <definedName name="SOURCE">#REF!</definedName>
    <definedName name="SourceCell">#REF!</definedName>
    <definedName name="SplinePointsa">#REF!</definedName>
    <definedName name="Spot">#REF!</definedName>
    <definedName name="Spread">#REF!</definedName>
    <definedName name="SpreadAgent">[6]CVA!#REF!</definedName>
    <definedName name="SpreadCntrpty">[1]CVA!#REF!</definedName>
    <definedName name="SpreadLowerTranche">#REF!</definedName>
    <definedName name="SpreadMulti">#REF!</definedName>
    <definedName name="SpreadRef">[1]CDSCntrptyRisk!$C$7</definedName>
    <definedName name="SpreadScenario">#REF!</definedName>
    <definedName name="SpreadSys">[6]CVA!#REF!</definedName>
    <definedName name="SpreadUpperTranche">#REF!</definedName>
    <definedName name="SpreadVol">#REF!</definedName>
    <definedName name="SQrtTerm">#REF!</definedName>
    <definedName name="Sstar">[9]CreditGrades!$C$6</definedName>
    <definedName name="start_date">#REF!</definedName>
    <definedName name="StartCopyCell">#REF!</definedName>
    <definedName name="StartCouponSchedule">#REF!</definedName>
    <definedName name="Starting_Point">#REF!</definedName>
    <definedName name="STBorrowings">#REF!</definedName>
    <definedName name="StdDev">#REF!</definedName>
    <definedName name="StdDevExposure">[1]Netting!$D$9</definedName>
    <definedName name="StdDevMtM" localSheetId="0">Spreadsheet6.1!#REF!</definedName>
    <definedName name="StdDevMtM">[15]Spreadsheet3.1!$C$11</definedName>
    <definedName name="StdExposures">[1]Portfolio!$F$8</definedName>
    <definedName name="Steps">[8]MonteCarlo!$F$3</definedName>
    <definedName name="StepSize">#REF!</definedName>
    <definedName name="StepsPerHedge">#REF!</definedName>
    <definedName name="Stock">[4]OptionPricer!$C$7</definedName>
    <definedName name="StockData">[3]UnderlyingValueTree!$A$1</definedName>
    <definedName name="StockPrice">[2]Liquidation!$D$12</definedName>
    <definedName name="StockVol">[3]CreditGrades!$C$9</definedName>
    <definedName name="Strike">#REF!</definedName>
    <definedName name="StrikeMC">[8]MonteCarlo!$C$4</definedName>
    <definedName name="SttDev">#REF!</definedName>
    <definedName name="Study_Period">#REF!</definedName>
    <definedName name="SurvProb">[17]BlackModel!#REF!</definedName>
    <definedName name="SVol">[9]CreditGrades!$C$9</definedName>
    <definedName name="SwapChoices">#REF!</definedName>
    <definedName name="SwapChoices3">#REF!</definedName>
    <definedName name="SwapPayments">#REF!</definedName>
    <definedName name="SwapType">#REF!</definedName>
    <definedName name="TargetReturn">[5]MeanVariance!$J$18</definedName>
    <definedName name="TargetSpread">#REF!</definedName>
    <definedName name="TargSpread">#REF!</definedName>
    <definedName name="Tau">#REF!</definedName>
    <definedName name="TENOR">#REF!</definedName>
    <definedName name="Tenors">#REF!</definedName>
    <definedName name="TenorToShift">#REF!</definedName>
    <definedName name="TenYearFactor">#REF!</definedName>
    <definedName name="term">#REF!</definedName>
    <definedName name="ThisMaturity">#REF!</definedName>
    <definedName name="Threshold" localSheetId="0">Spreadsheet6.1!#REF!</definedName>
    <definedName name="Threshold">#REF!</definedName>
    <definedName name="Threshold_A">Spreadsheet6.1!$D$13</definedName>
    <definedName name="Threshold_B">Spreadsheet6.1!$E$13</definedName>
    <definedName name="Threshold1">#REF!</definedName>
    <definedName name="Threshold2">[1]CollateralMarginCall!$D$8</definedName>
    <definedName name="Threshold3">#REF!</definedName>
    <definedName name="Threshold4">#REF!</definedName>
    <definedName name="Threshold5">#REF!</definedName>
    <definedName name="ThresholdInput">#REF!</definedName>
    <definedName name="Thresholds">[1]Portfolio!$D$8</definedName>
    <definedName name="Ticker">#REF!</definedName>
    <definedName name="tier_one_ratio">#REF!</definedName>
    <definedName name="Time">[2]SimpleWrongWay!$C$15</definedName>
    <definedName name="Time2">#REF!</definedName>
    <definedName name="TimeHorizon">#REF!</definedName>
    <definedName name="TimeIntPoints">#REF!</definedName>
    <definedName name="timestep">[4]HedgingSimulation!$G$9</definedName>
    <definedName name="tmat">#REF!</definedName>
    <definedName name="tmat2">#REF!</definedName>
    <definedName name="tmat3">#REF!</definedName>
    <definedName name="tmat4">#REF!</definedName>
    <definedName name="TMTopLeft">#REF!</definedName>
    <definedName name="TODAY">#REF!</definedName>
    <definedName name="Total_Facilities">#REF!</definedName>
    <definedName name="TotalCommonEquity">#REF!</definedName>
    <definedName name="TotalExposure">[1]CollateralMarginCall!$C$12</definedName>
    <definedName name="TotalMargEPE">[1]EPEAllocation!$C$23</definedName>
    <definedName name="TotalNot">#REF!</definedName>
    <definedName name="TotalPnL">[3]HedgingSimulation!$L$10</definedName>
    <definedName name="TotalPV">#REF!</definedName>
    <definedName name="TotalRequiredCollateralisation2">[2]CollateralCalculation!$D$19</definedName>
    <definedName name="TotalRequiredCollaterlisation">[2]CollateralCalculation!$C$19</definedName>
    <definedName name="TotIssCurveRange">#REF!</definedName>
    <definedName name="TotZeroCurveRange">#REF!</definedName>
    <definedName name="TrancheDefLeg">#REF!</definedName>
    <definedName name="TrancheEL">#REF!</definedName>
    <definedName name="TrancheNot">#REF!</definedName>
    <definedName name="TrancheNotional">#REF!</definedName>
    <definedName name="TranchePremiums">#REF!</definedName>
    <definedName name="TranchePremLeg">#REF!</definedName>
    <definedName name="TrancheRL">#REF!</definedName>
    <definedName name="transaction_notional_Amont">#REF!</definedName>
    <definedName name="Transition_Matrix">#REF!</definedName>
    <definedName name="TreeStep">#REF!</definedName>
    <definedName name="type">#REF!</definedName>
    <definedName name="typeasset">#REF!</definedName>
    <definedName name="TypeChoices">#REF!</definedName>
    <definedName name="typeIndex">#REF!</definedName>
    <definedName name="Typeofswap">#REF!</definedName>
    <definedName name="U1CMT">#REF!</definedName>
    <definedName name="Uncertainty_of_Barrier">#REF!</definedName>
    <definedName name="UnitVector">[5]MeanVariance!$L$3:$L$6</definedName>
    <definedName name="Unwind">#REF!</definedName>
    <definedName name="UnwindCost">#REF!</definedName>
    <definedName name="Upper">[7]SimpleIntegration!$C$3</definedName>
    <definedName name="UpperBaseTrancheAttach">#REF!</definedName>
    <definedName name="UpperTrancheEURCorrel">#REF!</definedName>
    <definedName name="UpperTrancheUSCorrel">#REF!</definedName>
    <definedName name="UseCouponSchedule">#REF!</definedName>
    <definedName name="UseMigrationLoss">#REF!</definedName>
    <definedName name="USExpLoss">#REF!</definedName>
    <definedName name="Val1A">[6]CVA!#REF!</definedName>
    <definedName name="Val2A">[1]CVA!$I$4</definedName>
    <definedName name="Val3A">[1]CVA!$I$5</definedName>
    <definedName name="ValueDate">#REF!</definedName>
    <definedName name="VaR">#REF!</definedName>
    <definedName name="Variables">#REF!</definedName>
    <definedName name="Variance">#REF!</definedName>
    <definedName name="VarianceBarrier">#REF!</definedName>
    <definedName name="vnot">'[14]Class Problems'!$G$39</definedName>
    <definedName name="Vol">#REF!</definedName>
    <definedName name="Volatilities">#REF!</definedName>
    <definedName name="Volatility">[2]LiquidationTimescale!$D$13</definedName>
    <definedName name="VolatilityOfPosition">[2]LiquidationTimescale!$D$24</definedName>
    <definedName name="VolCollateral">[2]CollateralandCorrelation!$C$13</definedName>
    <definedName name="volCurve">#REF!</definedName>
    <definedName name="volCurve2">#REF!</definedName>
    <definedName name="VolExposure">[2]CollateralandCorrelation!$C$12</definedName>
    <definedName name="VolMC">[8]MonteCarlo!$C$7</definedName>
    <definedName name="VolSqrtDt">[8]MonteCarlo!$F$7</definedName>
    <definedName name="Volume">[2]Liquidation!#REF!</definedName>
    <definedName name="VolumeToLiquidate">[2]Liquidation!$D$13</definedName>
    <definedName name="WADP">#REF!</definedName>
    <definedName name="WeBuyFrom">#REF!</definedName>
    <definedName name="WeightEUR">#REF!</definedName>
    <definedName name="Weights">#REF!</definedName>
    <definedName name="WeightVector">[5]MeanVariance!$C$3:$C$6</definedName>
    <definedName name="WeightVector1">[5]MeanVariance!$G$18:$G$21</definedName>
    <definedName name="WeightVector2">[5]MeanVariance!$K$18:$K$21</definedName>
    <definedName name="WestMarket">#REF!</definedName>
    <definedName name="Workbook">#REF!</definedName>
    <definedName name="Worksheet_List">#REF!</definedName>
    <definedName name="X2OverS">[4]OptionPricer!$C$21</definedName>
    <definedName name="xx">#REF!</definedName>
    <definedName name="YearToMaturity">'[5]Bond Price with Excel'!$B$18</definedName>
    <definedName name="Yield">'[5]Bond Price with Excel'!$B$13</definedName>
    <definedName name="YieldCurveId">#REF!</definedName>
    <definedName name="YieldCurveName">#REF!</definedName>
    <definedName name="zeroCurve">#REF!</definedName>
    <definedName name="ZeroCurveRange">OFFSET(#REF!,1,0,#REF!,1)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E16" i="13" l="1"/>
  <c r="E13" i="13"/>
  <c r="D17" i="13" l="1"/>
  <c r="E14" i="13"/>
  <c r="E11" i="13"/>
  <c r="E17" i="13" s="1"/>
  <c r="D18" i="13"/>
  <c r="E18" i="13"/>
</calcChain>
</file>

<file path=xl/sharedStrings.xml><?xml version="1.0" encoding="utf-8"?>
<sst xmlns="http://schemas.openxmlformats.org/spreadsheetml/2006/main" count="13" uniqueCount="13">
  <si>
    <t>Party A</t>
  </si>
  <si>
    <t>Party B</t>
  </si>
  <si>
    <t>Portfolio MtM</t>
  </si>
  <si>
    <t>Threshold</t>
  </si>
  <si>
    <t>Minimum transfer amount</t>
  </si>
  <si>
    <t>Rounding</t>
  </si>
  <si>
    <t>Uncollateralised exposure</t>
  </si>
  <si>
    <t>Collateral call / return</t>
  </si>
  <si>
    <t>The calculation is made from both party A and party B's point of view</t>
  </si>
  <si>
    <t>If the parties agree on the MtM and collateral parameters they will agree on the collateral required</t>
  </si>
  <si>
    <t>When Party A calls for collateral, it is with respect to Party B's Threshold, MTA etc</t>
  </si>
  <si>
    <t>MTM of collateral held</t>
  </si>
  <si>
    <t>Initial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</si>
</sst>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</numFmts>
  <fonts count="29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2"/>
      <color rgb="FF00B05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>
      <alignment horizontal="right"/>
    </xf>
    <xf numFmtId="0" fontId="17" fillId="25" borderId="0" applyNumberFormat="0" applyBorder="0" applyAlignment="0" applyProtection="0"/>
    <xf numFmtId="0" fontId="25" fillId="0" borderId="0"/>
    <xf numFmtId="0" fontId="25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25" fillId="0" borderId="0" applyFont="0" applyFill="0" applyBorder="0" applyAlignment="0" applyProtection="0"/>
    <xf numFmtId="0" fontId="19" fillId="27" borderId="12">
      <alignment horizontal="center"/>
    </xf>
    <xf numFmtId="0" fontId="1" fillId="0" borderId="0">
      <alignment horizontal="left" wrapText="1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69" fontId="1" fillId="0" borderId="0">
      <alignment horizontal="center"/>
    </xf>
  </cellStyleXfs>
  <cellXfs count="18">
    <xf numFmtId="0" fontId="0" fillId="0" borderId="0" xfId="0"/>
    <xf numFmtId="0" fontId="25" fillId="0" borderId="0" xfId="45"/>
    <xf numFmtId="0" fontId="25" fillId="27" borderId="0" xfId="46" applyFill="1"/>
    <xf numFmtId="0" fontId="26" fillId="0" borderId="17" xfId="45" applyFont="1" applyBorder="1"/>
    <xf numFmtId="0" fontId="26" fillId="0" borderId="18" xfId="45" applyFont="1" applyBorder="1"/>
    <xf numFmtId="0" fontId="26" fillId="0" borderId="21" xfId="45" applyFont="1" applyBorder="1"/>
    <xf numFmtId="0" fontId="26" fillId="0" borderId="14" xfId="45" applyFont="1" applyBorder="1"/>
    <xf numFmtId="3" fontId="27" fillId="0" borderId="22" xfId="45" applyNumberFormat="1" applyFont="1" applyBorder="1" applyProtection="1">
      <protection locked="0"/>
    </xf>
    <xf numFmtId="3" fontId="26" fillId="0" borderId="19" xfId="45" applyNumberFormat="1" applyFont="1" applyBorder="1"/>
    <xf numFmtId="0" fontId="26" fillId="0" borderId="15" xfId="45" applyFont="1" applyBorder="1"/>
    <xf numFmtId="3" fontId="27" fillId="0" borderId="16" xfId="45" applyNumberFormat="1" applyFont="1" applyBorder="1" applyProtection="1">
      <protection locked="0"/>
    </xf>
    <xf numFmtId="3" fontId="27" fillId="0" borderId="20" xfId="45" applyNumberFormat="1" applyFont="1" applyBorder="1" applyProtection="1">
      <protection locked="0"/>
    </xf>
    <xf numFmtId="3" fontId="26" fillId="0" borderId="20" xfId="45" applyNumberFormat="1" applyFont="1" applyBorder="1"/>
    <xf numFmtId="3" fontId="26" fillId="0" borderId="16" xfId="45" applyNumberFormat="1" applyFont="1" applyBorder="1" applyProtection="1">
      <protection locked="0"/>
    </xf>
    <xf numFmtId="0" fontId="19" fillId="0" borderId="0" xfId="45" applyFont="1"/>
    <xf numFmtId="0" fontId="19" fillId="0" borderId="0" xfId="45" applyFont="1" applyFill="1" applyBorder="1"/>
    <xf numFmtId="3" fontId="28" fillId="0" borderId="18" xfId="45" applyNumberFormat="1" applyFont="1" applyBorder="1"/>
    <xf numFmtId="3" fontId="28" fillId="0" borderId="21" xfId="45" applyNumberFormat="1" applyFont="1" applyBorder="1"/>
  </cellXfs>
  <cellStyles count="5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Data" xfId="28"/>
    <cellStyle name="DataInput" xfId="29"/>
    <cellStyle name="Explanatory Text" xfId="30" builtinId="53" customBuiltin="1"/>
    <cellStyle name="Good" xfId="31" builtinId="26" customBuiltin="1"/>
    <cellStyle name="Header" xfId="32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Milliers [0]_rating factor" xfId="39"/>
    <cellStyle name="Milliers_rating factor" xfId="40"/>
    <cellStyle name="Monétaire [0]_rating factor" xfId="41"/>
    <cellStyle name="Monétaire_rating factor" xfId="42"/>
    <cellStyle name="Month" xfId="43"/>
    <cellStyle name="Neutral" xfId="44" builtinId="28" customBuiltin="1"/>
    <cellStyle name="Normal" xfId="0" builtinId="0"/>
    <cellStyle name="Normal 2" xfId="45"/>
    <cellStyle name="Normal_LFS_CollateralandCntrptyRisk 2" xfId="46"/>
    <cellStyle name="Note" xfId="47" builtinId="10" customBuiltin="1"/>
    <cellStyle name="Output" xfId="48" builtinId="21" customBuiltin="1"/>
    <cellStyle name="Percent 2" xfId="49"/>
    <cellStyle name="PricingProducts" xfId="50"/>
    <cellStyle name="Style 1" xfId="51"/>
    <cellStyle name="TIMES" xfId="52"/>
    <cellStyle name="Title" xfId="53" builtinId="15" customBuiltin="1"/>
    <cellStyle name="Total" xfId="54" builtinId="25" customBuiltin="1"/>
    <cellStyle name="Warning Text" xfId="55" builtinId="11" customBuiltin="1"/>
    <cellStyle name="WASP_PLStyle" xfId="56"/>
    <cellStyle name="Year" xfId="5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3" Type="http://schemas.openxmlformats.org/officeDocument/2006/relationships/externalLink" Target="externalLinks/externalLink2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microsoft.com/office/2006/relationships/vbaProject" Target="vbaProject.bin"/><Relationship Id="rId10" Type="http://schemas.openxmlformats.org/officeDocument/2006/relationships/externalLink" Target="externalLinks/externalLink9.xml"/><Relationship Id="rId19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552450</xdr:colOff>
      <xdr:row>7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0" y="9525"/>
          <a:ext cx="6429375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Collateral Calculation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Calculation of collateral required accounting for the different parameters in a CSA</a:t>
          </a:r>
          <a:endParaRPr lang="en-GB"/>
        </a:p>
      </xdr:txBody>
    </xdr:sp>
    <xdr:clientData/>
  </xdr:twoCellAnchor>
  <xdr:twoCellAnchor>
    <xdr:from>
      <xdr:col>8</xdr:col>
      <xdr:colOff>57150</xdr:colOff>
      <xdr:row>2</xdr:row>
      <xdr:rowOff>114300</xdr:rowOff>
    </xdr:from>
    <xdr:to>
      <xdr:col>10</xdr:col>
      <xdr:colOff>295275</xdr:colOff>
      <xdr:row>5</xdr:row>
      <xdr:rowOff>66675</xdr:rowOff>
    </xdr:to>
    <xdr:sp macro="" textlink="">
      <xdr:nvSpPr>
        <xdr:cNvPr id="3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6543675" y="438150"/>
          <a:ext cx="14573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  <a:endParaRPr lang="en-GB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CntrptyRiskEuromoneyExamples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LFSCounterpartyRisk/LFS_CollateralandCntrptyRisk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nvertibleBondsandCSA/CB_CSA_Examples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CntrptyRiskEuromoneyOL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QTinRM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StructuringandPricingCreditDerivs/CreditDerivsExampl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PricingExamples03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Book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con422PresentValueProblems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CRBook/ExampleExercises/Chapter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BilateralCntrptyRiskCalcs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StructuringandPricingCreditDerivs/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11">
          <cell r="C11">
            <v>0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1">
          <cell r="C11">
            <v>-50000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0">
          <cell r="J10">
            <v>100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  <row r="9">
          <cell r="C9">
            <v>5748594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0">
          <cell r="C10">
            <v>0.4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WCEandEPE"/>
      <sheetName val="Sheet1"/>
      <sheetName val="WCEandEPEOverTime"/>
      <sheetName val="ExposureSimulation"/>
      <sheetName val="Netting"/>
      <sheetName val="IncrementalExposure"/>
      <sheetName val="EPEAllocation"/>
      <sheetName val="CollateralCalculation"/>
      <sheetName val="HaircutAnalysis"/>
      <sheetName val="CollateralandCorrelation"/>
      <sheetName val="CollateralExposureSimulation"/>
      <sheetName val="Liquidation"/>
      <sheetName val="LiquidationTimescale"/>
      <sheetName val="ImpliedDefProb"/>
      <sheetName val="Exposure and Netting"/>
      <sheetName val="CVA"/>
      <sheetName val="SimpleWrongWay"/>
      <sheetName val="CDSCntrptyRisk"/>
      <sheetName val="CDSCntrptyRisk (2)"/>
      <sheetName val="HedgingCVA"/>
    </sheetNames>
    <sheetDataSet>
      <sheetData sheetId="0" refreshError="1"/>
      <sheetData sheetId="1" refreshError="1">
        <row r="11">
          <cell r="C11">
            <v>0.1</v>
          </cell>
        </row>
      </sheetData>
      <sheetData sheetId="2" refreshError="1"/>
      <sheetData sheetId="3" refreshError="1"/>
      <sheetData sheetId="4" refreshError="1">
        <row r="146">
          <cell r="F146">
            <v>2.3712774699700175E-4</v>
          </cell>
        </row>
      </sheetData>
      <sheetData sheetId="5" refreshError="1"/>
      <sheetData sheetId="6" refreshError="1"/>
      <sheetData sheetId="7" refreshError="1"/>
      <sheetData sheetId="8" refreshError="1">
        <row r="15">
          <cell r="D15">
            <v>-0.65</v>
          </cell>
        </row>
        <row r="17">
          <cell r="D17">
            <v>0.05</v>
          </cell>
        </row>
        <row r="19">
          <cell r="C19">
            <v>12.2</v>
          </cell>
          <cell r="D19">
            <v>-12.2</v>
          </cell>
        </row>
        <row r="20">
          <cell r="D20">
            <v>0</v>
          </cell>
        </row>
        <row r="21">
          <cell r="C21" t="str">
            <v>YES</v>
          </cell>
          <cell r="D21" t="str">
            <v>NO</v>
          </cell>
        </row>
      </sheetData>
      <sheetData sheetId="9" refreshError="1"/>
      <sheetData sheetId="10" refreshError="1">
        <row r="11">
          <cell r="C11">
            <v>0.5</v>
          </cell>
        </row>
        <row r="12">
          <cell r="C12">
            <v>0.05</v>
          </cell>
        </row>
        <row r="13">
          <cell r="C13">
            <v>0.05</v>
          </cell>
        </row>
        <row r="14">
          <cell r="C14">
            <v>0.05</v>
          </cell>
        </row>
        <row r="15">
          <cell r="C15">
            <v>0.05</v>
          </cell>
        </row>
      </sheetData>
      <sheetData sheetId="11" refreshError="1">
        <row r="12">
          <cell r="K12">
            <v>6.3291041006205222E-4</v>
          </cell>
        </row>
        <row r="17">
          <cell r="C17">
            <v>0</v>
          </cell>
        </row>
        <row r="21">
          <cell r="E21">
            <v>11</v>
          </cell>
        </row>
        <row r="138">
          <cell r="K138">
            <v>0</v>
          </cell>
        </row>
        <row r="264">
          <cell r="K264">
            <v>6.3291041006205222E-4</v>
          </cell>
        </row>
      </sheetData>
      <sheetData sheetId="12" refreshError="1">
        <row r="12">
          <cell r="D12">
            <v>100</v>
          </cell>
        </row>
        <row r="13">
          <cell r="D13">
            <v>1000000</v>
          </cell>
        </row>
        <row r="14">
          <cell r="D14">
            <v>100000</v>
          </cell>
        </row>
        <row r="15">
          <cell r="D15">
            <v>2.5298221281347035E-2</v>
          </cell>
        </row>
        <row r="17">
          <cell r="D17">
            <v>1.5250027727343579E-5</v>
          </cell>
        </row>
      </sheetData>
      <sheetData sheetId="13" refreshError="1">
        <row r="12">
          <cell r="D12">
            <v>100</v>
          </cell>
        </row>
        <row r="13">
          <cell r="D13">
            <v>2.5298221281347035E-2</v>
          </cell>
        </row>
        <row r="14">
          <cell r="D14">
            <v>1.5250027727343579E-5</v>
          </cell>
        </row>
        <row r="15">
          <cell r="D15">
            <v>1000000</v>
          </cell>
        </row>
        <row r="16">
          <cell r="D16">
            <v>2</v>
          </cell>
        </row>
        <row r="19">
          <cell r="D19">
            <v>7.6250138636717892</v>
          </cell>
        </row>
        <row r="20">
          <cell r="D20">
            <v>7625013.8636717889</v>
          </cell>
        </row>
        <row r="23">
          <cell r="D23">
            <v>0.25</v>
          </cell>
        </row>
        <row r="24">
          <cell r="D24">
            <v>1264911.0640673519</v>
          </cell>
        </row>
        <row r="25">
          <cell r="D25">
            <v>0.01</v>
          </cell>
        </row>
        <row r="26">
          <cell r="D26">
            <v>2942623.1647438207</v>
          </cell>
        </row>
      </sheetData>
      <sheetData sheetId="14" refreshError="1"/>
      <sheetData sheetId="15" refreshError="1"/>
      <sheetData sheetId="16" refreshError="1"/>
      <sheetData sheetId="17" refreshError="1">
        <row r="13">
          <cell r="C13">
            <v>0</v>
          </cell>
        </row>
        <row r="15">
          <cell r="C15">
            <v>1</v>
          </cell>
        </row>
        <row r="18">
          <cell r="C18">
            <v>-2.0578695923363037</v>
          </cell>
        </row>
      </sheetData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5">
          <cell r="C25">
            <v>24.428055163203396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>
        <row r="7">
          <cell r="C7">
            <v>0.05</v>
          </cell>
        </row>
        <row r="8">
          <cell r="C8">
            <v>0.1</v>
          </cell>
        </row>
      </sheetData>
      <sheetData sheetId="7" refreshError="1">
        <row r="7">
          <cell r="C7">
            <v>125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  <cell r="G7">
            <v>0.1</v>
          </cell>
        </row>
        <row r="8">
          <cell r="G8">
            <v>0.25</v>
          </cell>
        </row>
        <row r="9">
          <cell r="C9">
            <v>0</v>
          </cell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>
        <row r="6">
          <cell r="C6">
            <v>100</v>
          </cell>
        </row>
        <row r="7">
          <cell r="C7">
            <v>110</v>
          </cell>
        </row>
        <row r="16">
          <cell r="C16">
            <v>15.210083301374098</v>
          </cell>
        </row>
        <row r="17">
          <cell r="C17">
            <v>94.789916698625916</v>
          </cell>
        </row>
        <row r="23">
          <cell r="C23">
            <v>8.0293242543474475E-2</v>
          </cell>
        </row>
        <row r="24">
          <cell r="C24">
            <v>0.82704839804623798</v>
          </cell>
        </row>
        <row r="25">
          <cell r="C25">
            <v>4.3602716212886605</v>
          </cell>
        </row>
      </sheetData>
      <sheetData sheetId="4">
        <row r="6">
          <cell r="C6">
            <v>100</v>
          </cell>
        </row>
        <row r="7">
          <cell r="C7">
            <v>0.5</v>
          </cell>
        </row>
        <row r="8">
          <cell r="C8">
            <v>0.3</v>
          </cell>
        </row>
        <row r="9">
          <cell r="C9">
            <v>0.5</v>
          </cell>
        </row>
        <row r="10">
          <cell r="C10">
            <v>100</v>
          </cell>
        </row>
        <row r="14">
          <cell r="C14">
            <v>0.33333333333333331</v>
          </cell>
        </row>
        <row r="15">
          <cell r="C15">
            <v>0.80346471954626331</v>
          </cell>
        </row>
        <row r="16">
          <cell r="C16">
            <v>3.2825228511156315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>
        <row r="8">
          <cell r="D8">
            <v>0.6</v>
          </cell>
        </row>
      </sheetData>
      <sheetData sheetId="6">
        <row r="8">
          <cell r="D8">
            <v>110</v>
          </cell>
        </row>
        <row r="10">
          <cell r="D10">
            <v>4.3</v>
          </cell>
        </row>
      </sheetData>
      <sheetData sheetId="7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  <cell r="J39">
            <v>5</v>
          </cell>
        </row>
      </sheetData>
      <sheetData sheetId="1" refreshError="1"/>
      <sheetData sheetId="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heet3.1"/>
      <sheetName val="Spreadsheet3.2"/>
    </sheetNames>
    <sheetDataSet>
      <sheetData sheetId="0">
        <row r="10">
          <cell r="C10">
            <v>2</v>
          </cell>
        </row>
        <row r="11">
          <cell r="C11">
            <v>10</v>
          </cell>
        </row>
      </sheetData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P23"/>
  <sheetViews>
    <sheetView showGridLines="0" tabSelected="1" workbookViewId="0">
      <pane ySplit="7" topLeftCell="A8" activePane="bottomLeft" state="frozen"/>
      <selection pane="bottomLeft" activeCell="G12" sqref="G12"/>
    </sheetView>
  </sheetViews>
  <sheetFormatPr defaultColWidth="9.109375" defaultRowHeight="13.2" x14ac:dyDescent="0.25"/>
  <cols>
    <col min="1" max="1" width="9.109375" style="1"/>
    <col min="2" max="2" width="10.109375" style="1" customWidth="1"/>
    <col min="3" max="3" width="27.33203125" style="1" customWidth="1"/>
    <col min="4" max="4" width="11.88671875" style="1" customWidth="1"/>
    <col min="5" max="5" width="11.44140625" style="1" customWidth="1"/>
    <col min="6" max="16384" width="9.109375" style="1"/>
  </cols>
  <sheetData>
    <row r="1" spans="2:16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2:16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2:16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2:16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2:16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9" spans="2:16" ht="13.8" thickBot="1" x14ac:dyDescent="0.3"/>
    <row r="10" spans="2:16" ht="15.6" thickBot="1" x14ac:dyDescent="0.3">
      <c r="C10" s="3"/>
      <c r="D10" s="4" t="s">
        <v>0</v>
      </c>
      <c r="E10" s="5" t="s">
        <v>1</v>
      </c>
    </row>
    <row r="11" spans="2:16" ht="15" x14ac:dyDescent="0.25">
      <c r="C11" s="6" t="s">
        <v>2</v>
      </c>
      <c r="D11" s="7">
        <v>1754858</v>
      </c>
      <c r="E11" s="8">
        <f ca="1">-MtM_A</f>
        <v>-1754858</v>
      </c>
    </row>
    <row r="12" spans="2:16" ht="15" x14ac:dyDescent="0.25">
      <c r="C12" s="9" t="s">
        <v>12</v>
      </c>
      <c r="D12" s="10">
        <v>0</v>
      </c>
      <c r="E12" s="11">
        <v>0</v>
      </c>
    </row>
    <row r="13" spans="2:16" ht="15" x14ac:dyDescent="0.25">
      <c r="C13" s="9" t="s">
        <v>3</v>
      </c>
      <c r="D13" s="10">
        <v>1000000</v>
      </c>
      <c r="E13" s="11">
        <f ca="1">Threshold_A</f>
        <v>1000000</v>
      </c>
    </row>
    <row r="14" spans="2:16" ht="15" x14ac:dyDescent="0.25">
      <c r="C14" s="9" t="s">
        <v>11</v>
      </c>
      <c r="D14" s="10">
        <v>0</v>
      </c>
      <c r="E14" s="12">
        <f ca="1">-CollateralHeld_A</f>
        <v>0</v>
      </c>
    </row>
    <row r="15" spans="2:16" ht="15" x14ac:dyDescent="0.25">
      <c r="C15" s="9" t="s">
        <v>4</v>
      </c>
      <c r="D15" s="10">
        <v>100000</v>
      </c>
      <c r="E15" s="11">
        <v>10000</v>
      </c>
    </row>
    <row r="16" spans="2:16" ht="15" x14ac:dyDescent="0.25">
      <c r="C16" s="9" t="s">
        <v>5</v>
      </c>
      <c r="D16" s="10">
        <v>25000</v>
      </c>
      <c r="E16" s="12">
        <f ca="1">-Rounding_A</f>
        <v>-25000</v>
      </c>
    </row>
    <row r="17" spans="3:5" ht="15.6" thickBot="1" x14ac:dyDescent="0.3">
      <c r="C17" s="9" t="s">
        <v>6</v>
      </c>
      <c r="D17" s="13">
        <f ca="1">MtM_A+IA_A-CollateralHeld_A</f>
        <v>1754858</v>
      </c>
      <c r="E17" s="12">
        <f ca="1">MtM_B+IA_B-E14</f>
        <v>-1754858</v>
      </c>
    </row>
    <row r="18" spans="3:5" ht="15.6" thickBot="1" x14ac:dyDescent="0.3">
      <c r="C18" s="3" t="s">
        <v>7</v>
      </c>
      <c r="D18" s="16">
        <f ca="1">CalcCollateral(MtM_A,IA_A,IA_B,Threshold_A,Threshold_B,CollateralHeld_A,MTA_A,MTA_B,Rounding_A)</f>
        <v>775000</v>
      </c>
      <c r="E18" s="17">
        <f ca="1">CalcCollateral(MtM_B,IA_B,IA_A,Threshold_B,Threshold_A,E14,MTA_B,MTA_A,Rounding_B)</f>
        <v>-775000</v>
      </c>
    </row>
    <row r="21" spans="3:5" x14ac:dyDescent="0.25">
      <c r="C21" s="14" t="s">
        <v>8</v>
      </c>
    </row>
    <row r="22" spans="3:5" x14ac:dyDescent="0.25">
      <c r="C22" s="15" t="s">
        <v>9</v>
      </c>
    </row>
    <row r="23" spans="3:5" x14ac:dyDescent="0.25">
      <c r="C23" s="14" t="s">
        <v>10</v>
      </c>
    </row>
  </sheetData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Spreadsheet6.1</vt:lpstr>
      <vt:lpstr>CollateralHeld_A</vt:lpstr>
      <vt:lpstr>CSA_A</vt:lpstr>
      <vt:lpstr>CSA_B</vt:lpstr>
      <vt:lpstr>IA_A</vt:lpstr>
      <vt:lpstr>IA_B</vt:lpstr>
      <vt:lpstr>MTA_A</vt:lpstr>
      <vt:lpstr>MTA_B</vt:lpstr>
      <vt:lpstr>MtM_A</vt:lpstr>
      <vt:lpstr>MtM_B</vt:lpstr>
      <vt:lpstr>Rounding_A</vt:lpstr>
      <vt:lpstr>Rounding_B</vt:lpstr>
      <vt:lpstr>Threshold_A</vt:lpstr>
      <vt:lpstr>Threshold_B</vt:lpstr>
    </vt:vector>
  </TitlesOfParts>
  <Company>Home Use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</cp:lastModifiedBy>
  <dcterms:created xsi:type="dcterms:W3CDTF">2009-11-27T11:14:55Z</dcterms:created>
  <dcterms:modified xsi:type="dcterms:W3CDTF">2015-05-18T05:03:45Z</dcterms:modified>
</cp:coreProperties>
</file>