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n\Documents\CRBook3rd\Exercises\"/>
    </mc:Choice>
  </mc:AlternateContent>
  <bookViews>
    <workbookView xWindow="240" yWindow="108" windowWidth="11352" windowHeight="7932"/>
  </bookViews>
  <sheets>
    <sheet name="Spreadsheet7.1" sheetId="1" r:id="rId1"/>
    <sheet name="Spreadsheet7.2" sheetId="5" r:id="rId2"/>
    <sheet name="Spreadsheet7.3" sheetId="10" r:id="rId3"/>
    <sheet name="Spreadsheet7.4" sheetId="11" r:id="rId4"/>
    <sheet name="Spreadsheet7.5" sheetId="14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_LS1" localSheetId="4">#REF!</definedName>
    <definedName name="_LS1">#REF!</definedName>
    <definedName name="_LS2" localSheetId="4">#REF!</definedName>
    <definedName name="_LS2">#REF!</definedName>
    <definedName name="_mu1" localSheetId="4">#REF!</definedName>
    <definedName name="_mu1">#REF!</definedName>
    <definedName name="_mu2" localSheetId="4">#REF!</definedName>
    <definedName name="_mu2">#REF!</definedName>
    <definedName name="_Mu3" localSheetId="4">#REF!</definedName>
    <definedName name="_Mu3">#REF!</definedName>
    <definedName name="_PV1" localSheetId="4">#REF!</definedName>
    <definedName name="_PV1">#REF!</definedName>
    <definedName name="_PV2" localSheetId="4">#REF!</definedName>
    <definedName name="_PV2">#REF!</definedName>
    <definedName name="_Val1">[1]CVA!$J$3</definedName>
    <definedName name="_Val2">[1]CVA!$J$4</definedName>
    <definedName name="_Val3">[1]CVA!$J$5</definedName>
    <definedName name="_VaR10" localSheetId="4">#REF!</definedName>
    <definedName name="_VaR10">#REF!</definedName>
    <definedName name="_VAR2">[2]LiquidationTimescale!$D$20</definedName>
    <definedName name="_VAR3">[2]LiquidationTimescale!$D$26</definedName>
    <definedName name="_vd1" localSheetId="4">#REF!</definedName>
    <definedName name="_vd1">#REF!</definedName>
    <definedName name="_vd2" localSheetId="4">#REF!</definedName>
    <definedName name="_vd2">#REF!</definedName>
    <definedName name="_vvd1">[3]TreePricer!$C$26</definedName>
    <definedName name="_wd1">[3]TreePricer!$C$27</definedName>
    <definedName name="_xd1">[4]HedgingSimulation!$C$14</definedName>
    <definedName name="_xd2">[4]HedgingSimulation!$C$15</definedName>
    <definedName name="AccrCell" localSheetId="4">#REF!</definedName>
    <definedName name="AccrCell">#REF!</definedName>
    <definedName name="AccrChoice" localSheetId="4">#REF!</definedName>
    <definedName name="AccrChoice">#REF!</definedName>
    <definedName name="AccruedCell" localSheetId="4">#REF!</definedName>
    <definedName name="AccruedCell">#REF!</definedName>
    <definedName name="AccruedChoice" localSheetId="4">#REF!</definedName>
    <definedName name="AccruedChoice">#REF!</definedName>
    <definedName name="AccruedInterest">'[5]Bond Price with Excel'!$B$24</definedName>
    <definedName name="AccruedOptions" localSheetId="4">#REF!</definedName>
    <definedName name="AccruedOptions">#REF!</definedName>
    <definedName name="AccruedOrNot" localSheetId="4">#REF!</definedName>
    <definedName name="AccruedOrNot">#REF!</definedName>
    <definedName name="AccruedPrem" localSheetId="2">#REF!</definedName>
    <definedName name="AccruedPrem" localSheetId="3">#REF!</definedName>
    <definedName name="AccruedPrem" localSheetId="4">#REF!</definedName>
    <definedName name="AccruedPrem">#REF!</definedName>
    <definedName name="AccruedYesNo" localSheetId="4">#REF!</definedName>
    <definedName name="AccruedYesNo">#REF!</definedName>
    <definedName name="Accured" localSheetId="4">#REF!</definedName>
    <definedName name="Accured">#REF!</definedName>
    <definedName name="ActIntensity1" localSheetId="2">[6]CVA!#REF!</definedName>
    <definedName name="ActIntensity1" localSheetId="3">[6]CVA!#REF!</definedName>
    <definedName name="ActIntensity1" localSheetId="4">[6]CVA!#REF!</definedName>
    <definedName name="ActIntensity1">[6]CVA!#REF!</definedName>
    <definedName name="ActIntensity2" localSheetId="2">[6]CVA!#REF!</definedName>
    <definedName name="ActIntensity2" localSheetId="3">[6]CVA!#REF!</definedName>
    <definedName name="ActIntensity2" localSheetId="4">[6]CVA!#REF!</definedName>
    <definedName name="ActIntensity2">[6]CVA!#REF!</definedName>
    <definedName name="ActMat" localSheetId="4">#REF!</definedName>
    <definedName name="ActMat">#REF!</definedName>
    <definedName name="Actual_Rating_11" localSheetId="4">#REF!</definedName>
    <definedName name="Actual_Rating_11">#REF!</definedName>
    <definedName name="AgentRec" localSheetId="2">[1]CVA!#REF!</definedName>
    <definedName name="AgentRec" localSheetId="3">[1]CVA!#REF!</definedName>
    <definedName name="AgentRec" localSheetId="4">[1]CVA!#REF!</definedName>
    <definedName name="AgentRec">[1]CVA!#REF!</definedName>
    <definedName name="AllRandomNumbers" localSheetId="4">#REF!</definedName>
    <definedName name="AllRandomNumbers">#REF!</definedName>
    <definedName name="Alpha" localSheetId="1">Spreadsheet7.2!#REF!</definedName>
    <definedName name="Alpha" localSheetId="2">Spreadsheet7.3!#REF!</definedName>
    <definedName name="Alpha" localSheetId="3">Spreadsheet7.4!#REF!</definedName>
    <definedName name="Alpha" localSheetId="4">Spreadsheet7.5!#REF!</definedName>
    <definedName name="Alpha">Spreadsheet7.1!$C$13</definedName>
    <definedName name="AlphaEPE">[1]Portfolio!$J$9</definedName>
    <definedName name="AlphaParam">[2]LiquidationTimescale!$D$25</definedName>
    <definedName name="AmortChoice" localSheetId="4">#REF!</definedName>
    <definedName name="AmortChoice">#REF!</definedName>
    <definedName name="Amortisation" localSheetId="4">#REF!</definedName>
    <definedName name="Amortisation">#REF!</definedName>
    <definedName name="AmortisedTime">[2]LiquidationTimescale!$D$23</definedName>
    <definedName name="Amortising" localSheetId="4">#REF!</definedName>
    <definedName name="Amortising">#REF!</definedName>
    <definedName name="Amortizing" localSheetId="4">#REF!</definedName>
    <definedName name="Amortizing">#REF!</definedName>
    <definedName name="AmortOrNot" localSheetId="4">#REF!</definedName>
    <definedName name="AmortOrNot">#REF!</definedName>
    <definedName name="amount1">[7]SimpleCovarianceWithWeights!$J$3</definedName>
    <definedName name="amount2">[7]SimpleCovarianceWithWeights!$K$3</definedName>
    <definedName name="AmountToLiquidate">[2]LiquidationTimescale!$D$15</definedName>
    <definedName name="AnalyticalDeltas" localSheetId="4">#REF!</definedName>
    <definedName name="AnalyticalDeltas">#REF!</definedName>
    <definedName name="Asset2" localSheetId="2">[8]MonteCarlo!#REF!</definedName>
    <definedName name="Asset2" localSheetId="3">[8]MonteCarlo!#REF!</definedName>
    <definedName name="Asset2" localSheetId="4">[8]MonteCarlo!#REF!</definedName>
    <definedName name="Asset2">[8]MonteCarlo!#REF!</definedName>
    <definedName name="AssetCorrelation">[1]Portfolio!$J$11</definedName>
    <definedName name="AssetMC">[8]MonteCarlo!$C$3</definedName>
    <definedName name="AssetPrice">[2]LiquidationTimescale!$D$12</definedName>
    <definedName name="AssetVal" localSheetId="4">#REF!</definedName>
    <definedName name="AssetVal">#REF!</definedName>
    <definedName name="AssetValue" localSheetId="4">#REF!</definedName>
    <definedName name="AssetValue">#REF!</definedName>
    <definedName name="Assetvol">[9]CreditGrades!$C$14</definedName>
    <definedName name="AssetVolatility" localSheetId="4">#REF!</definedName>
    <definedName name="AssetVolatility">#REF!</definedName>
    <definedName name="At">[9]CreditGrades!$C$15</definedName>
    <definedName name="Attach" localSheetId="2">#REF!</definedName>
    <definedName name="Attach" localSheetId="3">#REF!</definedName>
    <definedName name="Attach" localSheetId="4">#REF!</definedName>
    <definedName name="Attach">#REF!</definedName>
    <definedName name="Attach2" localSheetId="4">#REF!</definedName>
    <definedName name="Attach2">#REF!</definedName>
    <definedName name="AvDefProb" localSheetId="2">[1]Portfolio!#REF!</definedName>
    <definedName name="AvDefProb" localSheetId="3">[1]Portfolio!#REF!</definedName>
    <definedName name="AvDefProb" localSheetId="4">[1]Portfolio!#REF!</definedName>
    <definedName name="AvDefProb">[1]Portfolio!#REF!</definedName>
    <definedName name="AvRecovery" localSheetId="2">[9]Portfolio!#REF!</definedName>
    <definedName name="AvRecovery" localSheetId="3">[9]Portfolio!#REF!</definedName>
    <definedName name="AvRecovery" localSheetId="4">[9]Portfolio!#REF!</definedName>
    <definedName name="AvRecovery">[9]Portfolio!#REF!</definedName>
    <definedName name="AvSpread">[10]IndexBasis!$I$10</definedName>
    <definedName name="AvSpread2" localSheetId="4">#REF!</definedName>
    <definedName name="AvSpread2">#REF!</definedName>
    <definedName name="Barrier">[4]OptionPricer!$C$20</definedName>
    <definedName name="BaseCorrel1" localSheetId="4">#REF!</definedName>
    <definedName name="BaseCorrel1">#REF!</definedName>
    <definedName name="BaseCorrel2" localSheetId="4">#REF!</definedName>
    <definedName name="BaseCorrel2">#REF!</definedName>
    <definedName name="BaseCorrelComb" localSheetId="2">#REF!</definedName>
    <definedName name="BaseCorrelComb" localSheetId="3">#REF!</definedName>
    <definedName name="BaseCorrelComb" localSheetId="4">#REF!</definedName>
    <definedName name="BaseCorrelComb">#REF!</definedName>
    <definedName name="BaseCorrelCurve" localSheetId="2">#REF!</definedName>
    <definedName name="BaseCorrelCurve" localSheetId="3">#REF!</definedName>
    <definedName name="BaseCorrelCurve" localSheetId="4">#REF!</definedName>
    <definedName name="BaseCorrelCurve">#REF!</definedName>
    <definedName name="BaseCorrelEUR" localSheetId="2">#REF!</definedName>
    <definedName name="BaseCorrelEUR" localSheetId="3">#REF!</definedName>
    <definedName name="BaseCorrelEUR" localSheetId="4">#REF!</definedName>
    <definedName name="BaseCorrelEUR">#REF!</definedName>
    <definedName name="BaseCorrelUS" localSheetId="2">#REF!</definedName>
    <definedName name="BaseCorrelUS" localSheetId="3">#REF!</definedName>
    <definedName name="BaseCorrelUS" localSheetId="4">#REF!</definedName>
    <definedName name="BaseCorrelUS">#REF!</definedName>
    <definedName name="BaseCorrEuro" localSheetId="4">#REF!</definedName>
    <definedName name="BaseCorrEuro">#REF!</definedName>
    <definedName name="BaseCorrUS" localSheetId="4">#REF!</definedName>
    <definedName name="BaseCorrUS">#REF!</definedName>
    <definedName name="Basis" localSheetId="4">#REF!</definedName>
    <definedName name="Basis">#REF!</definedName>
    <definedName name="Basis1" localSheetId="4">#REF!</definedName>
    <definedName name="Basis1">#REF!</definedName>
    <definedName name="Basis2" localSheetId="4">#REF!</definedName>
    <definedName name="Basis2">#REF!</definedName>
    <definedName name="BasisChoices" localSheetId="4">#REF!</definedName>
    <definedName name="BasisChoices">#REF!</definedName>
    <definedName name="BasisIndex" localSheetId="4">#REF!</definedName>
    <definedName name="BasisIndex">#REF!</definedName>
    <definedName name="BasisTable1" localSheetId="4">#REF!</definedName>
    <definedName name="BasisTable1">#REF!</definedName>
    <definedName name="BasisTable2" localSheetId="4">#REF!</definedName>
    <definedName name="BasisTable2">#REF!</definedName>
    <definedName name="BasketPV" localSheetId="4">#REF!</definedName>
    <definedName name="BasketPV">#REF!</definedName>
    <definedName name="BasketType" localSheetId="4">#REF!</definedName>
    <definedName name="BasketType">#REF!</definedName>
    <definedName name="bBasis" localSheetId="4">#REF!</definedName>
    <definedName name="bBasis">#REF!</definedName>
    <definedName name="bBasisIndex" localSheetId="4">#REF!</definedName>
    <definedName name="bBasisIndex">#REF!</definedName>
    <definedName name="BCorrel" localSheetId="4">#REF!</definedName>
    <definedName name="BCorrel">#REF!</definedName>
    <definedName name="Beta">[2]LiquidationTimescale!$D$14</definedName>
    <definedName name="bFreq" localSheetId="4">#REF!</definedName>
    <definedName name="bFreq">#REF!</definedName>
    <definedName name="bFreqIndex" localSheetId="4">#REF!</definedName>
    <definedName name="bFreqIndex">#REF!</definedName>
    <definedName name="BID" localSheetId="4">#REF!</definedName>
    <definedName name="BID">#REF!</definedName>
    <definedName name="bilateral_penalty" localSheetId="4">#REF!</definedName>
    <definedName name="bilateral_penalty">#REF!</definedName>
    <definedName name="bilaterla_penalty" localSheetId="4">#REF!</definedName>
    <definedName name="bilaterla_penalty">#REF!</definedName>
    <definedName name="blank_ref_cell" localSheetId="4">#REF!</definedName>
    <definedName name="blank_ref_cell">#REF!</definedName>
    <definedName name="bMatDate" localSheetId="4">#REF!</definedName>
    <definedName name="bMatDate">#REF!</definedName>
    <definedName name="Bond_Data_11" localSheetId="4">#REF!</definedName>
    <definedName name="Bond_Data_11">#REF!</definedName>
    <definedName name="BondDeltaApprox" localSheetId="4">#REF!</definedName>
    <definedName name="BondDeltaApprox">#REF!</definedName>
    <definedName name="BondDeltaApprox2" localSheetId="4">#REF!</definedName>
    <definedName name="BondDeltaApprox2">#REF!</definedName>
    <definedName name="BondDuration" localSheetId="4">#REF!</definedName>
    <definedName name="BondDuration">#REF!</definedName>
    <definedName name="BondMaturity" localSheetId="4">#REF!</definedName>
    <definedName name="BondMaturity">#REF!</definedName>
    <definedName name="BondPrice" localSheetId="4">#REF!</definedName>
    <definedName name="BondPrice">#REF!</definedName>
    <definedName name="BondPrice_11" localSheetId="4">#REF!</definedName>
    <definedName name="BondPrice_11">#REF!</definedName>
    <definedName name="BondPriceNow" localSheetId="4">#REF!</definedName>
    <definedName name="BondPriceNow">#REF!</definedName>
    <definedName name="bRecovery" localSheetId="4">#REF!</definedName>
    <definedName name="bRecovery">#REF!</definedName>
    <definedName name="BumpType" localSheetId="2">#REF!</definedName>
    <definedName name="BumpType" localSheetId="3">#REF!</definedName>
    <definedName name="BumpType" localSheetId="4">#REF!</definedName>
    <definedName name="BumpType">#REF!</definedName>
    <definedName name="BuyFrom" localSheetId="4">#REF!</definedName>
    <definedName name="BuyFrom">#REF!</definedName>
    <definedName name="CalChoices" localSheetId="4">#REF!</definedName>
    <definedName name="CalChoices">#REF!</definedName>
    <definedName name="CalChoose" localSheetId="4">#REF!</definedName>
    <definedName name="CalChoose">#REF!</definedName>
    <definedName name="CalcOptions" localSheetId="4">#REF!</definedName>
    <definedName name="CalcOptions">#REF!</definedName>
    <definedName name="CalcTypeIndex" localSheetId="2">#REF!</definedName>
    <definedName name="CalcTypeIndex" localSheetId="3">#REF!</definedName>
    <definedName name="CalcTypeIndex" localSheetId="4">#REF!</definedName>
    <definedName name="CalcTypeIndex">#REF!</definedName>
    <definedName name="CalcTypeOption" localSheetId="2">#REF!</definedName>
    <definedName name="CalcTypeOption" localSheetId="3">#REF!</definedName>
    <definedName name="CalcTypeOption" localSheetId="4">#REF!</definedName>
    <definedName name="CalcTypeOption">#REF!</definedName>
    <definedName name="CalculationType" localSheetId="4">#REF!</definedName>
    <definedName name="CalculationType">#REF!</definedName>
    <definedName name="CalibChoice" localSheetId="4">#REF!</definedName>
    <definedName name="CalibChoice">#REF!</definedName>
    <definedName name="CalibChoices" localSheetId="4">#REF!</definedName>
    <definedName name="CalibChoices">#REF!</definedName>
    <definedName name="calibopencol" localSheetId="4">OFFSET(Spreadsheet7.5!LGMChoice,2,0,Spreadsheet7.5!NumLGMChoices,1)</definedName>
    <definedName name="calibopencol">OFFSET([0]!LGMChoice,2,0,[0]!NumLGMChoices,1)</definedName>
    <definedName name="calibopencol1" localSheetId="4">OFFSET(Spreadsheet7.5!LGMChoice,2,0,Spreadsheet7.5!NumLGMChoices,1)</definedName>
    <definedName name="calibopencol1">OFFSET([0]!LGMChoice,2,0,[0]!NumLGMChoices,1)</definedName>
    <definedName name="CalibPoints" localSheetId="4">#REF!</definedName>
    <definedName name="CalibPoints">#REF!</definedName>
    <definedName name="Calibration" localSheetId="2">#REF!</definedName>
    <definedName name="Calibration" localSheetId="3">#REF!</definedName>
    <definedName name="Calibration" localSheetId="4">#REF!</definedName>
    <definedName name="Calibration">#REF!</definedName>
    <definedName name="CalibrationChoices" localSheetId="4">#REF!</definedName>
    <definedName name="CalibrationChoices">#REF!</definedName>
    <definedName name="CalibrationMode" localSheetId="4">#REF!</definedName>
    <definedName name="CalibrationMode">#REF!</definedName>
    <definedName name="CalibrationResults" localSheetId="4">#REF!</definedName>
    <definedName name="CalibrationResults">#REF!</definedName>
    <definedName name="CalibrationType" localSheetId="2">#REF!</definedName>
    <definedName name="CalibrationType" localSheetId="3">#REF!</definedName>
    <definedName name="CalibrationType" localSheetId="4">#REF!</definedName>
    <definedName name="CalibrationType">#REF!</definedName>
    <definedName name="CalibType" localSheetId="4">#REF!</definedName>
    <definedName name="CalibType">#REF!</definedName>
    <definedName name="CaliCell" localSheetId="4">#REF!</definedName>
    <definedName name="CaliCell">#REF!</definedName>
    <definedName name="CaliChoice" localSheetId="4">#REF!</definedName>
    <definedName name="CaliChoice">#REF!</definedName>
    <definedName name="CallPut" localSheetId="2">#REF!</definedName>
    <definedName name="CallPut" localSheetId="3">#REF!</definedName>
    <definedName name="CallPut" localSheetId="4">#REF!</definedName>
    <definedName name="CallPut">#REF!</definedName>
    <definedName name="CallRetYesNo">[1]CollateralMarginCall!$C$14</definedName>
    <definedName name="CallYesNo">[2]CollateralCalculation!$C$21</definedName>
    <definedName name="CallYesNo2">[2]CollateralCalculation!$D$21</definedName>
    <definedName name="cBasis" localSheetId="4">#REF!</definedName>
    <definedName name="cBasis">#REF!</definedName>
    <definedName name="cBasisIndex" localSheetId="4">#REF!</definedName>
    <definedName name="cBasisIndex">#REF!</definedName>
    <definedName name="CCY" localSheetId="4">#REF!</definedName>
    <definedName name="CCY">#REF!</definedName>
    <definedName name="CDODef" localSheetId="4">#REF!</definedName>
    <definedName name="CDODef">#REF!</definedName>
    <definedName name="CDODef2" localSheetId="4">#REF!</definedName>
    <definedName name="CDODef2">#REF!</definedName>
    <definedName name="CDOPrem" localSheetId="4">#REF!</definedName>
    <definedName name="CDOPrem">#REF!</definedName>
    <definedName name="CDOPrem2" localSheetId="4">#REF!</definedName>
    <definedName name="CDOPrem2">#REF!</definedName>
    <definedName name="CDOPV" localSheetId="4">#REF!</definedName>
    <definedName name="CDOPV">#REF!</definedName>
    <definedName name="CDOPV2" localSheetId="4">#REF!</definedName>
    <definedName name="CDOPV2">#REF!</definedName>
    <definedName name="CDSMarket" localSheetId="4">#REF!</definedName>
    <definedName name="CDSMarket">#REF!</definedName>
    <definedName name="CDSPV" localSheetId="4">#REF!</definedName>
    <definedName name="CDSPV">#REF!</definedName>
    <definedName name="CDSSpread">Spreadsheet7.4!$C$10</definedName>
    <definedName name="cFreq" localSheetId="4">#REF!</definedName>
    <definedName name="cFreq">#REF!</definedName>
    <definedName name="cFreqIndex" localSheetId="4">#REF!</definedName>
    <definedName name="cFreqIndex">#REF!</definedName>
    <definedName name="CholeskyInverse" localSheetId="4">#REF!</definedName>
    <definedName name="CholeskyInverse">#REF!</definedName>
    <definedName name="CholeskyMatrix" localSheetId="4">#REF!</definedName>
    <definedName name="CholeskyMatrix">#REF!</definedName>
    <definedName name="CleanPrice">'[5]Bond Price with Excel'!$B$23</definedName>
    <definedName name="cMatDate" localSheetId="4">#REF!</definedName>
    <definedName name="cMatDate">#REF!</definedName>
    <definedName name="CntrptyDefProb">[1]CDSCntrptyRisk!$C$14</definedName>
    <definedName name="CntrptyRec" localSheetId="2">[1]CVA!#REF!</definedName>
    <definedName name="CntrptyRec" localSheetId="3">[1]CVA!#REF!</definedName>
    <definedName name="CntrptyRec" localSheetId="4">[1]CVA!#REF!</definedName>
    <definedName name="CntrptyRec">[1]CVA!#REF!</definedName>
    <definedName name="CntrptySpread">[1]CDSCntrptyRisk!$C$8</definedName>
    <definedName name="Collateral">[2]CollateralExposureSimulation!$K$138</definedName>
    <definedName name="CollateralChoice" localSheetId="4">#REF!</definedName>
    <definedName name="CollateralChoice">#REF!</definedName>
    <definedName name="CollateralChoices" localSheetId="4">#REF!</definedName>
    <definedName name="CollateralChoices">#REF!</definedName>
    <definedName name="CollateralHeld">[1]CollateralMarginCall!$C$9</definedName>
    <definedName name="CollateralHeld_A">#REF!</definedName>
    <definedName name="CollateralHeld2">[2]CollateralCalculation!$D$15</definedName>
    <definedName name="CollateralisedExposure">[2]CollateralExposureSimulation!$K$264</definedName>
    <definedName name="CollateralMultiplier" localSheetId="4">#REF!</definedName>
    <definedName name="CollateralMultiplier">#REF!</definedName>
    <definedName name="CollateralRequired">[1]CollateralMarginCall!$C$13</definedName>
    <definedName name="CollateralRequired2">[2]CollateralCalculation!$D$20</definedName>
    <definedName name="CollateralThreshold" localSheetId="4">#REF!</definedName>
    <definedName name="CollateralThreshold">#REF!</definedName>
    <definedName name="CollateralType" localSheetId="4">#REF!</definedName>
    <definedName name="CollateralType">#REF!</definedName>
    <definedName name="CompoundCorrel" localSheetId="2">#REF!</definedName>
    <definedName name="CompoundCorrel" localSheetId="3">#REF!</definedName>
    <definedName name="CompoundCorrel" localSheetId="4">#REF!</definedName>
    <definedName name="CompoundCorrel">#REF!</definedName>
    <definedName name="ComputCreditPort" localSheetId="4">#REF!</definedName>
    <definedName name="ComputCreditPort">#REF!</definedName>
    <definedName name="ConfidenceAlpha">[1]Portfolio!$J$8</definedName>
    <definedName name="ConfLevel">Spreadsheet7.3!$C$13</definedName>
    <definedName name="ConfLevel1">Spreadsheet7.4!$C$14</definedName>
    <definedName name="ConfLevel2">Spreadsheet7.4!$C$15</definedName>
    <definedName name="Constaints" localSheetId="4">#REF!</definedName>
    <definedName name="Constaints">#REF!</definedName>
    <definedName name="Constant">[4]CoherentRiskMeasuresExample!$I$7</definedName>
    <definedName name="Constr" localSheetId="4">#REF!</definedName>
    <definedName name="Constr">#REF!</definedName>
    <definedName name="ConstTerm">[8]MonteCarlo!$F$6</definedName>
    <definedName name="CopulaCorrelation">[1]CDSCntrptyRisk!$C$9</definedName>
    <definedName name="CorP" localSheetId="4">#REF!</definedName>
    <definedName name="CorP">#REF!</definedName>
    <definedName name="Corr" localSheetId="4">#REF!</definedName>
    <definedName name="Corr">#REF!</definedName>
    <definedName name="CorrectionTerm">'[1]Impact of PV'!$C$22</definedName>
    <definedName name="CORRECTPASSWORD" localSheetId="4">#REF!</definedName>
    <definedName name="CORRECTPASSWORD">#REF!</definedName>
    <definedName name="Correl">[2]SimpleWrongWay!$C$13</definedName>
    <definedName name="Correlation">[1]EPEAllocation!$C$11</definedName>
    <definedName name="Correlation_Matrix_11" localSheetId="2">#REF!</definedName>
    <definedName name="Correlation_Matrix_11" localSheetId="3">#REF!</definedName>
    <definedName name="Correlation_Matrix_11" localSheetId="4">#REF!</definedName>
    <definedName name="Correlation_Matrix_11">#REF!</definedName>
    <definedName name="CorrelationMatrix" localSheetId="4">#REF!</definedName>
    <definedName name="CorrelationMatrix">#REF!</definedName>
    <definedName name="CorrelAttach" localSheetId="4">#REF!</definedName>
    <definedName name="CorrelAttach">#REF!</definedName>
    <definedName name="CorrelAttach2" localSheetId="4">#REF!</definedName>
    <definedName name="CorrelAttach2">#REF!</definedName>
    <definedName name="CorrelBump" localSheetId="2">#REF!</definedName>
    <definedName name="CorrelBump" localSheetId="3">#REF!</definedName>
    <definedName name="CorrelBump" localSheetId="4">#REF!</definedName>
    <definedName name="CorrelBump">#REF!</definedName>
    <definedName name="CorrelDetach" localSheetId="4">#REF!</definedName>
    <definedName name="CorrelDetach">#REF!</definedName>
    <definedName name="CorrelDetach2" localSheetId="4">#REF!</definedName>
    <definedName name="CorrelDetach2">#REF!</definedName>
    <definedName name="CorrelExpColl">[2]CollateralandCorrelation!$C$11</definedName>
    <definedName name="CorrelLowerTranche" localSheetId="4">#REF!</definedName>
    <definedName name="CorrelLowerTranche">#REF!</definedName>
    <definedName name="CorrelScenario" localSheetId="4">#REF!</definedName>
    <definedName name="CorrelScenario">#REF!</definedName>
    <definedName name="CorrelUpperTranche" localSheetId="4">#REF!</definedName>
    <definedName name="CorrelUpperTranche">#REF!</definedName>
    <definedName name="Countries" localSheetId="4">#REF!</definedName>
    <definedName name="Countries">#REF!</definedName>
    <definedName name="Country_Key" localSheetId="4">#REF!</definedName>
    <definedName name="Country_Key">#REF!</definedName>
    <definedName name="Country_Name" localSheetId="4">#REF!</definedName>
    <definedName name="Country_Name">#REF!</definedName>
    <definedName name="Country_Rating" localSheetId="4">#REF!</definedName>
    <definedName name="Country_Rating">#REF!</definedName>
    <definedName name="Country_Region" localSheetId="4">#REF!</definedName>
    <definedName name="Country_Region">#REF!</definedName>
    <definedName name="Coup">[5]YieldExample!$C$4</definedName>
    <definedName name="Coupon">'[5]Bond Price with Excel'!$B$12</definedName>
    <definedName name="CouponsPerYear">'[5]Bond Price with Excel'!$B$15</definedName>
    <definedName name="CovarianceMatrix" localSheetId="4">#REF!</definedName>
    <definedName name="CovarianceMatrix">#REF!</definedName>
    <definedName name="CovarianceMatrixInverse">[5]MeanVariance!$G$11:$J$14</definedName>
    <definedName name="CPCHOICES" localSheetId="4">#REF!</definedName>
    <definedName name="CPCHOICES">#REF!</definedName>
    <definedName name="cpIndex" localSheetId="4">#REF!</definedName>
    <definedName name="cpIndex">#REF!</definedName>
    <definedName name="cRecovery" localSheetId="4">#REF!</definedName>
    <definedName name="cRecovery">#REF!</definedName>
    <definedName name="CREDIT_STAMP">"DSPricer"</definedName>
    <definedName name="CreditCurveStart" localSheetId="4">#REF!</definedName>
    <definedName name="CreditCurveStart">#REF!</definedName>
    <definedName name="CreditModel" localSheetId="2">#REF!</definedName>
    <definedName name="CreditModel" localSheetId="3">#REF!</definedName>
    <definedName name="CreditModel" localSheetId="4">#REF!</definedName>
    <definedName name="CreditModel">#REF!</definedName>
    <definedName name="CreditModelType" localSheetId="4">#REF!</definedName>
    <definedName name="CreditModelType">#REF!</definedName>
    <definedName name="CreditTau" localSheetId="2">#REF!</definedName>
    <definedName name="CreditTau" localSheetId="3">#REF!</definedName>
    <definedName name="CreditTau" localSheetId="4">#REF!</definedName>
    <definedName name="CreditTau">#REF!</definedName>
    <definedName name="CreditVol" localSheetId="2">#REF!</definedName>
    <definedName name="CreditVol" localSheetId="3">#REF!</definedName>
    <definedName name="CreditVol" localSheetId="4">#REF!</definedName>
    <definedName name="CreditVol">#REF!</definedName>
    <definedName name="CSA" localSheetId="4">#REF!</definedName>
    <definedName name="CSA">#REF!</definedName>
    <definedName name="CSA_A">#REF!</definedName>
    <definedName name="CSA_B">#REF!</definedName>
    <definedName name="Currency" localSheetId="4">#REF!</definedName>
    <definedName name="Currency">#REF!</definedName>
    <definedName name="currency_mismatch_penalty" localSheetId="4">#REF!</definedName>
    <definedName name="currency_mismatch_penalty">#REF!</definedName>
    <definedName name="CurrentEquity">[3]TradingStrategy!$C$8</definedName>
    <definedName name="CurrentExposure">[2]CollateralExposureSimulation!$C$17</definedName>
    <definedName name="CurrentSpread">[3]TradingStrategy!$C$9</definedName>
    <definedName name="CurrentStock">[3]TreePricer!$C$14</definedName>
    <definedName name="CURVE_INDEX" localSheetId="4">#REF!</definedName>
    <definedName name="CURVE_INDEX">#REF!</definedName>
    <definedName name="CURVE_LIST" localSheetId="4">#REF!</definedName>
    <definedName name="CURVE_LIST">#REF!</definedName>
    <definedName name="DailyVol" localSheetId="2">[2]Liquidation!#REF!</definedName>
    <definedName name="DailyVol" localSheetId="3">[2]Liquidation!#REF!</definedName>
    <definedName name="DailyVol" localSheetId="4">[2]Liquidation!#REF!</definedName>
    <definedName name="DailyVol">[2]Liquidation!#REF!</definedName>
    <definedName name="DailyVol2" localSheetId="2">[2]Liquidation!#REF!</definedName>
    <definedName name="DailyVol2" localSheetId="3">[2]Liquidation!#REF!</definedName>
    <definedName name="DailyVol2" localSheetId="4">[2]Liquidation!#REF!</definedName>
    <definedName name="DailyVol2">[2]Liquidation!#REF!</definedName>
    <definedName name="DailyVolatility">[2]Liquidation!$D$15</definedName>
    <definedName name="DateToday" localSheetId="4">#REF!</definedName>
    <definedName name="DateToday">#REF!</definedName>
    <definedName name="DayCount" localSheetId="2">'[5]Bond Price with Excel'!#REF!</definedName>
    <definedName name="DayCount" localSheetId="3">'[5]Bond Price with Excel'!#REF!</definedName>
    <definedName name="DayCount" localSheetId="4">'[5]Bond Price with Excel'!#REF!</definedName>
    <definedName name="DayCount">'[5]Bond Price with Excel'!#REF!</definedName>
    <definedName name="DaysToLiquidation">[2]LiquidationTimescale!$D$16</definedName>
    <definedName name="DealTerm" localSheetId="4">#REF!</definedName>
    <definedName name="DealTerm">#REF!</definedName>
    <definedName name="Debt">[9]Merton!$C$17</definedName>
    <definedName name="DebtPerShare" localSheetId="4">#REF!</definedName>
    <definedName name="DebtPerShare">#REF!</definedName>
    <definedName name="DefaultBarrier" localSheetId="4">#REF!</definedName>
    <definedName name="DefaultBarrier">#REF!</definedName>
    <definedName name="DefaultLoss" localSheetId="2">#REF!</definedName>
    <definedName name="DefaultLoss" localSheetId="3">#REF!</definedName>
    <definedName name="DefaultLoss" localSheetId="4">#REF!</definedName>
    <definedName name="DefaultLoss">#REF!</definedName>
    <definedName name="DefaultTime" localSheetId="4">#REF!</definedName>
    <definedName name="DefaultTime">#REF!</definedName>
    <definedName name="DefComp" localSheetId="2">#REF!</definedName>
    <definedName name="DefComp" localSheetId="3">#REF!</definedName>
    <definedName name="DefComp" localSheetId="4">#REF!</definedName>
    <definedName name="DefComp">#REF!</definedName>
    <definedName name="DefEventLoss" localSheetId="4">#REF!</definedName>
    <definedName name="DefEventLoss">#REF!</definedName>
    <definedName name="DefLegLowerTranche" localSheetId="4">#REF!</definedName>
    <definedName name="DefLegLowerTranche">#REF!</definedName>
    <definedName name="DefLegUpperTranche" localSheetId="4">#REF!</definedName>
    <definedName name="DefLegUpperTranche">#REF!</definedName>
    <definedName name="DefProb">[9]Merton!$C$23</definedName>
    <definedName name="DefProb1" localSheetId="4">#REF!</definedName>
    <definedName name="DefProb1">#REF!</definedName>
    <definedName name="DefProb2" localSheetId="4">#REF!</definedName>
    <definedName name="DefProb2">#REF!</definedName>
    <definedName name="DefProb3" localSheetId="4">#REF!</definedName>
    <definedName name="DefProb3">#REF!</definedName>
    <definedName name="DefProb4" localSheetId="4">#REF!</definedName>
    <definedName name="DefProb4">#REF!</definedName>
    <definedName name="DefProb5" localSheetId="4">#REF!</definedName>
    <definedName name="DefProb5">#REF!</definedName>
    <definedName name="DefProbs" localSheetId="4">OFFSET(#REF!,0,#REF!,#REF!,1)</definedName>
    <definedName name="DefProbs">OFFSET(#REF!,0,#REF!,#REF!,1)</definedName>
    <definedName name="DefThreshold">[2]SimpleWrongWay!$C$18</definedName>
    <definedName name="delay" localSheetId="4">#REF!</definedName>
    <definedName name="delay">#REF!</definedName>
    <definedName name="deliveredvol">[4]HedgingSimulation!$G$8</definedName>
    <definedName name="Delta" localSheetId="2">#REF!</definedName>
    <definedName name="Delta" localSheetId="3">#REF!</definedName>
    <definedName name="Delta" localSheetId="4">#REF!</definedName>
    <definedName name="Delta">#REF!</definedName>
    <definedName name="DeltaApprox2" localSheetId="4">#REF!</definedName>
    <definedName name="DeltaApprox2">#REF!</definedName>
    <definedName name="DeltaBump" localSheetId="2">#REF!</definedName>
    <definedName name="DeltaBump" localSheetId="3">#REF!</definedName>
    <definedName name="DeltaBump" localSheetId="4">#REF!</definedName>
    <definedName name="DeltaBump">#REF!</definedName>
    <definedName name="DeltaShift" localSheetId="4">#REF!</definedName>
    <definedName name="DeltaShift">#REF!</definedName>
    <definedName name="DeltaStart" localSheetId="4">#REF!</definedName>
    <definedName name="DeltaStart">#REF!</definedName>
    <definedName name="Detach" localSheetId="2">#REF!</definedName>
    <definedName name="Detach" localSheetId="3">#REF!</definedName>
    <definedName name="Detach" localSheetId="4">#REF!</definedName>
    <definedName name="Detach">#REF!</definedName>
    <definedName name="Detach2" localSheetId="4">#REF!</definedName>
    <definedName name="Detach2">#REF!</definedName>
    <definedName name="DFSCurve" localSheetId="4">#REF!</definedName>
    <definedName name="DFSCurve">#REF!</definedName>
    <definedName name="DFSSheets" localSheetId="4">#REF!</definedName>
    <definedName name="DFSSheets">#REF!</definedName>
    <definedName name="DirtyPrice">'[5]Bond Price with Excel'!$B$25</definedName>
    <definedName name="DividendYield" localSheetId="4">#REF!</definedName>
    <definedName name="DividendYield">#REF!</definedName>
    <definedName name="DivYield" localSheetId="4">#REF!</definedName>
    <definedName name="DivYield">#REF!</definedName>
    <definedName name="DL" localSheetId="4">#REF!</definedName>
    <definedName name="DL">#REF!</definedName>
    <definedName name="DperS" localSheetId="4">#REF!</definedName>
    <definedName name="DperS">#REF!</definedName>
    <definedName name="dPV" localSheetId="2">#REF!</definedName>
    <definedName name="dPV" localSheetId="3">#REF!</definedName>
    <definedName name="dPV" localSheetId="4">#REF!</definedName>
    <definedName name="dPV">#REF!</definedName>
    <definedName name="Draws">[4]BinomialVsNormal!$C$7</definedName>
    <definedName name="Drift" localSheetId="4">#REF!</definedName>
    <definedName name="Drift">#REF!</definedName>
    <definedName name="drift2">[4]HedgingSimulation!$G$7</definedName>
    <definedName name="Dt">[8]MonteCarlo!$F$5</definedName>
    <definedName name="DTDays" localSheetId="4">#REF!</definedName>
    <definedName name="DTDays">#REF!</definedName>
    <definedName name="DTMarketPrem" localSheetId="4">#REF!</definedName>
    <definedName name="DTMarketPrem">#REF!</definedName>
    <definedName name="Dump">[1]MonteCarlo!$N$2</definedName>
    <definedName name="Duration">'[5]Bond Price with Excel'!$B$27</definedName>
    <definedName name="DurationIndex" localSheetId="4">#REF!</definedName>
    <definedName name="DurationIndex">#REF!</definedName>
    <definedName name="Dval">[9]CreditGrades!$C$10</definedName>
    <definedName name="EE" localSheetId="1">Spreadsheet7.2!#REF!</definedName>
    <definedName name="EE" localSheetId="2">Spreadsheet7.3!#REF!</definedName>
    <definedName name="EE" localSheetId="3">Spreadsheet7.4!#REF!</definedName>
    <definedName name="EE" localSheetId="4">Spreadsheet7.5!#REF!</definedName>
    <definedName name="EE">Spreadsheet7.1!$C$16</definedName>
    <definedName name="EL" localSheetId="2">#REF!</definedName>
    <definedName name="EL" localSheetId="3">#REF!</definedName>
    <definedName name="EL" localSheetId="4">#REF!</definedName>
    <definedName name="EL">#REF!</definedName>
    <definedName name="EL_E2" localSheetId="4">#REF!</definedName>
    <definedName name="EL_E2">#REF!</definedName>
    <definedName name="ELBaseTranche1" localSheetId="2">#REF!</definedName>
    <definedName name="ELBaseTranche1" localSheetId="3">#REF!</definedName>
    <definedName name="ELBaseTranche1" localSheetId="4">#REF!</definedName>
    <definedName name="ELBaseTranche1">#REF!</definedName>
    <definedName name="ELBaseTranche2" localSheetId="2">#REF!</definedName>
    <definedName name="ELBaseTranche2" localSheetId="3">#REF!</definedName>
    <definedName name="ELBaseTranche2" localSheetId="4">#REF!</definedName>
    <definedName name="ELBaseTranche2">#REF!</definedName>
    <definedName name="end_date" localSheetId="4">#REF!</definedName>
    <definedName name="end_date">#REF!</definedName>
    <definedName name="EndDate" localSheetId="2">#REF!</definedName>
    <definedName name="EndDate" localSheetId="3">#REF!</definedName>
    <definedName name="EndDate" localSheetId="4">#REF!</definedName>
    <definedName name="EndDate">#REF!</definedName>
    <definedName name="EPE">[1]EPEAllocation!$C$19</definedName>
    <definedName name="EPEs">[1]Portfolio!$G$8</definedName>
    <definedName name="Equity">[9]Merton!$C$16</definedName>
    <definedName name="EquityPrice" localSheetId="4">#REF!</definedName>
    <definedName name="EquityPrice">#REF!</definedName>
    <definedName name="EquityVol" localSheetId="4">#REF!</definedName>
    <definedName name="EquityVol">#REF!</definedName>
    <definedName name="Error1" localSheetId="4">#REF!</definedName>
    <definedName name="Error1">#REF!</definedName>
    <definedName name="Errors">[1]CDSStripper!$H$9</definedName>
    <definedName name="EstBeta">[2]Liquidation!$D$17</definedName>
    <definedName name="EURExpLoss" localSheetId="2">#REF!</definedName>
    <definedName name="EURExpLoss" localSheetId="3">#REF!</definedName>
    <definedName name="EURExpLoss" localSheetId="4">#REF!</definedName>
    <definedName name="EURExpLoss">#REF!</definedName>
    <definedName name="EuropeWeight" localSheetId="2">#REF!</definedName>
    <definedName name="EuropeWeight" localSheetId="3">#REF!</definedName>
    <definedName name="EuropeWeight" localSheetId="4">#REF!</definedName>
    <definedName name="EuropeWeight">#REF!</definedName>
    <definedName name="EuropeWeightOveride" localSheetId="2">#REF!</definedName>
    <definedName name="EuropeWeightOveride" localSheetId="3">#REF!</definedName>
    <definedName name="EuropeWeightOveride" localSheetId="4">#REF!</definedName>
    <definedName name="EuropeWeightOveride">#REF!</definedName>
    <definedName name="ExcessReturn" localSheetId="4">#REF!</definedName>
    <definedName name="ExcessReturn">#REF!</definedName>
    <definedName name="ExchangeNotional" localSheetId="4">#REF!</definedName>
    <definedName name="ExchangeNotional">#REF!</definedName>
    <definedName name="ExerciseFreq" localSheetId="2">#REF!</definedName>
    <definedName name="ExerciseFreq" localSheetId="3">#REF!</definedName>
    <definedName name="ExerciseFreq" localSheetId="4">#REF!</definedName>
    <definedName name="ExerciseFreq">#REF!</definedName>
    <definedName name="ExerciseOptions" localSheetId="4">#REF!</definedName>
    <definedName name="ExerciseOptions">#REF!</definedName>
    <definedName name="ExerciseType" localSheetId="4">#REF!</definedName>
    <definedName name="ExerciseType">#REF!</definedName>
    <definedName name="ExerFreqChoice" localSheetId="4">#REF!</definedName>
    <definedName name="ExerFreqChoice">#REF!</definedName>
    <definedName name="ExerTypeIndex" localSheetId="4">#REF!</definedName>
    <definedName name="ExerTypeIndex">#REF!</definedName>
    <definedName name="Expiry" localSheetId="4">#REF!</definedName>
    <definedName name="Expiry">#REF!</definedName>
    <definedName name="ExpLoss" localSheetId="4">#REF!</definedName>
    <definedName name="ExpLoss">#REF!</definedName>
    <definedName name="ExpLoss1" localSheetId="4">#REF!</definedName>
    <definedName name="ExpLoss1">#REF!</definedName>
    <definedName name="ExpLoss2" localSheetId="4">#REF!</definedName>
    <definedName name="ExpLoss2">#REF!</definedName>
    <definedName name="Exposure">[2]CollateralExposureSimulation!$K$12</definedName>
    <definedName name="Exposure2">[2]ExposureSimulation!$F$146</definedName>
    <definedName name="ExposurePaths" localSheetId="4">#REF!</definedName>
    <definedName name="ExposurePaths">#REF!</definedName>
    <definedName name="ExposurePaths2">[2]ExposureSimulation!$L$145</definedName>
    <definedName name="Exposures">[1]Portfolio!$E$8</definedName>
    <definedName name="ExposureStart" localSheetId="4">#REF!</definedName>
    <definedName name="ExposureStart">#REF!</definedName>
    <definedName name="ExposureVol">[1]CollateralMarginCall!$G$6</definedName>
    <definedName name="ExpRetVector">[5]MeanVariance!$D$3:$D$6</definedName>
    <definedName name="external_costs" localSheetId="4">#REF!</definedName>
    <definedName name="external_costs">#REF!</definedName>
    <definedName name="EXTRAINFO" localSheetId="4">#REF!</definedName>
    <definedName name="EXTRAINFO">#REF!</definedName>
    <definedName name="FaceValue">[9]Merton!$C$6</definedName>
    <definedName name="FairPremium" localSheetId="4">#REF!</definedName>
    <definedName name="FairPremium">#REF!</definedName>
    <definedName name="FFChoice" localSheetId="4">#REF!</definedName>
    <definedName name="FFChoice">#REF!</definedName>
    <definedName name="FinalIssCurveRange" localSheetId="4">OFFSET(#REF!,1,0,#REF!,1)</definedName>
    <definedName name="FinalIssCurveRange">OFFSET(#REF!,1,0,#REF!,1)</definedName>
    <definedName name="FinalTotIssCurveRange" localSheetId="4">#REF!</definedName>
    <definedName name="FinalTotIssCurveRange">#REF!</definedName>
    <definedName name="FirmValue">[9]Merton!$C$7</definedName>
    <definedName name="FirstAnalDelta" localSheetId="4">#REF!</definedName>
    <definedName name="FirstAnalDelta">#REF!</definedName>
    <definedName name="FirstBondMat" localSheetId="4">#REF!</definedName>
    <definedName name="FirstBondMat">#REF!</definedName>
    <definedName name="FirstCalcDelta" localSheetId="4">#REF!</definedName>
    <definedName name="FirstCalcDelta">#REF!</definedName>
    <definedName name="FirstDefDate" localSheetId="4">#REF!</definedName>
    <definedName name="FirstDefDate">#REF!</definedName>
    <definedName name="FirstDeltaDispl" localSheetId="4">#REF!</definedName>
    <definedName name="FirstDeltaDispl">#REF!</definedName>
    <definedName name="FirstExerciseDate" localSheetId="2">#REF!</definedName>
    <definedName name="FirstExerciseDate" localSheetId="3">#REF!</definedName>
    <definedName name="FirstExerciseDate" localSheetId="4">#REF!</definedName>
    <definedName name="FirstExerciseDate">#REF!</definedName>
    <definedName name="FirstLiborRate1" localSheetId="4">#REF!</definedName>
    <definedName name="FirstLiborRate1">#REF!</definedName>
    <definedName name="FirstLiborRate2" localSheetId="4">#REF!</definedName>
    <definedName name="FirstLiborRate2">#REF!</definedName>
    <definedName name="FirstMaturity" localSheetId="4">#REF!</definedName>
    <definedName name="FirstMaturity">#REF!</definedName>
    <definedName name="FirstMaxLoss" localSheetId="4">#REF!</definedName>
    <definedName name="FirstMaxLoss">#REF!</definedName>
    <definedName name="FirstMinLoss" localSheetId="4">#REF!</definedName>
    <definedName name="FirstMinLoss">#REF!</definedName>
    <definedName name="FirstNotional" localSheetId="4">#REF!</definedName>
    <definedName name="FirstNotional">#REF!</definedName>
    <definedName name="FirstPrem" localSheetId="4">#REF!</definedName>
    <definedName name="FirstPrem">#REF!</definedName>
    <definedName name="FirstQCDDelta" localSheetId="2">[11]CDO!#REF!</definedName>
    <definedName name="FirstQCDDelta" localSheetId="3">[11]CDO!#REF!</definedName>
    <definedName name="FirstQCDDelta" localSheetId="4">[11]CDO!#REF!</definedName>
    <definedName name="FirstQCDDelta">[11]CDO!#REF!</definedName>
    <definedName name="FirstRho" localSheetId="4">#REF!</definedName>
    <definedName name="FirstRho">#REF!</definedName>
    <definedName name="FirstSeed" localSheetId="2">#REF!</definedName>
    <definedName name="FirstSeed" localSheetId="3">#REF!</definedName>
    <definedName name="FirstSeed" localSheetId="4">#REF!</definedName>
    <definedName name="FirstSeed">#REF!</definedName>
    <definedName name="FirstSeeed" localSheetId="2">#REF!</definedName>
    <definedName name="FirstSeeed" localSheetId="3">#REF!</definedName>
    <definedName name="FirstSeeed" localSheetId="4">#REF!</definedName>
    <definedName name="FirstSeeed">#REF!</definedName>
    <definedName name="FirstSwapDate" localSheetId="4">#REF!</definedName>
    <definedName name="FirstSwapDate">#REF!</definedName>
    <definedName name="FirstTenor" localSheetId="4">#REF!</definedName>
    <definedName name="FirstTenor">#REF!</definedName>
    <definedName name="FirstToDefault" localSheetId="4">#REF!</definedName>
    <definedName name="FirstToDefault">#REF!</definedName>
    <definedName name="FitCorrmat" localSheetId="4">#REF!</definedName>
    <definedName name="FitCorrmat">#REF!</definedName>
    <definedName name="Fixed_Rate" localSheetId="4">#REF!</definedName>
    <definedName name="Fixed_Rate">#REF!</definedName>
    <definedName name="FixedBasis" localSheetId="4">#REF!</definedName>
    <definedName name="FixedBasis">#REF!</definedName>
    <definedName name="FixedFreq" localSheetId="4">#REF!</definedName>
    <definedName name="FixedFreq">#REF!</definedName>
    <definedName name="FixedOrFloat" localSheetId="4">#REF!</definedName>
    <definedName name="FixedOrFloat">#REF!</definedName>
    <definedName name="FixedOrNot" localSheetId="4">#REF!</definedName>
    <definedName name="FixedOrNot">#REF!</definedName>
    <definedName name="FlaotRefRateChoiceIndex" localSheetId="4">#REF!</definedName>
    <definedName name="FlaotRefRateChoiceIndex">#REF!</definedName>
    <definedName name="FloatBasis" localSheetId="4">#REF!</definedName>
    <definedName name="FloatBasis">#REF!</definedName>
    <definedName name="FloatFreq" localSheetId="4">#REF!</definedName>
    <definedName name="FloatFreq">#REF!</definedName>
    <definedName name="FloatRate" localSheetId="4">#REF!</definedName>
    <definedName name="FloatRate">#REF!</definedName>
    <definedName name="FloatRefRateChoice" localSheetId="4">#REF!</definedName>
    <definedName name="FloatRefRateChoice">#REF!</definedName>
    <definedName name="FloatRefRateChoiceIndex" localSheetId="4">#REF!</definedName>
    <definedName name="FloatRefRateChoiceIndex">#REF!</definedName>
    <definedName name="Floor" localSheetId="4">#REF!</definedName>
    <definedName name="Floor">#REF!</definedName>
    <definedName name="Freq" localSheetId="4">#REF!</definedName>
    <definedName name="Freq">#REF!</definedName>
    <definedName name="Freq1" localSheetId="4">#REF!</definedName>
    <definedName name="Freq1">#REF!</definedName>
    <definedName name="Freq2" localSheetId="4">#REF!</definedName>
    <definedName name="Freq2">#REF!</definedName>
    <definedName name="FreqChoices" localSheetId="4">#REF!</definedName>
    <definedName name="FreqChoices">#REF!</definedName>
    <definedName name="FreqIndex" localSheetId="4">#REF!</definedName>
    <definedName name="FreqIndex">#REF!</definedName>
    <definedName name="FreqTable1" localSheetId="4">#REF!</definedName>
    <definedName name="FreqTable1">#REF!</definedName>
    <definedName name="FreqTable2" localSheetId="4">#REF!</definedName>
    <definedName name="FreqTable2">#REF!</definedName>
    <definedName name="FVMDef" localSheetId="4">#REF!</definedName>
    <definedName name="FVMDef">#REF!</definedName>
    <definedName name="FVMMarketPrem" localSheetId="4">#REF!</definedName>
    <definedName name="FVMMarketPrem">#REF!</definedName>
    <definedName name="FVMPrem" localSheetId="4">#REF!</definedName>
    <definedName name="FVMPrem">#REF!</definedName>
    <definedName name="FVMPV" localSheetId="4">#REF!</definedName>
    <definedName name="FVMPV">#REF!</definedName>
    <definedName name="FVMResults" localSheetId="4">#REF!</definedName>
    <definedName name="FVMResults">#REF!</definedName>
    <definedName name="Fwd">[3]TreePricer!$C$25</definedName>
    <definedName name="FXVol">Spreadsheet7.3!$C$11</definedName>
    <definedName name="Gamma">[5]MeanVariance!$O$23</definedName>
    <definedName name="gamma2">[5]MeanVariance!$C$32</definedName>
    <definedName name="GI" localSheetId="4">#REF!</definedName>
    <definedName name="GI">#REF!</definedName>
    <definedName name="Global_Local" localSheetId="4">#REF!</definedName>
    <definedName name="Global_Local">#REF!</definedName>
    <definedName name="Gone" localSheetId="4">#REF!</definedName>
    <definedName name="Gone">#REF!</definedName>
    <definedName name="Greeks" localSheetId="4">#REF!</definedName>
    <definedName name="Greeks">#REF!</definedName>
    <definedName name="GuessYield">[5]YieldExample!$C$3</definedName>
    <definedName name="HazardRae" localSheetId="2">[12]Survival!#REF!</definedName>
    <definedName name="HazardRae" localSheetId="3">[12]Survival!#REF!</definedName>
    <definedName name="HazardRae" localSheetId="4">[12]Survival!#REF!</definedName>
    <definedName name="HazardRae">[12]Survival!#REF!</definedName>
    <definedName name="HazardRage" localSheetId="2">[12]Survival!#REF!</definedName>
    <definedName name="HazardRage" localSheetId="3">[12]Survival!#REF!</definedName>
    <definedName name="HazardRage" localSheetId="4">[12]Survival!#REF!</definedName>
    <definedName name="HazardRage">[12]Survival!#REF!</definedName>
    <definedName name="HazardRate">Spreadsheet7.4!$C$17</definedName>
    <definedName name="HazardRate1" localSheetId="4">#REF!</definedName>
    <definedName name="HazardRate1">#REF!</definedName>
    <definedName name="HazardRate2" localSheetId="4">#REF!</definedName>
    <definedName name="HazardRate2">#REF!</definedName>
    <definedName name="HazardRate3" localSheetId="4">#REF!</definedName>
    <definedName name="HazardRate3">#REF!</definedName>
    <definedName name="HazardRate4" localSheetId="4">#REF!</definedName>
    <definedName name="HazardRate4">#REF!</definedName>
    <definedName name="HazardRate5" localSheetId="4">#REF!</definedName>
    <definedName name="HazardRate5">#REF!</definedName>
    <definedName name="HazardRates">[1]CDSStripper!$C$9</definedName>
    <definedName name="HedgeAmount">[3]TradingStrategy!$C$10</definedName>
    <definedName name="HedgingFreq" localSheetId="4">#REF!</definedName>
    <definedName name="HedgingFreq">#REF!</definedName>
    <definedName name="HistHigh" localSheetId="4">#REF!</definedName>
    <definedName name="HistHigh">#REF!</definedName>
    <definedName name="HistLow" localSheetId="4">#REF!</definedName>
    <definedName name="HistLow">#REF!</definedName>
    <definedName name="Histogram1Output" localSheetId="4">#REF!</definedName>
    <definedName name="Histogram1Output">#REF!</definedName>
    <definedName name="Histogram2Output" localSheetId="4">#REF!</definedName>
    <definedName name="Histogram2Output">#REF!</definedName>
    <definedName name="HistoricalError" localSheetId="4">#REF!</definedName>
    <definedName name="HistoricalError">#REF!</definedName>
    <definedName name="HistStart" localSheetId="4">#REF!</definedName>
    <definedName name="HistStart">#REF!</definedName>
    <definedName name="HistWeight" localSheetId="4">#REF!</definedName>
    <definedName name="HistWeight">#REF!</definedName>
    <definedName name="IA" localSheetId="2">[6]CollateralMarginCall!#REF!</definedName>
    <definedName name="IA" localSheetId="3">[6]CollateralMarginCall!#REF!</definedName>
    <definedName name="IA" localSheetId="4">[6]CollateralMarginCall!#REF!</definedName>
    <definedName name="IA">[6]CollateralMarginCall!#REF!</definedName>
    <definedName name="IA_A">#REF!</definedName>
    <definedName name="IA_B">#REF!</definedName>
    <definedName name="ImpliedVolatility">[4]HedgingSimulation!$C$10</definedName>
    <definedName name="IndependentAmount">[1]CollateralMarginCall!$C$7</definedName>
    <definedName name="IndependentAmount2">[1]CollateralMarginCall!$D$7</definedName>
    <definedName name="Index" localSheetId="4">#REF!</definedName>
    <definedName name="Index">#REF!</definedName>
    <definedName name="IndexELEur" localSheetId="2">#REF!</definedName>
    <definedName name="IndexELEur" localSheetId="3">#REF!</definedName>
    <definedName name="IndexELEur" localSheetId="4">#REF!</definedName>
    <definedName name="IndexELEur">#REF!</definedName>
    <definedName name="IndexELUS" localSheetId="2">#REF!</definedName>
    <definedName name="IndexELUS" localSheetId="3">#REF!</definedName>
    <definedName name="IndexELUS" localSheetId="4">#REF!</definedName>
    <definedName name="IndexELUS">#REF!</definedName>
    <definedName name="IndexExpLossEUR" localSheetId="4">#REF!</definedName>
    <definedName name="IndexExpLossEUR">#REF!</definedName>
    <definedName name="IndexExpLossUS" localSheetId="4">#REF!</definedName>
    <definedName name="IndexExpLossUS">#REF!</definedName>
    <definedName name="IndexLevels" localSheetId="4">#REF!</definedName>
    <definedName name="IndexLevels">#REF!</definedName>
    <definedName name="IndexPV" localSheetId="2">#REF!</definedName>
    <definedName name="IndexPV" localSheetId="3">#REF!</definedName>
    <definedName name="IndexPV" localSheetId="4">#REF!</definedName>
    <definedName name="IndexPV">#REF!</definedName>
    <definedName name="IndexRiskyLevel" localSheetId="4">#REF!</definedName>
    <definedName name="IndexRiskyLevel">#REF!</definedName>
    <definedName name="IndexStart" localSheetId="4">#REF!</definedName>
    <definedName name="IndexStart">#REF!</definedName>
    <definedName name="Industry_Description" localSheetId="4">#REF!</definedName>
    <definedName name="Industry_Description">#REF!</definedName>
    <definedName name="Industry_Lookup_Table" localSheetId="4">#REF!</definedName>
    <definedName name="Industry_Lookup_Table">#REF!</definedName>
    <definedName name="Industry_Number" localSheetId="4">#REF!</definedName>
    <definedName name="Industry_Number">#REF!</definedName>
    <definedName name="InitialCollateral">[2]CollateralandCorrelation!$C$15</definedName>
    <definedName name="InitialExposure">[2]CollateralandCorrelation!$C$14</definedName>
    <definedName name="InitialPV">'[13]Sheet1 (2)'!$D$4</definedName>
    <definedName name="INST_TYPE" localSheetId="4">#REF!</definedName>
    <definedName name="INST_TYPE">#REF!</definedName>
    <definedName name="InstName" localSheetId="2">#REF!</definedName>
    <definedName name="InstName" localSheetId="3">#REF!</definedName>
    <definedName name="InstName" localSheetId="4">#REF!</definedName>
    <definedName name="InstName">#REF!</definedName>
    <definedName name="IntegrationPoints" localSheetId="2">#REF!</definedName>
    <definedName name="IntegrationPoints" localSheetId="3">#REF!</definedName>
    <definedName name="IntegrationPoints" localSheetId="4">#REF!</definedName>
    <definedName name="IntegrationPoints">#REF!</definedName>
    <definedName name="IntegrationPoints2" localSheetId="4">#REF!</definedName>
    <definedName name="IntegrationPoints2">#REF!</definedName>
    <definedName name="Intensity" localSheetId="4">#REF!</definedName>
    <definedName name="Intensity">#REF!</definedName>
    <definedName name="IntensityCntrpty">[1]CVA!$D$8</definedName>
    <definedName name="IntensitySystemic" localSheetId="2">[1]CVA!#REF!</definedName>
    <definedName name="IntensitySystemic" localSheetId="3">[1]CVA!#REF!</definedName>
    <definedName name="IntensitySystemic" localSheetId="4">[1]CVA!#REF!</definedName>
    <definedName name="IntensitySystemic">[1]CVA!#REF!</definedName>
    <definedName name="IntensityUs" localSheetId="2">[1]CVA!#REF!</definedName>
    <definedName name="IntensityUs" localSheetId="3">[1]CVA!#REF!</definedName>
    <definedName name="IntensityUs" localSheetId="4">[1]CVA!#REF!</definedName>
    <definedName name="IntensityUs">[1]CVA!#REF!</definedName>
    <definedName name="InterCorrel" localSheetId="2">[11]CDO!#REF!</definedName>
    <definedName name="InterCorrel" localSheetId="3">[11]CDO!#REF!</definedName>
    <definedName name="InterCorrel" localSheetId="4">[11]CDO!#REF!</definedName>
    <definedName name="InterCorrel">[11]CDO!#REF!</definedName>
    <definedName name="InterestR">[3]TreePricer!$C$18</definedName>
    <definedName name="InterestRate" localSheetId="4">#REF!</definedName>
    <definedName name="InterestRate">#REF!</definedName>
    <definedName name="InterestRateNow" localSheetId="4">#REF!</definedName>
    <definedName name="InterestRateNow">#REF!</definedName>
    <definedName name="Interval" localSheetId="4">#REF!</definedName>
    <definedName name="Interval">#REF!</definedName>
    <definedName name="IntPoints" localSheetId="4">#REF!</definedName>
    <definedName name="IntPoints">#REF!</definedName>
    <definedName name="IntRate">[4]HedgingSimulation!$C$9</definedName>
    <definedName name="iNumUnderlyings" localSheetId="2">#REF!</definedName>
    <definedName name="iNumUnderlyings" localSheetId="3">#REF!</definedName>
    <definedName name="iNumUnderlyings" localSheetId="4">#REF!</definedName>
    <definedName name="iNumUnderlyings">#REF!</definedName>
    <definedName name="IR" localSheetId="4">#REF!</definedName>
    <definedName name="IR">#REF!</definedName>
    <definedName name="IRate">Spreadsheet7.4!$C$12</definedName>
    <definedName name="IRFXCorr">Spreadsheet7.3!$C$12</definedName>
    <definedName name="IRMC">[8]MonteCarlo!$C$5</definedName>
    <definedName name="IRModel" localSheetId="2">#REF!</definedName>
    <definedName name="IRModel" localSheetId="3">#REF!</definedName>
    <definedName name="IRModel" localSheetId="4">#REF!</definedName>
    <definedName name="IRModel">#REF!</definedName>
    <definedName name="IRModelType" localSheetId="4">#REF!</definedName>
    <definedName name="IRModelType">#REF!</definedName>
    <definedName name="IRTau" localSheetId="2">#REF!</definedName>
    <definedName name="IRTau" localSheetId="3">#REF!</definedName>
    <definedName name="IRTau" localSheetId="4">#REF!</definedName>
    <definedName name="IRTau">#REF!</definedName>
    <definedName name="IRVol">Spreadsheet7.3!$C$10</definedName>
    <definedName name="IssCurveRangeCopy" localSheetId="4">OFFSET(#REF!,1+#REF!,0,#REF!,1)</definedName>
    <definedName name="IssCurveRangeCopy">OFFSET(#REF!,1+#REF!,0,#REF!,1)</definedName>
    <definedName name="ISSUE_DATE" localSheetId="4">#REF!</definedName>
    <definedName name="ISSUE_DATE">#REF!</definedName>
    <definedName name="ISSUER" localSheetId="4">#REF!</definedName>
    <definedName name="ISSUER">#REF!</definedName>
    <definedName name="Issuer_Curve_cell" localSheetId="4">#REF!</definedName>
    <definedName name="Issuer_Curve_cell">#REF!</definedName>
    <definedName name="ISSUER_INDEX" localSheetId="4">#REF!</definedName>
    <definedName name="ISSUER_INDEX">#REF!</definedName>
    <definedName name="ISSUER_LIST" localSheetId="4">#REF!</definedName>
    <definedName name="ISSUER_LIST">#REF!</definedName>
    <definedName name="ISSUER_MAPPINGS" localSheetId="4">#REF!</definedName>
    <definedName name="ISSUER_MAPPINGS">#REF!</definedName>
    <definedName name="IssuerCurves" localSheetId="4">OFFSET(#REF!,0,0,#REF!,1)</definedName>
    <definedName name="IssuerCurves">OFFSET(#REF!,0,0,#REF!,1)</definedName>
    <definedName name="iter" localSheetId="4">#REF!</definedName>
    <definedName name="iter">#REF!</definedName>
    <definedName name="JumpFreq" localSheetId="4">#REF!</definedName>
    <definedName name="JumpFreq">#REF!</definedName>
    <definedName name="JumpSize" localSheetId="4">#REF!</definedName>
    <definedName name="JumpSize">#REF!</definedName>
    <definedName name="Knockout" localSheetId="2">#REF!</definedName>
    <definedName name="Knockout" localSheetId="3">#REF!</definedName>
    <definedName name="Knockout" localSheetId="4">#REF!</definedName>
    <definedName name="Knockout">#REF!</definedName>
    <definedName name="Knockout2" localSheetId="2">#REF!</definedName>
    <definedName name="Knockout2" localSheetId="3">#REF!</definedName>
    <definedName name="Knockout2" localSheetId="4">#REF!</definedName>
    <definedName name="Knockout2">#REF!</definedName>
    <definedName name="kurtosis" localSheetId="4">#REF!</definedName>
    <definedName name="kurtosis">#REF!</definedName>
    <definedName name="Label" localSheetId="4">#REF!</definedName>
    <definedName name="Label">#REF!</definedName>
    <definedName name="Lamba">[9]CreditGrades!$C$8</definedName>
    <definedName name="lambda" localSheetId="4">#REF!</definedName>
    <definedName name="lambda">#REF!</definedName>
    <definedName name="lamda" localSheetId="4">#REF!</definedName>
    <definedName name="lamda">#REF!</definedName>
    <definedName name="lamda2">[4]ExponentialDampingEstimate!$C$6</definedName>
    <definedName name="lamda3">[4]ExponentialDampingEstimate!$C$6</definedName>
    <definedName name="LASTCPN_RATE" localSheetId="4">#REF!</definedName>
    <definedName name="LASTCPN_RATE">#REF!</definedName>
    <definedName name="LastExerciseDate" localSheetId="2">#REF!</definedName>
    <definedName name="LastExerciseDate" localSheetId="3">#REF!</definedName>
    <definedName name="LastExerciseDate" localSheetId="4">#REF!</definedName>
    <definedName name="LastExerciseDate">#REF!</definedName>
    <definedName name="Lbar">[9]CreditGrades!$C$7</definedName>
    <definedName name="LengthBCCurve" localSheetId="2">#REF!</definedName>
    <definedName name="LengthBCCurve" localSheetId="3">#REF!</definedName>
    <definedName name="LengthBCCurve" localSheetId="4">#REF!</definedName>
    <definedName name="LengthBCCurve">#REF!</definedName>
    <definedName name="LengthBCEur" localSheetId="4">#REF!</definedName>
    <definedName name="LengthBCEur">#REF!</definedName>
    <definedName name="LengthBCUS" localSheetId="4">#REF!</definedName>
    <definedName name="LengthBCUS">#REF!</definedName>
    <definedName name="Leverage" localSheetId="2">#REF!</definedName>
    <definedName name="Leverage" localSheetId="3">#REF!</definedName>
    <definedName name="Leverage" localSheetId="4">#REF!</definedName>
    <definedName name="Leverage">#REF!</definedName>
    <definedName name="LGD">[10]BaselIIFormula!$D$8</definedName>
    <definedName name="LGM_STAMP">"LGM"</definedName>
    <definedName name="LGMChoice" localSheetId="4">#REF!</definedName>
    <definedName name="LGMChoice">#REF!</definedName>
    <definedName name="LGMopencol" localSheetId="4">OFFSET(Spreadsheet7.5!LGMChoice,2,0,Spreadsheet7.5!NumLGMChoices,1)</definedName>
    <definedName name="LGMopencol">OFFSET([0]!LGMChoice,2,0,[0]!NumLGMChoices,1)</definedName>
    <definedName name="LiborRateChoice" localSheetId="4">#REF!</definedName>
    <definedName name="LiborRateChoice">#REF!</definedName>
    <definedName name="LiborRateCol" localSheetId="4">OFFSET(#REF!,0,0,#REF!,1)</definedName>
    <definedName name="LiborRateCol">OFFSET(#REF!,0,0,#REF!,1)</definedName>
    <definedName name="LiborRateCol1" localSheetId="4">OFFSET(#REF!,0,0,#REF!,1)</definedName>
    <definedName name="LiborRateCol1">OFFSET(#REF!,0,0,#REF!,1)</definedName>
    <definedName name="littled">[9]CreditGrades!$C$16</definedName>
    <definedName name="LOAD_MKT" localSheetId="4">#REF!</definedName>
    <definedName name="LOAD_MKT">#REF!</definedName>
    <definedName name="LookUnderlying" localSheetId="4">#REF!</definedName>
    <definedName name="LookUnderlying">#REF!</definedName>
    <definedName name="LossBins" localSheetId="4">#REF!</definedName>
    <definedName name="LossBins">#REF!</definedName>
    <definedName name="LossGivenDefault">[9]Merton!$C$25</definedName>
    <definedName name="LossonLiquidation" localSheetId="2">[2]LiquidationTimescale!#REF!</definedName>
    <definedName name="LossonLiquidation" localSheetId="3">[2]LiquidationTimescale!#REF!</definedName>
    <definedName name="LossonLiquidation" localSheetId="4">[2]LiquidationTimescale!#REF!</definedName>
    <definedName name="LossonLiquidation">[2]LiquidationTimescale!#REF!</definedName>
    <definedName name="Lower">[7]SimpleIntegration!$C$2</definedName>
    <definedName name="LowerBaseTrancheAttach" localSheetId="4">#REF!</definedName>
    <definedName name="LowerBaseTrancheAttach">#REF!</definedName>
    <definedName name="LowerTrancheEURCorrel" localSheetId="2">#REF!</definedName>
    <definedName name="LowerTrancheEURCorrel" localSheetId="3">#REF!</definedName>
    <definedName name="LowerTrancheEURCorrel" localSheetId="4">#REF!</definedName>
    <definedName name="LowerTrancheEURCorrel">#REF!</definedName>
    <definedName name="LowerTrancheUSCorrel" localSheetId="2">#REF!</definedName>
    <definedName name="LowerTrancheUSCorrel" localSheetId="3">#REF!</definedName>
    <definedName name="LowerTrancheUSCorrel" localSheetId="4">#REF!</definedName>
    <definedName name="LowerTrancheUSCorrel">#REF!</definedName>
    <definedName name="LTBorrowings" localSheetId="4">#REF!</definedName>
    <definedName name="LTBorrowings">#REF!</definedName>
    <definedName name="LTMean" localSheetId="4">#REF!</definedName>
    <definedName name="LTMean">#REF!</definedName>
    <definedName name="MAN_IP" localSheetId="4">#REF!</definedName>
    <definedName name="MAN_IP">#REF!</definedName>
    <definedName name="MAN_MKT" localSheetId="4">#REF!</definedName>
    <definedName name="MAN_MKT">#REF!</definedName>
    <definedName name="ManualMarket" localSheetId="4">#REF!</definedName>
    <definedName name="ManualMarket">#REF!</definedName>
    <definedName name="Mapset" localSheetId="4">#REF!</definedName>
    <definedName name="Mapset">#REF!</definedName>
    <definedName name="Mapsets_count_cell" localSheetId="4">#REF!</definedName>
    <definedName name="Mapsets_count_cell">#REF!</definedName>
    <definedName name="MargEPE">'[1]Impact of PV'!$C$19</definedName>
    <definedName name="MargEPE1">[1]EPEAllocation!$C$22</definedName>
    <definedName name="MargEPE2">[1]EPEAllocation!$D$22</definedName>
    <definedName name="Market" localSheetId="4">#REF!</definedName>
    <definedName name="Market">#REF!</definedName>
    <definedName name="MarketChoice" localSheetId="4">#REF!</definedName>
    <definedName name="MarketChoice">#REF!</definedName>
    <definedName name="MarketChoiceCell" localSheetId="4">#REF!</definedName>
    <definedName name="MarketChoiceCell">#REF!</definedName>
    <definedName name="marketcountcol" localSheetId="4">#REF!</definedName>
    <definedName name="marketcountcol">#REF!</definedName>
    <definedName name="MarketId" localSheetId="4">#REF!</definedName>
    <definedName name="MarketId">#REF!</definedName>
    <definedName name="MarketPrem" localSheetId="4">#REF!</definedName>
    <definedName name="MarketPrem">#REF!</definedName>
    <definedName name="MarketSheet" localSheetId="4">#REF!</definedName>
    <definedName name="MarketSheet">#REF!</definedName>
    <definedName name="Mat" localSheetId="4">#REF!</definedName>
    <definedName name="Mat">#REF!</definedName>
    <definedName name="MatDate" localSheetId="4">#REF!</definedName>
    <definedName name="MatDate">#REF!</definedName>
    <definedName name="maturity">'[14]Class Problems'!$J$39</definedName>
    <definedName name="Maturity_11" localSheetId="4">#REF!</definedName>
    <definedName name="Maturity_11">#REF!</definedName>
    <definedName name="maturity_mismatch_penalty" localSheetId="4">#REF!</definedName>
    <definedName name="maturity_mismatch_penalty">#REF!</definedName>
    <definedName name="Maturity2" localSheetId="4">#REF!</definedName>
    <definedName name="Maturity2">#REF!</definedName>
    <definedName name="MaturityDate">'[5]Bond Price with Excel'!$B$16</definedName>
    <definedName name="MaturityMC">[8]MonteCarlo!$C$6</definedName>
    <definedName name="MaxBinLoss" localSheetId="4">#REF!</definedName>
    <definedName name="MaxBinLoss">#REF!</definedName>
    <definedName name="MaxDefaults" localSheetId="4">#REF!</definedName>
    <definedName name="MaxDefaults">#REF!</definedName>
    <definedName name="MaxLossStart" localSheetId="4">#REF!</definedName>
    <definedName name="MaxLossStart">#REF!</definedName>
    <definedName name="MCorTree" localSheetId="4">#REF!</definedName>
    <definedName name="MCorTree">#REF!</definedName>
    <definedName name="MCOutput">[1]MonteCarlo!$J$8</definedName>
    <definedName name="MCPaths">[1]CollateralMarginCall!$G$9</definedName>
    <definedName name="MCSims">[1]MonteCarlo!$C$8</definedName>
    <definedName name="Mean">[2]WCEandEPE!$C$11</definedName>
    <definedName name="Mean1">[7]SimpleCovarianceWithWeights!$C$6</definedName>
    <definedName name="Mean2">[7]SimpleCovarianceWithWeights!$C$7</definedName>
    <definedName name="MeanExposure">[1]Netting!$D$8</definedName>
    <definedName name="MeanMtM">[15]Spreadsheet3.1!$C$10</definedName>
    <definedName name="MeanReturn" localSheetId="4">#REF!</definedName>
    <definedName name="MeanReturn">#REF!</definedName>
    <definedName name="MeanRev" localSheetId="4">#REF!</definedName>
    <definedName name="MeanRev">#REF!</definedName>
    <definedName name="MinAmountInput" localSheetId="4">#REF!</definedName>
    <definedName name="MinAmountInput">#REF!</definedName>
    <definedName name="MinDefaults" localSheetId="4">#REF!</definedName>
    <definedName name="MinDefaults">#REF!</definedName>
    <definedName name="MinimumTransferAmount">[1]CollateralMarginCall!$C$10</definedName>
    <definedName name="MinimumTransferAmount2">[1]CollateralMarginCall!$D$10</definedName>
    <definedName name="MinLossStart" localSheetId="4">#REF!</definedName>
    <definedName name="MinLossStart">#REF!</definedName>
    <definedName name="MinorityInterest" localSheetId="4">#REF!</definedName>
    <definedName name="MinorityInterest">#REF!</definedName>
    <definedName name="MKT" localSheetId="4">#REF!</definedName>
    <definedName name="MKT">#REF!</definedName>
    <definedName name="mktid" localSheetId="4">#REF!</definedName>
    <definedName name="mktid">#REF!</definedName>
    <definedName name="MktPriceCell" localSheetId="4">#REF!</definedName>
    <definedName name="MktPriceCell">#REF!</definedName>
    <definedName name="MnL" localSheetId="4">#REF!</definedName>
    <definedName name="MnL">#REF!</definedName>
    <definedName name="ModelChoiceInt" localSheetId="4">#REF!</definedName>
    <definedName name="ModelChoiceInt">#REF!</definedName>
    <definedName name="ModelNameMod" localSheetId="4">#REF!</definedName>
    <definedName name="ModelNameMod">#REF!</definedName>
    <definedName name="ModifiedDuration" localSheetId="2">'[5]Bond Price with Excel'!#REF!</definedName>
    <definedName name="ModifiedDuration" localSheetId="3">'[5]Bond Price with Excel'!#REF!</definedName>
    <definedName name="ModifiedDuration" localSheetId="4">'[5]Bond Price with Excel'!#REF!</definedName>
    <definedName name="ModifiedDuration">'[5]Bond Price with Excel'!#REF!</definedName>
    <definedName name="MTA" localSheetId="4">#REF!</definedName>
    <definedName name="MTA">#REF!</definedName>
    <definedName name="MTA_A">#REF!</definedName>
    <definedName name="MTA_B">#REF!</definedName>
    <definedName name="MtM" localSheetId="4">#REF!</definedName>
    <definedName name="MtM">#REF!</definedName>
    <definedName name="MtM_A">#REF!</definedName>
    <definedName name="MtM_B">#REF!</definedName>
    <definedName name="Mu" localSheetId="1">Spreadsheet7.2!#REF!</definedName>
    <definedName name="Mu" localSheetId="2">Spreadsheet7.3!#REF!</definedName>
    <definedName name="Mu" localSheetId="3">Spreadsheet7.4!#REF!</definedName>
    <definedName name="Mu" localSheetId="4">Spreadsheet7.5!#REF!</definedName>
    <definedName name="Mu">Spreadsheet7.1!$C$11</definedName>
    <definedName name="mu1a">[4]TwoAssetsEfficientFrontier!$C$7</definedName>
    <definedName name="mu2a">[4]TwoAssetsEfficientFrontier!$C$8</definedName>
    <definedName name="Mult1">[1]EPEAllocation!$H$7</definedName>
    <definedName name="Mult2">[1]EPEAllocation!$I$7</definedName>
    <definedName name="Multiplier">[4]CoherentRiskMeasuresExample!$I$8</definedName>
    <definedName name="MxL" localSheetId="4">#REF!</definedName>
    <definedName name="MxL">#REF!</definedName>
    <definedName name="NAME" localSheetId="4">#REF!</definedName>
    <definedName name="NAME">#REF!</definedName>
    <definedName name="NameInDef" localSheetId="2">#REF!</definedName>
    <definedName name="NameInDef" localSheetId="3">#REF!</definedName>
    <definedName name="NameInDef" localSheetId="4">#REF!</definedName>
    <definedName name="NameInDef">#REF!</definedName>
    <definedName name="NbBond" localSheetId="4">#REF!</definedName>
    <definedName name="NbBond">#REF!</definedName>
    <definedName name="NbParam" localSheetId="4">#REF!</definedName>
    <definedName name="NbParam">#REF!</definedName>
    <definedName name="NbPoints" localSheetId="4">#REF!</definedName>
    <definedName name="NbPoints">#REF!</definedName>
    <definedName name="NewEstimate">[1]CDSStripper!$L$10</definedName>
    <definedName name="NextCouponDate">'[5]Bond Price with Excel'!$B$19</definedName>
    <definedName name="non_utilisation_relief" localSheetId="4">#REF!</definedName>
    <definedName name="non_utilisation_relief">#REF!</definedName>
    <definedName name="Notional" localSheetId="4">#REF!</definedName>
    <definedName name="Notional">#REF!</definedName>
    <definedName name="Notional_11" localSheetId="4">#REF!</definedName>
    <definedName name="Notional_11">#REF!</definedName>
    <definedName name="Notionals" localSheetId="4">#REF!</definedName>
    <definedName name="Notionals">#REF!</definedName>
    <definedName name="NUM_CURVES" localSheetId="4">#REF!</definedName>
    <definedName name="NUM_CURVES">#REF!</definedName>
    <definedName name="NUM_ISSUERS" localSheetId="4">#REF!</definedName>
    <definedName name="NUM_ISSUERS">#REF!</definedName>
    <definedName name="NUM_MAPPINGS" localSheetId="4">#REF!</definedName>
    <definedName name="NUM_MAPPINGS">#REF!</definedName>
    <definedName name="NUM_QUOTES" localSheetId="4">#REF!</definedName>
    <definedName name="NUM_QUOTES">#REF!</definedName>
    <definedName name="NumBonds" localSheetId="4">#REF!</definedName>
    <definedName name="NumBonds">#REF!</definedName>
    <definedName name="NumCalibInstruments" localSheetId="4">#REF!</definedName>
    <definedName name="NumCalibInstruments">#REF!</definedName>
    <definedName name="NumCalls">[2]CollateralExposureSimulation!$B$9</definedName>
    <definedName name="NumCoupons" localSheetId="4">#REF!</definedName>
    <definedName name="NumCoupons">#REF!</definedName>
    <definedName name="NumDeltas" localSheetId="4">#REF!</definedName>
    <definedName name="NumDeltas">#REF!</definedName>
    <definedName name="NumExercises" localSheetId="4">#REF!</definedName>
    <definedName name="NumExercises">#REF!</definedName>
    <definedName name="NumFactors" localSheetId="4">#REF!</definedName>
    <definedName name="NumFactors">#REF!</definedName>
    <definedName name="NumFloatCoupons" localSheetId="4">#REF!</definedName>
    <definedName name="NumFloatCoupons">#REF!</definedName>
    <definedName name="NumInstruments" localSheetId="4">#REF!</definedName>
    <definedName name="NumInstruments">#REF!</definedName>
    <definedName name="NumLGMChoices" localSheetId="4">#REF!</definedName>
    <definedName name="NumLGMChoices">#REF!</definedName>
    <definedName name="NumMarketChoices" localSheetId="4">#REF!</definedName>
    <definedName name="NumMarketChoices">#REF!</definedName>
    <definedName name="NumNames">[1]Portfolio!$J$10</definedName>
    <definedName name="NumNames2" localSheetId="4">#REF!</definedName>
    <definedName name="NumNames2">#REF!</definedName>
    <definedName name="NumPremiums" localSheetId="4">#REF!</definedName>
    <definedName name="NumPremiums">#REF!</definedName>
    <definedName name="NumRatings" localSheetId="4">#REF!</definedName>
    <definedName name="NumRatings">#REF!</definedName>
    <definedName name="NumRefRateChoices" localSheetId="4">#REF!</definedName>
    <definedName name="NumRefRateChoices">#REF!</definedName>
    <definedName name="NumReqTnors" localSheetId="4">#REF!</definedName>
    <definedName name="NumReqTnors">#REF!</definedName>
    <definedName name="NumSims" localSheetId="4">#REF!</definedName>
    <definedName name="NumSims">#REF!</definedName>
    <definedName name="NumSteps">[3]TreePricer!$C$10</definedName>
    <definedName name="NumTenors" localSheetId="4">#REF!</definedName>
    <definedName name="NumTenors">#REF!</definedName>
    <definedName name="NumTranches" localSheetId="4">#REF!</definedName>
    <definedName name="NumTranches">#REF!</definedName>
    <definedName name="NumUnderlyings" localSheetId="4">#REF!</definedName>
    <definedName name="NumUnderlyings">#REF!</definedName>
    <definedName name="Obligor_Group" localSheetId="4">#REF!</definedName>
    <definedName name="Obligor_Group">#REF!</definedName>
    <definedName name="Obligor_Location" localSheetId="4">#REF!</definedName>
    <definedName name="Obligor_Location">#REF!</definedName>
    <definedName name="Obligor_Name" localSheetId="4">#REF!</definedName>
    <definedName name="Obligor_Name">#REF!</definedName>
    <definedName name="OFFER" localSheetId="4">#REF!</definedName>
    <definedName name="OFFER">#REF!</definedName>
    <definedName name="OptComp" localSheetId="2">#REF!</definedName>
    <definedName name="OptComp" localSheetId="3">#REF!</definedName>
    <definedName name="OptComp" localSheetId="4">#REF!</definedName>
    <definedName name="OptComp">#REF!</definedName>
    <definedName name="OptionData">[3]OptionPriceTree!$A$1</definedName>
    <definedName name="OptionDelta" localSheetId="4">#REF!</definedName>
    <definedName name="OptionDelta">#REF!</definedName>
    <definedName name="OptionDeltaApprox" localSheetId="4">#REF!</definedName>
    <definedName name="OptionDeltaApprox">#REF!</definedName>
    <definedName name="OptionImpVol" localSheetId="4">#REF!</definedName>
    <definedName name="OptionImpVol">#REF!</definedName>
    <definedName name="OptionIR" localSheetId="4">#REF!</definedName>
    <definedName name="OptionIR">#REF!</definedName>
    <definedName name="OptionMaturity" localSheetId="4">#REF!</definedName>
    <definedName name="OptionMaturity">#REF!</definedName>
    <definedName name="OptionPayoff">[3]TreePricer!$C$9</definedName>
    <definedName name="OptionPrem" localSheetId="4">#REF!</definedName>
    <definedName name="OptionPrem">#REF!</definedName>
    <definedName name="OptionPrice">[3]TreePricer!$C$22</definedName>
    <definedName name="OptionPVMC" localSheetId="4">#REF!</definedName>
    <definedName name="OptionPVMC">#REF!</definedName>
    <definedName name="OptionSpot" localSheetId="4">#REF!</definedName>
    <definedName name="OptionSpot">#REF!</definedName>
    <definedName name="OptionStrike" localSheetId="4">#REF!</definedName>
    <definedName name="OptionStrike">#REF!</definedName>
    <definedName name="OptionType" localSheetId="4">#REF!</definedName>
    <definedName name="OptionType">#REF!</definedName>
    <definedName name="OptionTypeCell" localSheetId="4">#REF!</definedName>
    <definedName name="OptionTypeCell">#REF!</definedName>
    <definedName name="OptionValue" localSheetId="4">#REF!</definedName>
    <definedName name="OptionValue">#REF!</definedName>
    <definedName name="Original_Obl_Loc" localSheetId="4">#REF!</definedName>
    <definedName name="Original_Obl_Loc">#REF!</definedName>
    <definedName name="OtherLTLiab" localSheetId="4">#REF!</definedName>
    <definedName name="OtherLTLiab">#REF!</definedName>
    <definedName name="OtherSTLIab" localSheetId="4">#REF!</definedName>
    <definedName name="OtherSTLIab">#REF!</definedName>
    <definedName name="Output">'[1]Impact of PV'!$B$25</definedName>
    <definedName name="OutputGI" localSheetId="4">#REF!</definedName>
    <definedName name="OutputGI">#REF!</definedName>
    <definedName name="OverwriteBaseCorrel" localSheetId="4">#REF!</definedName>
    <definedName name="OverwriteBaseCorrel">#REF!</definedName>
    <definedName name="Param" localSheetId="2">[6]MonteCarlo!#REF!</definedName>
    <definedName name="Param" localSheetId="3">[6]MonteCarlo!#REF!</definedName>
    <definedName name="Param" localSheetId="4">[6]MonteCarlo!#REF!</definedName>
    <definedName name="Param">[6]MonteCarlo!#REF!</definedName>
    <definedName name="Param1" localSheetId="2">[6]MonteCarlo!#REF!</definedName>
    <definedName name="Param1" localSheetId="3">[6]MonteCarlo!#REF!</definedName>
    <definedName name="Param1" localSheetId="4">[6]MonteCarlo!#REF!</definedName>
    <definedName name="Param1">[6]MonteCarlo!#REF!</definedName>
    <definedName name="Param2" localSheetId="2">#REF!</definedName>
    <definedName name="Param2" localSheetId="3">#REF!</definedName>
    <definedName name="Param2" localSheetId="4">#REF!</definedName>
    <definedName name="Param2">#REF!</definedName>
    <definedName name="PASSWORD" localSheetId="4">#REF!</definedName>
    <definedName name="PASSWORD">#REF!</definedName>
    <definedName name="PayDateCell" localSheetId="4">#REF!</definedName>
    <definedName name="PayDateCell">#REF!</definedName>
    <definedName name="PayoffRef" localSheetId="4">#REF!</definedName>
    <definedName name="PayoffRef">#REF!</definedName>
    <definedName name="Payoffs" localSheetId="4">OFFSET(#REF!,0,0,#REF!,1)</definedName>
    <definedName name="Payoffs">OFFSET(#REF!,0,0,#REF!,1)</definedName>
    <definedName name="Percentile">[4]CoherentRiskMeasuresExample!$I$9</definedName>
    <definedName name="PercPriceImpact">[2]LiquidationTimescale!$D$19</definedName>
    <definedName name="PFE" localSheetId="1">Spreadsheet7.2!#REF!</definedName>
    <definedName name="PFE" localSheetId="2">Spreadsheet7.3!#REF!</definedName>
    <definedName name="PFE" localSheetId="3">Spreadsheet7.4!#REF!</definedName>
    <definedName name="PFE" localSheetId="4">Spreadsheet7.5!#REF!</definedName>
    <definedName name="PFE">Spreadsheet7.1!$C$17</definedName>
    <definedName name="Points">[7]SimpleIntegration!$C$4</definedName>
    <definedName name="PortExpLoss" localSheetId="4">#REF!</definedName>
    <definedName name="PortExpLoss">#REF!</definedName>
    <definedName name="PortfolioMTM">[1]CollateralMarginCall!$C$6</definedName>
    <definedName name="Positions" localSheetId="4">#REF!</definedName>
    <definedName name="Positions">#REF!</definedName>
    <definedName name="PostInterval">[1]CollateralMarginCall!$G$7</definedName>
    <definedName name="PreferredEquity" localSheetId="4">#REF!</definedName>
    <definedName name="PreferredEquity">#REF!</definedName>
    <definedName name="Prem1" localSheetId="4">#REF!</definedName>
    <definedName name="Prem1">#REF!</definedName>
    <definedName name="Prem2" localSheetId="4">#REF!</definedName>
    <definedName name="Prem2">#REF!</definedName>
    <definedName name="PremComp" localSheetId="2">#REF!</definedName>
    <definedName name="PremComp" localSheetId="3">#REF!</definedName>
    <definedName name="PremComp" localSheetId="4">#REF!</definedName>
    <definedName name="PremComp">#REF!</definedName>
    <definedName name="Premium" localSheetId="4">#REF!</definedName>
    <definedName name="Premium">#REF!</definedName>
    <definedName name="PremiumDateCell" localSheetId="4">#REF!</definedName>
    <definedName name="PremiumDateCell">#REF!</definedName>
    <definedName name="PremiumModel" localSheetId="4">#REF!</definedName>
    <definedName name="PremiumModel">#REF!</definedName>
    <definedName name="PremiumPaid" localSheetId="4">#REF!</definedName>
    <definedName name="PremiumPaid">#REF!</definedName>
    <definedName name="PremiumPaid2" localSheetId="4">#REF!</definedName>
    <definedName name="PremiumPaid2">#REF!</definedName>
    <definedName name="PremiumStart" localSheetId="4">#REF!</definedName>
    <definedName name="PremiumStart">#REF!</definedName>
    <definedName name="PremLeg2" localSheetId="4">#REF!</definedName>
    <definedName name="PremLeg2">#REF!</definedName>
    <definedName name="Price">[5]YieldExample!$C$2</definedName>
    <definedName name="PrincingError" localSheetId="4">#REF!</definedName>
    <definedName name="PrincingError">#REF!</definedName>
    <definedName name="Prob">[4]BinomialVsNormal!$C$6</definedName>
    <definedName name="ProductType" localSheetId="2">#REF!</definedName>
    <definedName name="ProductType" localSheetId="3">#REF!</definedName>
    <definedName name="ProductType" localSheetId="4">#REF!</definedName>
    <definedName name="ProductType">#REF!</definedName>
    <definedName name="PVDef" localSheetId="4">#REF!</definedName>
    <definedName name="PVDef">#REF!</definedName>
    <definedName name="PVDef2" localSheetId="4">#REF!</definedName>
    <definedName name="PVDef2">#REF!</definedName>
    <definedName name="PVPrem" localSheetId="4">#REF!</definedName>
    <definedName name="PVPrem">#REF!</definedName>
    <definedName name="PVPrem2" localSheetId="4">#REF!</definedName>
    <definedName name="PVPrem2">#REF!</definedName>
    <definedName name="Quantile" localSheetId="4">#REF!</definedName>
    <definedName name="Quantile">#REF!</definedName>
    <definedName name="QuantoMkt" localSheetId="4">#REF!</definedName>
    <definedName name="QuantoMkt">#REF!</definedName>
    <definedName name="RandomNumberRange" localSheetId="4">#REF!</definedName>
    <definedName name="RandomNumberRange">#REF!</definedName>
    <definedName name="RandomNumbers" localSheetId="4">#REF!</definedName>
    <definedName name="RandomNumbers">#REF!</definedName>
    <definedName name="RanNums">[16]RandomNumbers!$B$4</definedName>
    <definedName name="RanNums2">[16]RandomNumbers!$H$4</definedName>
    <definedName name="rate">'[14]Class Problems'!$H$39</definedName>
    <definedName name="Rate2" localSheetId="4">#REF!</definedName>
    <definedName name="Rate2">#REF!</definedName>
    <definedName name="Rating" localSheetId="4">#REF!</definedName>
    <definedName name="Rating">#REF!</definedName>
    <definedName name="Rating_11" localSheetId="2">#REF!</definedName>
    <definedName name="Rating_11" localSheetId="3">#REF!</definedName>
    <definedName name="Rating_11" localSheetId="4">#REF!</definedName>
    <definedName name="Rating_11">#REF!</definedName>
    <definedName name="RatingT1" localSheetId="4">#REF!</definedName>
    <definedName name="RatingT1">#REF!</definedName>
    <definedName name="RatingT2" localSheetId="4">#REF!</definedName>
    <definedName name="RatingT2">#REF!</definedName>
    <definedName name="RatingT3" localSheetId="4">#REF!</definedName>
    <definedName name="RatingT3">#REF!</definedName>
    <definedName name="RatingTable" localSheetId="4">#REF!</definedName>
    <definedName name="RatingTable">#REF!</definedName>
    <definedName name="RBasis" localSheetId="2">#REF!</definedName>
    <definedName name="RBasis" localSheetId="3">#REF!</definedName>
    <definedName name="RBasis" localSheetId="4">#REF!</definedName>
    <definedName name="RBasis">#REF!</definedName>
    <definedName name="RBondStrike" localSheetId="2">#REF!</definedName>
    <definedName name="RBondStrike" localSheetId="3">#REF!</definedName>
    <definedName name="RBondStrike" localSheetId="4">#REF!</definedName>
    <definedName name="RBondStrike">#REF!</definedName>
    <definedName name="RCalibWeight" localSheetId="2">#REF!</definedName>
    <definedName name="RCalibWeight" localSheetId="3">#REF!</definedName>
    <definedName name="RCalibWeight" localSheetId="4">#REF!</definedName>
    <definedName name="RCalibWeight">#REF!</definedName>
    <definedName name="Rec">Spreadsheet7.4!$C$11</definedName>
    <definedName name="Recovery">[1]CDSCntrptyRisk!$C$10</definedName>
    <definedName name="Recovery_Pricing" localSheetId="4">#REF!</definedName>
    <definedName name="Recovery_Pricing">#REF!</definedName>
    <definedName name="Recovery_Stripping" localSheetId="4">#REF!</definedName>
    <definedName name="Recovery_Stripping">#REF!</definedName>
    <definedName name="Recovery2" localSheetId="4">#REF!</definedName>
    <definedName name="Recovery2">#REF!</definedName>
    <definedName name="RecoveryPercent">[9]Merton!$C$24</definedName>
    <definedName name="recovrate" localSheetId="4">#REF!</definedName>
    <definedName name="recovrate">#REF!</definedName>
    <definedName name="RecovRate_11" localSheetId="4">#REF!</definedName>
    <definedName name="RecovRate_11">#REF!</definedName>
    <definedName name="RecPayCell" localSheetId="4">#REF!</definedName>
    <definedName name="RecPayCell">#REF!</definedName>
    <definedName name="RecRate">[10]IndexBasis!$I$7</definedName>
    <definedName name="Redemption">'[5]Bond Price with Excel'!$B$58</definedName>
    <definedName name="ref_currency" localSheetId="4">#REF!</definedName>
    <definedName name="ref_currency">#REF!</definedName>
    <definedName name="RefDefProb">[1]CDSCntrptyRisk!$C$13</definedName>
    <definedName name="RefRate" localSheetId="4">#REF!</definedName>
    <definedName name="RefRate">#REF!</definedName>
    <definedName name="RefRateCell" localSheetId="4">#REF!</definedName>
    <definedName name="RefRateCell">#REF!</definedName>
    <definedName name="RefRateChoiceCell" localSheetId="4">#REF!</definedName>
    <definedName name="RefRateChoiceCell">#REF!</definedName>
    <definedName name="RefRec" localSheetId="4">#REF!</definedName>
    <definedName name="RefRec">#REF!</definedName>
    <definedName name="Region" localSheetId="4">#REF!</definedName>
    <definedName name="Region">#REF!</definedName>
    <definedName name="repoCurve" localSheetId="4">#REF!</definedName>
    <definedName name="repoCurve">#REF!</definedName>
    <definedName name="ReqCorrMat" localSheetId="4">#REF!</definedName>
    <definedName name="ReqCorrMat">#REF!</definedName>
    <definedName name="RescaleEL" localSheetId="2">#REF!</definedName>
    <definedName name="RescaleEL" localSheetId="3">#REF!</definedName>
    <definedName name="RescaleEL" localSheetId="4">#REF!</definedName>
    <definedName name="RescaleEL">#REF!</definedName>
    <definedName name="RescaleRatio" localSheetId="2">#REF!</definedName>
    <definedName name="RescaleRatio" localSheetId="3">#REF!</definedName>
    <definedName name="RescaleRatio" localSheetId="4">#REF!</definedName>
    <definedName name="RescaleRatio">#REF!</definedName>
    <definedName name="Reserve" localSheetId="4">#REF!</definedName>
    <definedName name="Reserve">#REF!</definedName>
    <definedName name="result_11" localSheetId="4">#REF!</definedName>
    <definedName name="result_11">#REF!</definedName>
    <definedName name="Result1">[1]CVA!$J$6</definedName>
    <definedName name="Result2">[1]CVA!$K$6</definedName>
    <definedName name="Results" localSheetId="4">#REF!</definedName>
    <definedName name="Results">#REF!</definedName>
    <definedName name="RetPV" localSheetId="4">#REF!</definedName>
    <definedName name="RetPV">#REF!</definedName>
    <definedName name="RetPV2" localSheetId="4">#REF!</definedName>
    <definedName name="RetPV2">#REF!</definedName>
    <definedName name="Return" localSheetId="4">#REF!</definedName>
    <definedName name="Return">#REF!</definedName>
    <definedName name="RExerFrontierBounds" localSheetId="2">OFFSET([0]!ExerRatesBoundsTopCell,0,0,[0]!NumExercises,1)</definedName>
    <definedName name="RExerFrontierBounds" localSheetId="3">OFFSET([0]!ExerRatesBoundsTopCell,0,0,[0]!NumExercises,1)</definedName>
    <definedName name="RExerFrontierBounds" localSheetId="4">OFFSET([0]!ExerRatesBoundsTopCell,0,0,Spreadsheet7.5!NumExercises,1)</definedName>
    <definedName name="RExerFrontierBounds">OFFSET([0]!ExerRatesBoundsTopCell,0,0,[0]!NumExercises,1)</definedName>
    <definedName name="RFwdVols" localSheetId="2">OFFSET([0]!FwdVolRangeTopCell,0,0,[0]!NumExercises,[0]!NumExercises)</definedName>
    <definedName name="RFwdVols" localSheetId="3">OFFSET([0]!FwdVolRangeTopCell,0,0,[0]!NumExercises,[0]!NumExercises)</definedName>
    <definedName name="RFwdVols" localSheetId="4">OFFSET([0]!FwdVolRangeTopCell,0,0,Spreadsheet7.5!NumExercises,Spreadsheet7.5!NumExercises)</definedName>
    <definedName name="RFwdVols">OFFSET([0]!FwdVolRangeTopCell,0,0,[0]!NumExercises,[0]!NumExercises)</definedName>
    <definedName name="rho" localSheetId="4">#REF!</definedName>
    <definedName name="rho">#REF!</definedName>
    <definedName name="Rhos" localSheetId="4">#REF!</definedName>
    <definedName name="Rhos">#REF!</definedName>
    <definedName name="RhoTerm" localSheetId="4">#REF!</definedName>
    <definedName name="RhoTerm">#REF!</definedName>
    <definedName name="RISKY_MARKET" localSheetId="4">#REF!</definedName>
    <definedName name="RISKY_MARKET">#REF!</definedName>
    <definedName name="RiskyInsDef" localSheetId="4">#REF!</definedName>
    <definedName name="RiskyInsDef">#REF!</definedName>
    <definedName name="RiskyInsParRate" localSheetId="4">#REF!</definedName>
    <definedName name="RiskyInsParRate">#REF!</definedName>
    <definedName name="RiskyInsPrem" localSheetId="2">#REF!</definedName>
    <definedName name="RiskyInsPrem" localSheetId="3">#REF!</definedName>
    <definedName name="RiskyInsPrem" localSheetId="4">#REF!</definedName>
    <definedName name="RiskyInsPrem">#REF!</definedName>
    <definedName name="RiskyInsPV" localSheetId="2">#REF!</definedName>
    <definedName name="RiskyInsPV" localSheetId="3">#REF!</definedName>
    <definedName name="RiskyInsPV" localSheetId="4">#REF!</definedName>
    <definedName name="RiskyInsPV">#REF!</definedName>
    <definedName name="RiskyLevel" localSheetId="2">#REF!</definedName>
    <definedName name="RiskyLevel" localSheetId="3">#REF!</definedName>
    <definedName name="RiskyLevel" localSheetId="4">#REF!</definedName>
    <definedName name="RiskyLevel">#REF!</definedName>
    <definedName name="RiskyLevels" localSheetId="4">#REF!</definedName>
    <definedName name="RiskyLevels">#REF!</definedName>
    <definedName name="RiskyMarket" localSheetId="4">#REF!</definedName>
    <definedName name="RiskyMarket">#REF!</definedName>
    <definedName name="RL" localSheetId="4">#REF!</definedName>
    <definedName name="RL">#REF!</definedName>
    <definedName name="RLBaseTranche1" localSheetId="2">#REF!</definedName>
    <definedName name="RLBaseTranche1" localSheetId="3">#REF!</definedName>
    <definedName name="RLBaseTranche1" localSheetId="4">#REF!</definedName>
    <definedName name="RLBaseTranche1">#REF!</definedName>
    <definedName name="RLBaseTranche2" localSheetId="2">#REF!</definedName>
    <definedName name="RLBaseTranche2" localSheetId="3">#REF!</definedName>
    <definedName name="RLBaseTranche2" localSheetId="4">#REF!</definedName>
    <definedName name="RLBaseTranche2">#REF!</definedName>
    <definedName name="RLevel">[10]BlackModel!$D$10</definedName>
    <definedName name="RLevel2" localSheetId="4">#REF!</definedName>
    <definedName name="RLevel2">#REF!</definedName>
    <definedName name="Rounding">[1]CollateralMarginCall!$C$11</definedName>
    <definedName name="Rounding_A">#REF!</definedName>
    <definedName name="Rounding_B">#REF!</definedName>
    <definedName name="Rounding2">[2]CollateralCalculation!$D$17</definedName>
    <definedName name="sA">[5]MeanVariance!$O$17</definedName>
    <definedName name="sB">[5]MeanVariance!$O$18</definedName>
    <definedName name="sC">[5]MeanVariance!$O$19</definedName>
    <definedName name="ScenarioOutput" localSheetId="4">#REF!</definedName>
    <definedName name="ScenarioOutput">#REF!</definedName>
    <definedName name="Scenarios" localSheetId="4">#REF!</definedName>
    <definedName name="Scenarios">#REF!</definedName>
    <definedName name="sD">[5]MeanVariance!$O$20</definedName>
    <definedName name="secondcurrency" localSheetId="4">#REF!</definedName>
    <definedName name="secondcurrency">#REF!</definedName>
    <definedName name="Seed">[1]MonteCarlo!$C$9</definedName>
    <definedName name="Seed2">[1]CollateralMarginCall!$G$8</definedName>
    <definedName name="SET_DATE" localSheetId="4">#REF!</definedName>
    <definedName name="SET_DATE">#REF!</definedName>
    <definedName name="SettleDate">'[5]Bond Price with Excel'!$B$14</definedName>
    <definedName name="SharesOutstanding" localSheetId="4">#REF!</definedName>
    <definedName name="SharesOutstanding">#REF!</definedName>
    <definedName name="ShiftAmount" localSheetId="4">#REF!</definedName>
    <definedName name="ShiftAmount">#REF!</definedName>
    <definedName name="ShowPath">[2]CollateralExposureSimulation!$E$21</definedName>
    <definedName name="ShowPaths">[3]TreePricer!$C$11</definedName>
    <definedName name="Sigma" localSheetId="1">Spreadsheet7.2!#REF!</definedName>
    <definedName name="Sigma" localSheetId="2">Spreadsheet7.3!#REF!</definedName>
    <definedName name="Sigma" localSheetId="3">Spreadsheet7.4!#REF!</definedName>
    <definedName name="Sigma" localSheetId="4">Spreadsheet7.5!#REF!</definedName>
    <definedName name="Sigma">Spreadsheet7.1!$C$12</definedName>
    <definedName name="sigma1" localSheetId="4">#REF!</definedName>
    <definedName name="sigma1">#REF!</definedName>
    <definedName name="sigma2" localSheetId="4">#REF!</definedName>
    <definedName name="sigma2">#REF!</definedName>
    <definedName name="Sigma3" localSheetId="4">#REF!</definedName>
    <definedName name="Sigma3">#REF!</definedName>
    <definedName name="SigmaVector">[5]MeanVariance!$E$3:$E$6</definedName>
    <definedName name="SigmaVolume">[2]Liquidation!$D$14</definedName>
    <definedName name="Sims">[8]MonteCarlo!$F$4</definedName>
    <definedName name="SimulationResults">[3]HedgingSimulation!$R$4</definedName>
    <definedName name="Simulations" localSheetId="4">#REF!</definedName>
    <definedName name="Simulations">#REF!</definedName>
    <definedName name="SizeCouponSchedule" localSheetId="4">#REF!</definedName>
    <definedName name="SizeCouponSchedule">#REF!</definedName>
    <definedName name="SOURCE" localSheetId="4">#REF!</definedName>
    <definedName name="SOURCE">#REF!</definedName>
    <definedName name="SourceCell" localSheetId="4">#REF!</definedName>
    <definedName name="SourceCell">#REF!</definedName>
    <definedName name="SplinePointsa" localSheetId="4">#REF!</definedName>
    <definedName name="SplinePointsa">#REF!</definedName>
    <definedName name="Spot" localSheetId="4">#REF!</definedName>
    <definedName name="Spot">#REF!</definedName>
    <definedName name="Spread" localSheetId="4">#REF!</definedName>
    <definedName name="Spread">#REF!</definedName>
    <definedName name="SpreadAgent" localSheetId="2">[6]CVA!#REF!</definedName>
    <definedName name="SpreadAgent" localSheetId="3">[6]CVA!#REF!</definedName>
    <definedName name="SpreadAgent" localSheetId="4">[6]CVA!#REF!</definedName>
    <definedName name="SpreadAgent">[6]CVA!#REF!</definedName>
    <definedName name="SpreadCntrpty" localSheetId="2">[1]CVA!#REF!</definedName>
    <definedName name="SpreadCntrpty" localSheetId="3">[1]CVA!#REF!</definedName>
    <definedName name="SpreadCntrpty" localSheetId="4">[1]CVA!#REF!</definedName>
    <definedName name="SpreadCntrpty">[1]CVA!#REF!</definedName>
    <definedName name="SpreadLowerTranche" localSheetId="4">#REF!</definedName>
    <definedName name="SpreadLowerTranche">#REF!</definedName>
    <definedName name="SpreadMulti" localSheetId="2">#REF!</definedName>
    <definedName name="SpreadMulti" localSheetId="3">#REF!</definedName>
    <definedName name="SpreadMulti" localSheetId="4">#REF!</definedName>
    <definedName name="SpreadMulti">#REF!</definedName>
    <definedName name="SpreadRef">[1]CDSCntrptyRisk!$C$7</definedName>
    <definedName name="SpreadScenario" localSheetId="4">#REF!</definedName>
    <definedName name="SpreadScenario">#REF!</definedName>
    <definedName name="SpreadSys" localSheetId="2">[6]CVA!#REF!</definedName>
    <definedName name="SpreadSys" localSheetId="3">[6]CVA!#REF!</definedName>
    <definedName name="SpreadSys" localSheetId="4">[6]CVA!#REF!</definedName>
    <definedName name="SpreadSys">[6]CVA!#REF!</definedName>
    <definedName name="SpreadUpperTranche" localSheetId="4">#REF!</definedName>
    <definedName name="SpreadUpperTranche">#REF!</definedName>
    <definedName name="SpreadVol">Spreadsheet7.4!$C$13</definedName>
    <definedName name="SQrtTerm" localSheetId="4">#REF!</definedName>
    <definedName name="SQrtTerm">#REF!</definedName>
    <definedName name="Sstar">[9]CreditGrades!$C$6</definedName>
    <definedName name="start_date" localSheetId="4">#REF!</definedName>
    <definedName name="start_date">#REF!</definedName>
    <definedName name="StartCopyCell" localSheetId="4">#REF!</definedName>
    <definedName name="StartCopyCell">#REF!</definedName>
    <definedName name="StartCouponSchedule" localSheetId="4">#REF!</definedName>
    <definedName name="StartCouponSchedule">#REF!</definedName>
    <definedName name="Starting_Point" localSheetId="4">#REF!</definedName>
    <definedName name="Starting_Point">#REF!</definedName>
    <definedName name="STBorrowings" localSheetId="4">#REF!</definedName>
    <definedName name="STBorrowings">#REF!</definedName>
    <definedName name="StdDev" localSheetId="4">#REF!</definedName>
    <definedName name="StdDev">#REF!</definedName>
    <definedName name="StdDevExposure">[1]Netting!$D$9</definedName>
    <definedName name="StdDevMtM">[15]Spreadsheet3.1!$C$11</definedName>
    <definedName name="StdExposures">[1]Portfolio!$F$8</definedName>
    <definedName name="Steps">[8]MonteCarlo!$F$3</definedName>
    <definedName name="StepSize" localSheetId="4">#REF!</definedName>
    <definedName name="StepSize">#REF!</definedName>
    <definedName name="StepsPerHedge" localSheetId="2">#REF!</definedName>
    <definedName name="StepsPerHedge" localSheetId="3">#REF!</definedName>
    <definedName name="StepsPerHedge" localSheetId="4">#REF!</definedName>
    <definedName name="StepsPerHedge">#REF!</definedName>
    <definedName name="Stock">[4]OptionPricer!$C$7</definedName>
    <definedName name="StockData">[3]UnderlyingValueTree!$A$1</definedName>
    <definedName name="StockPrice">[2]Liquidation!$D$12</definedName>
    <definedName name="StockVol">[3]CreditGrades!$C$9</definedName>
    <definedName name="Strike" localSheetId="4">#REF!</definedName>
    <definedName name="Strike">#REF!</definedName>
    <definedName name="StrikeMC">[8]MonteCarlo!$C$4</definedName>
    <definedName name="SttDev" localSheetId="2">#REF!</definedName>
    <definedName name="SttDev" localSheetId="3">#REF!</definedName>
    <definedName name="SttDev" localSheetId="4">#REF!</definedName>
    <definedName name="SttDev">#REF!</definedName>
    <definedName name="Study_Period" localSheetId="4">#REF!</definedName>
    <definedName name="Study_Period">#REF!</definedName>
    <definedName name="SurvProb" localSheetId="2">[17]BlackModel!#REF!</definedName>
    <definedName name="SurvProb" localSheetId="3">[17]BlackModel!#REF!</definedName>
    <definedName name="SurvProb" localSheetId="4">[17]BlackModel!#REF!</definedName>
    <definedName name="SurvProb">[17]BlackModel!#REF!</definedName>
    <definedName name="SVol">[9]CreditGrades!$C$9</definedName>
    <definedName name="SwapChoices" localSheetId="4">#REF!</definedName>
    <definedName name="SwapChoices">#REF!</definedName>
    <definedName name="SwapChoices3" localSheetId="4">#REF!</definedName>
    <definedName name="SwapChoices3">#REF!</definedName>
    <definedName name="SwapPayments" localSheetId="4">#REF!</definedName>
    <definedName name="SwapPayments">#REF!</definedName>
    <definedName name="SwapType" localSheetId="4">#REF!</definedName>
    <definedName name="SwapType">#REF!</definedName>
    <definedName name="TargetReturn">[5]MeanVariance!$J$18</definedName>
    <definedName name="TargetSpread" localSheetId="4">#REF!</definedName>
    <definedName name="TargetSpread">#REF!</definedName>
    <definedName name="TargSpread" localSheetId="2">#REF!</definedName>
    <definedName name="TargSpread" localSheetId="3">#REF!</definedName>
    <definedName name="TargSpread" localSheetId="4">#REF!</definedName>
    <definedName name="TargSpread">#REF!</definedName>
    <definedName name="Tau" localSheetId="4">#REF!</definedName>
    <definedName name="Tau">#REF!</definedName>
    <definedName name="TENOR" localSheetId="4">#REF!</definedName>
    <definedName name="TENOR">#REF!</definedName>
    <definedName name="Tenors" localSheetId="4">#REF!</definedName>
    <definedName name="Tenors">#REF!</definedName>
    <definedName name="TenorToShift" localSheetId="4">#REF!</definedName>
    <definedName name="TenorToShift">#REF!</definedName>
    <definedName name="TenYearFactor" localSheetId="4">#REF!</definedName>
    <definedName name="TenYearFactor">#REF!</definedName>
    <definedName name="term" localSheetId="4">#REF!</definedName>
    <definedName name="term">#REF!</definedName>
    <definedName name="ThisMaturity" localSheetId="4">#REF!</definedName>
    <definedName name="ThisMaturity">#REF!</definedName>
    <definedName name="Threshold" localSheetId="4">#REF!</definedName>
    <definedName name="Threshold">#REF!</definedName>
    <definedName name="Threshold_A">#REF!</definedName>
    <definedName name="Threshold_B">#REF!</definedName>
    <definedName name="Threshold1" localSheetId="4">#REF!</definedName>
    <definedName name="Threshold1">#REF!</definedName>
    <definedName name="Threshold2">[1]CollateralMarginCall!$D$8</definedName>
    <definedName name="Threshold3" localSheetId="4">#REF!</definedName>
    <definedName name="Threshold3">#REF!</definedName>
    <definedName name="Threshold4" localSheetId="4">#REF!</definedName>
    <definedName name="Threshold4">#REF!</definedName>
    <definedName name="Threshold5" localSheetId="4">#REF!</definedName>
    <definedName name="Threshold5">#REF!</definedName>
    <definedName name="ThresholdInput" localSheetId="4">#REF!</definedName>
    <definedName name="ThresholdInput">#REF!</definedName>
    <definedName name="Thresholds">[1]Portfolio!$D$8</definedName>
    <definedName name="Ticker" localSheetId="4">#REF!</definedName>
    <definedName name="Ticker">#REF!</definedName>
    <definedName name="tier_one_ratio" localSheetId="4">#REF!</definedName>
    <definedName name="tier_one_ratio">#REF!</definedName>
    <definedName name="Time">[2]SimpleWrongWay!$C$15</definedName>
    <definedName name="Time2" localSheetId="4">#REF!</definedName>
    <definedName name="Time2">#REF!</definedName>
    <definedName name="TimeHorizon" localSheetId="4">#REF!</definedName>
    <definedName name="TimeHorizon">#REF!</definedName>
    <definedName name="TimeIntPoints" localSheetId="4">#REF!</definedName>
    <definedName name="TimeIntPoints">#REF!</definedName>
    <definedName name="timestep">[4]HedgingSimulation!$G$9</definedName>
    <definedName name="tmat" localSheetId="4">#REF!</definedName>
    <definedName name="tmat">#REF!</definedName>
    <definedName name="tmat2" localSheetId="4">#REF!</definedName>
    <definedName name="tmat2">#REF!</definedName>
    <definedName name="tmat3" localSheetId="4">#REF!</definedName>
    <definedName name="tmat3">#REF!</definedName>
    <definedName name="tmat4" localSheetId="4">#REF!</definedName>
    <definedName name="tmat4">#REF!</definedName>
    <definedName name="TMTopLeft" localSheetId="4">#REF!</definedName>
    <definedName name="TMTopLeft">#REF!</definedName>
    <definedName name="TODAY" localSheetId="4">#REF!</definedName>
    <definedName name="TODAY">#REF!</definedName>
    <definedName name="Total_Facilities" localSheetId="4">#REF!</definedName>
    <definedName name="Total_Facilities">#REF!</definedName>
    <definedName name="TotalCommonEquity" localSheetId="4">#REF!</definedName>
    <definedName name="TotalCommonEquity">#REF!</definedName>
    <definedName name="TotalExposure">[1]CollateralMarginCall!$C$12</definedName>
    <definedName name="TotalMargEPE">[1]EPEAllocation!$C$23</definedName>
    <definedName name="TotalNot" localSheetId="4">#REF!</definedName>
    <definedName name="TotalNot">#REF!</definedName>
    <definedName name="TotalPnL">[3]HedgingSimulation!$L$10</definedName>
    <definedName name="TotalPV" localSheetId="4">#REF!</definedName>
    <definedName name="TotalPV">#REF!</definedName>
    <definedName name="TotalRequiredCollateralisation2">[2]CollateralCalculation!$D$19</definedName>
    <definedName name="TotalRequiredCollaterlisation">[2]CollateralCalculation!$C$19</definedName>
    <definedName name="TotIssCurveRange" localSheetId="4">#REF!</definedName>
    <definedName name="TotIssCurveRange">#REF!</definedName>
    <definedName name="TotZeroCurveRange" localSheetId="4">#REF!</definedName>
    <definedName name="TotZeroCurveRange">#REF!</definedName>
    <definedName name="TrancheDefLeg" localSheetId="4">#REF!</definedName>
    <definedName name="TrancheDefLeg">#REF!</definedName>
    <definedName name="TrancheEL" localSheetId="2">#REF!</definedName>
    <definedName name="TrancheEL" localSheetId="3">#REF!</definedName>
    <definedName name="TrancheEL" localSheetId="4">#REF!</definedName>
    <definedName name="TrancheEL">#REF!</definedName>
    <definedName name="TrancheNot" localSheetId="4">#REF!</definedName>
    <definedName name="TrancheNot">#REF!</definedName>
    <definedName name="TrancheNotional" localSheetId="4">#REF!</definedName>
    <definedName name="TrancheNotional">#REF!</definedName>
    <definedName name="TranchePremiums" localSheetId="4">#REF!</definedName>
    <definedName name="TranchePremiums">#REF!</definedName>
    <definedName name="TranchePremLeg" localSheetId="4">#REF!</definedName>
    <definedName name="TranchePremLeg">#REF!</definedName>
    <definedName name="TrancheRL" localSheetId="4">#REF!</definedName>
    <definedName name="TrancheRL">#REF!</definedName>
    <definedName name="transaction_notional_Amont" localSheetId="4">#REF!</definedName>
    <definedName name="transaction_notional_Amont">#REF!</definedName>
    <definedName name="Transition_Matrix" localSheetId="4">#REF!</definedName>
    <definedName name="Transition_Matrix">#REF!</definedName>
    <definedName name="TreeStep" localSheetId="2">#REF!</definedName>
    <definedName name="TreeStep" localSheetId="3">#REF!</definedName>
    <definedName name="TreeStep" localSheetId="4">#REF!</definedName>
    <definedName name="TreeStep">#REF!</definedName>
    <definedName name="type" localSheetId="4">#REF!</definedName>
    <definedName name="type">#REF!</definedName>
    <definedName name="typeasset" localSheetId="4">#REF!</definedName>
    <definedName name="typeasset">#REF!</definedName>
    <definedName name="TypeChoices" localSheetId="4">#REF!</definedName>
    <definedName name="TypeChoices">#REF!</definedName>
    <definedName name="typeIndex" localSheetId="4">#REF!</definedName>
    <definedName name="typeIndex">#REF!</definedName>
    <definedName name="Typeofswap" localSheetId="4">#REF!</definedName>
    <definedName name="Typeofswap">#REF!</definedName>
    <definedName name="U1CMT" localSheetId="4">#REF!</definedName>
    <definedName name="U1CMT">#REF!</definedName>
    <definedName name="Uncertainty_of_Barrier" localSheetId="4">#REF!</definedName>
    <definedName name="Uncertainty_of_Barrier">#REF!</definedName>
    <definedName name="UnitVector">[5]MeanVariance!$L$3:$L$6</definedName>
    <definedName name="Unwind" localSheetId="4">#REF!</definedName>
    <definedName name="Unwind">#REF!</definedName>
    <definedName name="UnwindCost" localSheetId="4">#REF!</definedName>
    <definedName name="UnwindCost">#REF!</definedName>
    <definedName name="Upper">[7]SimpleIntegration!$C$3</definedName>
    <definedName name="UpperBaseTrancheAttach" localSheetId="4">#REF!</definedName>
    <definedName name="UpperBaseTrancheAttach">#REF!</definedName>
    <definedName name="UpperTrancheEURCorrel" localSheetId="2">#REF!</definedName>
    <definedName name="UpperTrancheEURCorrel" localSheetId="3">#REF!</definedName>
    <definedName name="UpperTrancheEURCorrel" localSheetId="4">#REF!</definedName>
    <definedName name="UpperTrancheEURCorrel">#REF!</definedName>
    <definedName name="UpperTrancheUSCorrel" localSheetId="2">#REF!</definedName>
    <definedName name="UpperTrancheUSCorrel" localSheetId="3">#REF!</definedName>
    <definedName name="UpperTrancheUSCorrel" localSheetId="4">#REF!</definedName>
    <definedName name="UpperTrancheUSCorrel">#REF!</definedName>
    <definedName name="UseCouponSchedule" localSheetId="4">#REF!</definedName>
    <definedName name="UseCouponSchedule">#REF!</definedName>
    <definedName name="UseMigrationLoss" localSheetId="4">#REF!</definedName>
    <definedName name="UseMigrationLoss">#REF!</definedName>
    <definedName name="USExpLoss" localSheetId="2">#REF!</definedName>
    <definedName name="USExpLoss" localSheetId="3">#REF!</definedName>
    <definedName name="USExpLoss" localSheetId="4">#REF!</definedName>
    <definedName name="USExpLoss">#REF!</definedName>
    <definedName name="Val1A" localSheetId="2">[6]CVA!#REF!</definedName>
    <definedName name="Val1A" localSheetId="3">[6]CVA!#REF!</definedName>
    <definedName name="Val1A" localSheetId="4">[6]CVA!#REF!</definedName>
    <definedName name="Val1A">[6]CVA!#REF!</definedName>
    <definedName name="Val2A">[1]CVA!$I$4</definedName>
    <definedName name="Val3A">[1]CVA!$I$5</definedName>
    <definedName name="ValueDate" localSheetId="4">#REF!</definedName>
    <definedName name="ValueDate">#REF!</definedName>
    <definedName name="VaR" localSheetId="4">#REF!</definedName>
    <definedName name="VaR">#REF!</definedName>
    <definedName name="Variables" localSheetId="4">#REF!</definedName>
    <definedName name="Variables">#REF!</definedName>
    <definedName name="Variance" localSheetId="4">#REF!</definedName>
    <definedName name="Variance">#REF!</definedName>
    <definedName name="VarianceBarrier" localSheetId="4">#REF!</definedName>
    <definedName name="VarianceBarrier">#REF!</definedName>
    <definedName name="vnot">'[14]Class Problems'!$G$39</definedName>
    <definedName name="Vol" localSheetId="4">#REF!</definedName>
    <definedName name="Vol">#REF!</definedName>
    <definedName name="Volatilities" localSheetId="4">#REF!</definedName>
    <definedName name="Volatilities">#REF!</definedName>
    <definedName name="Volatility">[2]LiquidationTimescale!$D$13</definedName>
    <definedName name="VolatilityOfPosition">[2]LiquidationTimescale!$D$24</definedName>
    <definedName name="VolCollateral">[2]CollateralandCorrelation!$C$13</definedName>
    <definedName name="volCurve" localSheetId="4">#REF!</definedName>
    <definedName name="volCurve">#REF!</definedName>
    <definedName name="volCurve2" localSheetId="4">#REF!</definedName>
    <definedName name="volCurve2">#REF!</definedName>
    <definedName name="VolExposure">[2]CollateralandCorrelation!$C$12</definedName>
    <definedName name="VolMC">[8]MonteCarlo!$C$7</definedName>
    <definedName name="VolSqrtDt">[8]MonteCarlo!$F$7</definedName>
    <definedName name="Volume" localSheetId="2">[2]Liquidation!#REF!</definedName>
    <definedName name="Volume" localSheetId="3">[2]Liquidation!#REF!</definedName>
    <definedName name="Volume" localSheetId="4">[2]Liquidation!#REF!</definedName>
    <definedName name="Volume">[2]Liquidation!#REF!</definedName>
    <definedName name="VolumeToLiquidate">[2]Liquidation!$D$13</definedName>
    <definedName name="WADP" localSheetId="4">#REF!</definedName>
    <definedName name="WADP">#REF!</definedName>
    <definedName name="WeBuyFrom" localSheetId="4">#REF!</definedName>
    <definedName name="WeBuyFrom">#REF!</definedName>
    <definedName name="WeightEUR" localSheetId="2">#REF!</definedName>
    <definedName name="WeightEUR" localSheetId="3">#REF!</definedName>
    <definedName name="WeightEUR" localSheetId="4">#REF!</definedName>
    <definedName name="WeightEUR">#REF!</definedName>
    <definedName name="Weights" localSheetId="4">#REF!</definedName>
    <definedName name="Weights">#REF!</definedName>
    <definedName name="WeightVector">[5]MeanVariance!$C$3:$C$6</definedName>
    <definedName name="WeightVector1">[5]MeanVariance!$G$18:$G$21</definedName>
    <definedName name="WeightVector2">[5]MeanVariance!$K$18:$K$21</definedName>
    <definedName name="WestMarket" localSheetId="4">#REF!</definedName>
    <definedName name="WestMarket">#REF!</definedName>
    <definedName name="Workbook" localSheetId="4">#REF!</definedName>
    <definedName name="Workbook">#REF!</definedName>
    <definedName name="Worksheet_List" localSheetId="4">#REF!</definedName>
    <definedName name="Worksheet_List">#REF!</definedName>
    <definedName name="X2OverS">[4]OptionPricer!$C$21</definedName>
    <definedName name="xx" localSheetId="4">#REF!</definedName>
    <definedName name="xx">#REF!</definedName>
    <definedName name="YearToMaturity">'[5]Bond Price with Excel'!$B$18</definedName>
    <definedName name="Yield">'[5]Bond Price with Excel'!$B$13</definedName>
    <definedName name="YieldCurveId" localSheetId="4">#REF!</definedName>
    <definedName name="YieldCurveId">#REF!</definedName>
    <definedName name="YieldCurveName" localSheetId="4">#REF!</definedName>
    <definedName name="YieldCurveName">#REF!</definedName>
    <definedName name="zeroCurve" localSheetId="4">#REF!</definedName>
    <definedName name="zeroCurve">#REF!</definedName>
    <definedName name="ZeroCurveRange" localSheetId="4">OFFSET(#REF!,1,0,#REF!,1)</definedName>
    <definedName name="ZeroCurveRange">OFFSET(#REF!,1,0,#REF!,1)</definedName>
  </definedNames>
  <calcPr calcId="152511" calcMode="manual" calcCompleted="0" calcOnSave="0"/>
</workbook>
</file>

<file path=xl/calcChain.xml><?xml version="1.0" encoding="utf-8"?>
<calcChain xmlns="http://schemas.openxmlformats.org/spreadsheetml/2006/main">
  <c r="F12" i="14" l="1"/>
  <c r="F13" i="14" l="1"/>
  <c r="F16" i="14"/>
  <c r="E16" i="14"/>
  <c r="G16" i="14" s="1"/>
  <c r="F15" i="14"/>
  <c r="E15" i="14"/>
  <c r="F14" i="14"/>
  <c r="E14" i="14"/>
  <c r="G14" i="14" s="1"/>
  <c r="E13" i="14"/>
  <c r="G13" i="14" s="1"/>
  <c r="F17" i="14"/>
  <c r="E12" i="14"/>
  <c r="E17" i="14" l="1"/>
  <c r="G12" i="14"/>
  <c r="G15" i="14"/>
  <c r="G17" i="14"/>
  <c r="E22" i="11"/>
  <c r="E21" i="11"/>
  <c r="E20" i="11"/>
  <c r="C20" i="11" l="1"/>
  <c r="C21" i="11"/>
  <c r="C22" i="11"/>
  <c r="B23" i="11" l="1"/>
  <c r="E23" i="11" s="1"/>
  <c r="B22" i="10"/>
  <c r="D16" i="10"/>
  <c r="E16" i="10" s="1"/>
  <c r="C16" i="10"/>
  <c r="C18" i="10"/>
  <c r="F11" i="1"/>
  <c r="G11" i="1"/>
  <c r="D17" i="10"/>
  <c r="D18" i="10"/>
  <c r="C17" i="10"/>
  <c r="E17" i="10" s="1"/>
  <c r="C19" i="10"/>
  <c r="D19" i="10"/>
  <c r="K11" i="1"/>
  <c r="K12" i="1"/>
  <c r="B13" i="5"/>
  <c r="B14" i="5"/>
  <c r="E12" i="5"/>
  <c r="E13" i="5"/>
  <c r="E14" i="5"/>
  <c r="D12" i="5"/>
  <c r="D13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C17" i="1"/>
  <c r="I11" i="1"/>
  <c r="C16" i="1"/>
  <c r="H12" i="1"/>
  <c r="H11" i="1"/>
  <c r="B15" i="5"/>
  <c r="D14" i="5"/>
  <c r="B16" i="5"/>
  <c r="D15" i="5"/>
  <c r="B17" i="5"/>
  <c r="D16" i="5"/>
  <c r="D17" i="5"/>
  <c r="B18" i="5"/>
  <c r="B19" i="5"/>
  <c r="D18" i="5"/>
  <c r="D19" i="5"/>
  <c r="B20" i="5"/>
  <c r="B21" i="5"/>
  <c r="D20" i="5"/>
  <c r="B22" i="5"/>
  <c r="D21" i="5"/>
  <c r="D22" i="5"/>
  <c r="B23" i="5"/>
  <c r="B24" i="5"/>
  <c r="D23" i="5"/>
  <c r="B25" i="5"/>
  <c r="D24" i="5"/>
  <c r="B26" i="5"/>
  <c r="D25" i="5"/>
  <c r="B27" i="5"/>
  <c r="D26" i="5"/>
  <c r="D27" i="5"/>
  <c r="B28" i="5"/>
  <c r="D28" i="5"/>
  <c r="B29" i="5"/>
  <c r="D29" i="5"/>
  <c r="B30" i="5"/>
  <c r="D30" i="5"/>
  <c r="B31" i="5"/>
  <c r="B32" i="5"/>
  <c r="D31" i="5"/>
  <c r="D32" i="5"/>
  <c r="B33" i="5"/>
  <c r="D33" i="5"/>
  <c r="B34" i="5"/>
  <c r="D34" i="5"/>
  <c r="B35" i="5"/>
  <c r="D35" i="5"/>
  <c r="B36" i="5"/>
  <c r="D36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C20" i="10"/>
  <c r="D20" i="10"/>
  <c r="E20" i="10" s="1"/>
  <c r="F12" i="1"/>
  <c r="G12" i="1"/>
  <c r="C21" i="10"/>
  <c r="E21" i="10" s="1"/>
  <c r="D21" i="10"/>
  <c r="C22" i="10"/>
  <c r="E22" i="10" s="1"/>
  <c r="D22" i="10"/>
  <c r="B23" i="10"/>
  <c r="C23" i="10" s="1"/>
  <c r="D23" i="10"/>
  <c r="I12" i="1"/>
  <c r="F13" i="1"/>
  <c r="F14" i="1"/>
  <c r="G13" i="1"/>
  <c r="F15" i="1"/>
  <c r="G14" i="1"/>
  <c r="G15" i="1"/>
  <c r="F16" i="1"/>
  <c r="G16" i="1"/>
  <c r="F17" i="1"/>
  <c r="F18" i="1"/>
  <c r="G17" i="1"/>
  <c r="G18" i="1"/>
  <c r="F19" i="1"/>
  <c r="F20" i="1"/>
  <c r="G19" i="1"/>
  <c r="G20" i="1"/>
  <c r="F21" i="1"/>
  <c r="G21" i="1"/>
  <c r="F22" i="1"/>
  <c r="G22" i="1"/>
  <c r="F23" i="1"/>
  <c r="G23" i="1"/>
  <c r="F24" i="1"/>
  <c r="G24" i="1"/>
  <c r="F25" i="1"/>
  <c r="G25" i="1"/>
  <c r="F26" i="1"/>
  <c r="G26" i="1"/>
  <c r="F27" i="1"/>
  <c r="F28" i="1"/>
  <c r="G27" i="1"/>
  <c r="G28" i="1"/>
  <c r="F29" i="1"/>
  <c r="G29" i="1"/>
  <c r="F30" i="1"/>
  <c r="F31" i="1"/>
  <c r="G30" i="1"/>
  <c r="G31" i="1"/>
  <c r="F32" i="1"/>
  <c r="F33" i="1"/>
  <c r="G32" i="1"/>
  <c r="F34" i="1"/>
  <c r="G33" i="1"/>
  <c r="F35" i="1"/>
  <c r="G34" i="1"/>
  <c r="F36" i="1"/>
  <c r="G35" i="1"/>
  <c r="F37" i="1"/>
  <c r="G36" i="1"/>
  <c r="G37" i="1"/>
  <c r="F38" i="1"/>
  <c r="G38" i="1"/>
  <c r="F39" i="1"/>
  <c r="G39" i="1"/>
  <c r="F40" i="1"/>
  <c r="F41" i="1"/>
  <c r="G40" i="1"/>
  <c r="F42" i="1"/>
  <c r="G41" i="1"/>
  <c r="F43" i="1"/>
  <c r="G42" i="1"/>
  <c r="G43" i="1"/>
  <c r="F44" i="1"/>
  <c r="F45" i="1"/>
  <c r="G44" i="1"/>
  <c r="F46" i="1"/>
  <c r="G45" i="1"/>
  <c r="F47" i="1"/>
  <c r="G46" i="1"/>
  <c r="G47" i="1"/>
  <c r="F48" i="1"/>
  <c r="F49" i="1"/>
  <c r="G48" i="1"/>
  <c r="G49" i="1"/>
  <c r="F50" i="1"/>
  <c r="G50" i="1"/>
  <c r="F51" i="1"/>
  <c r="F52" i="1"/>
  <c r="G51" i="1"/>
  <c r="G52" i="1"/>
  <c r="F53" i="1"/>
  <c r="F54" i="1"/>
  <c r="G53" i="1"/>
  <c r="F55" i="1"/>
  <c r="G54" i="1"/>
  <c r="F56" i="1"/>
  <c r="G55" i="1"/>
  <c r="G56" i="1"/>
  <c r="F57" i="1"/>
  <c r="F58" i="1"/>
  <c r="G57" i="1"/>
  <c r="G58" i="1"/>
  <c r="F59" i="1"/>
  <c r="G59" i="1"/>
  <c r="F60" i="1"/>
  <c r="F61" i="1"/>
  <c r="G60" i="1"/>
  <c r="F62" i="1"/>
  <c r="G61" i="1"/>
  <c r="G62" i="1"/>
  <c r="F63" i="1"/>
  <c r="F64" i="1"/>
  <c r="G63" i="1"/>
  <c r="G64" i="1"/>
  <c r="F65" i="1"/>
  <c r="G65" i="1"/>
  <c r="F66" i="1"/>
  <c r="F67" i="1"/>
  <c r="G66" i="1"/>
  <c r="F68" i="1"/>
  <c r="G67" i="1"/>
  <c r="G68" i="1"/>
  <c r="F69" i="1"/>
  <c r="F70" i="1"/>
  <c r="G69" i="1"/>
  <c r="F71" i="1"/>
  <c r="G70" i="1"/>
  <c r="G71" i="1"/>
  <c r="F72" i="1"/>
  <c r="G72" i="1"/>
  <c r="F73" i="1"/>
  <c r="F74" i="1"/>
  <c r="G73" i="1"/>
  <c r="G74" i="1"/>
  <c r="F75" i="1"/>
  <c r="G75" i="1"/>
  <c r="F76" i="1"/>
  <c r="F77" i="1"/>
  <c r="G76" i="1"/>
  <c r="F78" i="1"/>
  <c r="G77" i="1"/>
  <c r="G78" i="1"/>
  <c r="F79" i="1"/>
  <c r="F80" i="1"/>
  <c r="G79" i="1"/>
  <c r="F81" i="1"/>
  <c r="G80" i="1"/>
  <c r="F82" i="1"/>
  <c r="G81" i="1"/>
  <c r="G82" i="1"/>
  <c r="F83" i="1"/>
  <c r="G83" i="1"/>
  <c r="F84" i="1"/>
  <c r="F85" i="1"/>
  <c r="G84" i="1"/>
  <c r="F86" i="1"/>
  <c r="G85" i="1"/>
  <c r="F87" i="1"/>
  <c r="G86" i="1"/>
  <c r="G87" i="1"/>
  <c r="F88" i="1"/>
  <c r="G88" i="1"/>
  <c r="F89" i="1"/>
  <c r="F90" i="1"/>
  <c r="G89" i="1"/>
  <c r="F91" i="1"/>
  <c r="G90" i="1"/>
  <c r="F92" i="1"/>
  <c r="G91" i="1"/>
  <c r="F93" i="1"/>
  <c r="G92" i="1"/>
  <c r="G93" i="1"/>
  <c r="F94" i="1"/>
  <c r="G94" i="1"/>
  <c r="F95" i="1"/>
  <c r="F96" i="1"/>
  <c r="G96" i="1"/>
  <c r="J12" i="1"/>
  <c r="G95" i="1"/>
  <c r="D20" i="11" l="1"/>
  <c r="D21" i="11"/>
  <c r="B24" i="11"/>
  <c r="E24" i="11" s="1"/>
  <c r="C23" i="11"/>
  <c r="D22" i="11"/>
  <c r="D23" i="11"/>
  <c r="B24" i="10"/>
  <c r="E19" i="10"/>
  <c r="E18" i="10"/>
  <c r="E23" i="10"/>
  <c r="F22" i="11" l="1"/>
  <c r="F20" i="11"/>
  <c r="G20" i="11"/>
  <c r="G21" i="11"/>
  <c r="F21" i="11"/>
  <c r="G23" i="11"/>
  <c r="F23" i="11"/>
  <c r="G22" i="11"/>
  <c r="B25" i="11"/>
  <c r="E25" i="11" s="1"/>
  <c r="C24" i="11"/>
  <c r="D24" i="11"/>
  <c r="B25" i="10"/>
  <c r="C24" i="10"/>
  <c r="E24" i="10" s="1"/>
  <c r="D24" i="10"/>
  <c r="F24" i="11" l="1"/>
  <c r="G24" i="11"/>
  <c r="D25" i="11"/>
  <c r="B26" i="11"/>
  <c r="C25" i="11"/>
  <c r="B26" i="10"/>
  <c r="D25" i="10"/>
  <c r="C25" i="10"/>
  <c r="G25" i="11" l="1"/>
  <c r="F25" i="11"/>
  <c r="B27" i="11"/>
  <c r="E27" i="11" s="1"/>
  <c r="E26" i="11"/>
  <c r="D26" i="11"/>
  <c r="C26" i="11"/>
  <c r="D26" i="10"/>
  <c r="B27" i="10"/>
  <c r="C26" i="10"/>
  <c r="E25" i="10"/>
  <c r="G26" i="11" l="1"/>
  <c r="F26" i="11"/>
  <c r="D27" i="11"/>
  <c r="B28" i="11"/>
  <c r="E28" i="11" s="1"/>
  <c r="C27" i="11"/>
  <c r="E26" i="10"/>
  <c r="D27" i="10"/>
  <c r="B28" i="10"/>
  <c r="C27" i="10"/>
  <c r="E27" i="10" s="1"/>
  <c r="B29" i="11" l="1"/>
  <c r="E29" i="11" s="1"/>
  <c r="C28" i="11"/>
  <c r="D28" i="11"/>
  <c r="F27" i="11"/>
  <c r="G27" i="11"/>
  <c r="D28" i="10"/>
  <c r="C28" i="10"/>
  <c r="B29" i="10"/>
  <c r="D29" i="11" l="1"/>
  <c r="B30" i="11"/>
  <c r="E30" i="11" s="1"/>
  <c r="C29" i="11"/>
  <c r="G28" i="11"/>
  <c r="F28" i="11"/>
  <c r="D30" i="11"/>
  <c r="B30" i="10"/>
  <c r="C29" i="10"/>
  <c r="E29" i="10" s="1"/>
  <c r="D29" i="10"/>
  <c r="E28" i="10"/>
  <c r="F29" i="11" l="1"/>
  <c r="G29" i="11"/>
  <c r="B31" i="11"/>
  <c r="E31" i="11" s="1"/>
  <c r="C30" i="11"/>
  <c r="C30" i="10"/>
  <c r="E30" i="10" s="1"/>
  <c r="B31" i="10"/>
  <c r="D30" i="10"/>
  <c r="F30" i="11" l="1"/>
  <c r="G30" i="11"/>
  <c r="D31" i="11"/>
  <c r="B32" i="11"/>
  <c r="E32" i="11" s="1"/>
  <c r="C31" i="11"/>
  <c r="C31" i="10"/>
  <c r="D31" i="10"/>
  <c r="B32" i="10"/>
  <c r="D32" i="11" l="1"/>
  <c r="F31" i="11"/>
  <c r="B33" i="11"/>
  <c r="E33" i="11" s="1"/>
  <c r="G31" i="11"/>
  <c r="C32" i="11"/>
  <c r="E31" i="10"/>
  <c r="C32" i="10"/>
  <c r="E32" i="10" s="1"/>
  <c r="D32" i="10"/>
  <c r="B33" i="10"/>
  <c r="C33" i="11" l="1"/>
  <c r="G32" i="11"/>
  <c r="F32" i="11"/>
  <c r="D33" i="11"/>
  <c r="B34" i="11"/>
  <c r="E34" i="11" s="1"/>
  <c r="B34" i="10"/>
  <c r="D33" i="10"/>
  <c r="C33" i="10"/>
  <c r="E33" i="10" s="1"/>
  <c r="F33" i="11" l="1"/>
  <c r="G33" i="11"/>
  <c r="D34" i="11"/>
  <c r="B35" i="11"/>
  <c r="E35" i="11" s="1"/>
  <c r="C34" i="11"/>
  <c r="D34" i="10"/>
  <c r="B35" i="10"/>
  <c r="C34" i="10"/>
  <c r="C35" i="11" l="1"/>
  <c r="B36" i="11"/>
  <c r="E36" i="11" s="1"/>
  <c r="D35" i="11"/>
  <c r="F34" i="11"/>
  <c r="G34" i="11"/>
  <c r="C36" i="11"/>
  <c r="B37" i="11"/>
  <c r="E37" i="11" s="1"/>
  <c r="D36" i="11"/>
  <c r="E34" i="10"/>
  <c r="C35" i="10"/>
  <c r="E35" i="10" s="1"/>
  <c r="D35" i="10"/>
  <c r="B36" i="10"/>
  <c r="G35" i="11" l="1"/>
  <c r="F35" i="11"/>
  <c r="F36" i="11"/>
  <c r="G36" i="11"/>
  <c r="C37" i="11"/>
  <c r="B38" i="11"/>
  <c r="E38" i="11" s="1"/>
  <c r="D37" i="11"/>
  <c r="B37" i="10"/>
  <c r="D36" i="10"/>
  <c r="C36" i="10"/>
  <c r="E36" i="10" s="1"/>
  <c r="F37" i="11" l="1"/>
  <c r="G37" i="11"/>
  <c r="C38" i="11"/>
  <c r="B39" i="11"/>
  <c r="E39" i="11" s="1"/>
  <c r="D38" i="11"/>
  <c r="D37" i="10"/>
  <c r="C37" i="10"/>
  <c r="E37" i="10" s="1"/>
  <c r="B38" i="10"/>
  <c r="F38" i="11" l="1"/>
  <c r="G38" i="11"/>
  <c r="C39" i="11"/>
  <c r="B40" i="11"/>
  <c r="E40" i="11" s="1"/>
  <c r="D39" i="11"/>
  <c r="B39" i="10"/>
  <c r="D38" i="10"/>
  <c r="C38" i="10"/>
  <c r="E38" i="10" s="1"/>
  <c r="F39" i="11" l="1"/>
  <c r="G39" i="11"/>
  <c r="C40" i="11"/>
  <c r="B41" i="11"/>
  <c r="D41" i="11" s="1"/>
  <c r="D40" i="11"/>
  <c r="C39" i="10"/>
  <c r="E39" i="10" s="1"/>
  <c r="D39" i="10"/>
  <c r="B40" i="10"/>
  <c r="G40" i="11" l="1"/>
  <c r="F40" i="11"/>
  <c r="C41" i="11"/>
  <c r="E41" i="11"/>
  <c r="D40" i="10"/>
  <c r="B41" i="10"/>
  <c r="C40" i="10"/>
  <c r="F41" i="11" l="1"/>
  <c r="G41" i="11"/>
  <c r="E40" i="10"/>
  <c r="B42" i="10"/>
  <c r="C41" i="10"/>
  <c r="D41" i="10"/>
  <c r="E41" i="10" l="1"/>
  <c r="D42" i="10"/>
  <c r="C42" i="10"/>
  <c r="E42" i="10" s="1"/>
  <c r="B43" i="10"/>
  <c r="D43" i="10" l="1"/>
  <c r="C43" i="10"/>
  <c r="B44" i="10"/>
  <c r="C44" i="10" l="1"/>
  <c r="E44" i="10" s="1"/>
  <c r="B45" i="10"/>
  <c r="D44" i="10"/>
  <c r="E43" i="10"/>
  <c r="C45" i="10" l="1"/>
  <c r="E45" i="10" s="1"/>
  <c r="B46" i="10"/>
  <c r="D45" i="10"/>
  <c r="C46" i="10" l="1"/>
  <c r="E46" i="10" s="1"/>
  <c r="B47" i="10"/>
  <c r="D46" i="10"/>
  <c r="B48" i="10" l="1"/>
  <c r="D47" i="10"/>
  <c r="C47" i="10"/>
  <c r="E47" i="10" s="1"/>
  <c r="B49" i="10" l="1"/>
  <c r="D48" i="10"/>
  <c r="C48" i="10"/>
  <c r="D49" i="10" l="1"/>
  <c r="C49" i="10"/>
  <c r="B50" i="10"/>
  <c r="E48" i="10"/>
  <c r="C50" i="10" l="1"/>
  <c r="E50" i="10" s="1"/>
  <c r="D50" i="10"/>
  <c r="B51" i="10"/>
  <c r="E49" i="10"/>
  <c r="C51" i="10" l="1"/>
  <c r="E51" i="10" s="1"/>
  <c r="B52" i="10"/>
  <c r="D51" i="10"/>
  <c r="C52" i="10" l="1"/>
  <c r="E52" i="10" s="1"/>
  <c r="B53" i="10"/>
  <c r="D52" i="10"/>
  <c r="B54" i="10" l="1"/>
  <c r="D53" i="10"/>
  <c r="C53" i="10"/>
  <c r="E53" i="10" s="1"/>
  <c r="D54" i="10" l="1"/>
  <c r="B55" i="10"/>
  <c r="C54" i="10"/>
  <c r="E54" i="10" l="1"/>
  <c r="D55" i="10"/>
  <c r="C55" i="10"/>
  <c r="E55" i="10" s="1"/>
  <c r="B56" i="10"/>
  <c r="D56" i="10" l="1"/>
  <c r="C56" i="10"/>
  <c r="E56" i="10" s="1"/>
  <c r="B57" i="10"/>
  <c r="B58" i="10" l="1"/>
  <c r="D57" i="10"/>
  <c r="C57" i="10"/>
  <c r="E57" i="10" s="1"/>
  <c r="B59" i="10" l="1"/>
  <c r="D58" i="10"/>
  <c r="C58" i="10"/>
  <c r="E58" i="10" l="1"/>
  <c r="C59" i="10"/>
  <c r="E59" i="10" s="1"/>
  <c r="B60" i="10"/>
  <c r="D59" i="10"/>
  <c r="D60" i="10" l="1"/>
  <c r="C60" i="10"/>
  <c r="B61" i="10"/>
  <c r="B62" i="10" l="1"/>
  <c r="D61" i="10"/>
  <c r="C61" i="10"/>
  <c r="E61" i="10" s="1"/>
  <c r="E60" i="10"/>
  <c r="C62" i="10" l="1"/>
  <c r="E62" i="10" s="1"/>
  <c r="B63" i="10"/>
  <c r="D62" i="10"/>
  <c r="C63" i="10" l="1"/>
  <c r="E63" i="10" s="1"/>
  <c r="B64" i="10"/>
  <c r="D63" i="10"/>
  <c r="B65" i="10" l="1"/>
  <c r="D64" i="10"/>
  <c r="C64" i="10"/>
  <c r="E64" i="10" l="1"/>
  <c r="D65" i="10"/>
  <c r="C65" i="10"/>
  <c r="E65" i="10" s="1"/>
  <c r="B66" i="10"/>
  <c r="D66" i="10" l="1"/>
  <c r="C66" i="10"/>
  <c r="B67" i="10"/>
  <c r="B68" i="10" l="1"/>
  <c r="D67" i="10"/>
  <c r="C67" i="10"/>
  <c r="E67" i="10" s="1"/>
  <c r="E66" i="10"/>
  <c r="D68" i="10" l="1"/>
  <c r="C68" i="10"/>
  <c r="B69" i="10"/>
  <c r="D69" i="10" l="1"/>
  <c r="C69" i="10"/>
  <c r="B70" i="10"/>
  <c r="E68" i="10"/>
  <c r="C70" i="10" l="1"/>
  <c r="D70" i="10"/>
  <c r="E69" i="10"/>
  <c r="E70" i="10" l="1"/>
</calcChain>
</file>

<file path=xl/sharedStrings.xml><?xml version="1.0" encoding="utf-8"?>
<sst xmlns="http://schemas.openxmlformats.org/spreadsheetml/2006/main" count="50" uniqueCount="45">
  <si>
    <t>Parameters</t>
  </si>
  <si>
    <t>Calculations</t>
  </si>
  <si>
    <t>Mu (mean)</t>
  </si>
  <si>
    <t>Standard deviation (sigma)</t>
  </si>
  <si>
    <t>Alpha (confidence level)</t>
  </si>
  <si>
    <t>Expected exposure (EE)</t>
  </si>
  <si>
    <t>Potential future exposure (PFE)</t>
  </si>
  <si>
    <t>Probability</t>
  </si>
  <si>
    <t>EE</t>
  </si>
  <si>
    <t>Effective EE</t>
  </si>
  <si>
    <t>EPE</t>
  </si>
  <si>
    <t>Effective EPE</t>
  </si>
  <si>
    <t>IRS</t>
  </si>
  <si>
    <t>FX Forward</t>
  </si>
  <si>
    <t>CCS</t>
  </si>
  <si>
    <t>Confidence level</t>
  </si>
  <si>
    <t>IR Vol</t>
  </si>
  <si>
    <t>FX Vol</t>
  </si>
  <si>
    <t>Correlation</t>
  </si>
  <si>
    <t>Duration</t>
  </si>
  <si>
    <t>Def Prob</t>
  </si>
  <si>
    <t>PFE</t>
  </si>
  <si>
    <t>Initial spread</t>
  </si>
  <si>
    <t>Recovery rate</t>
  </si>
  <si>
    <t>Interest rate</t>
  </si>
  <si>
    <t>Spread volatility</t>
  </si>
  <si>
    <t>dSpread</t>
  </si>
  <si>
    <t>1Y</t>
  </si>
  <si>
    <t>2Y</t>
  </si>
  <si>
    <t>3Y</t>
  </si>
  <si>
    <t>4Y</t>
  </si>
  <si>
    <t>5Y</t>
  </si>
  <si>
    <t>Future value</t>
  </si>
  <si>
    <t>Total exposure</t>
  </si>
  <si>
    <t>Trade 1</t>
  </si>
  <si>
    <t>Trade 2</t>
  </si>
  <si>
    <t>No netting</t>
  </si>
  <si>
    <t>Netting</t>
  </si>
  <si>
    <t>Netting benefit</t>
  </si>
  <si>
    <t>Scenario 1</t>
  </si>
  <si>
    <t>Scenario 2</t>
  </si>
  <si>
    <t>Scenario 3</t>
  </si>
  <si>
    <t>Scenario 4</t>
  </si>
  <si>
    <t>Scenario 5</t>
  </si>
  <si>
    <t>Credit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</si>
</sst>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-* #,##0\ _F_-;\-* #,##0\ _F_-;_-* &quot;-&quot;\ _F_-;_-@_-"/>
    <numFmt numFmtId="165" formatCode="_-* #,##0.00\ _F_-;\-* #,##0.00\ _F_-;_-* &quot;-&quot;??\ _F_-;_-@_-"/>
    <numFmt numFmtId="166" formatCode="_-* #,##0\ &quot;F&quot;_-;\-* #,##0\ &quot;F&quot;_-;_-* &quot;-&quot;\ &quot;F&quot;_-;_-@_-"/>
    <numFmt numFmtId="167" formatCode="_-* #,##0.00\ &quot;F&quot;_-;\-* #,##0.00\ &quot;F&quot;_-;_-* &quot;-&quot;??\ &quot;F&quot;_-;_-@_-"/>
    <numFmt numFmtId="168" formatCode="0.000000%"/>
    <numFmt numFmtId="169" formatCode="#,##0.0;\-#,##0.0"/>
    <numFmt numFmtId="170" formatCode="0.0%"/>
    <numFmt numFmtId="171" formatCode="0.0000"/>
    <numFmt numFmtId="172" formatCode="0.0"/>
    <numFmt numFmtId="173" formatCode="0.000%"/>
    <numFmt numFmtId="174" formatCode="0.000"/>
    <numFmt numFmtId="175" formatCode="0.000000"/>
  </numFmts>
  <fonts count="32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S Sans Serif"/>
      <family val="2"/>
    </font>
    <font>
      <sz val="8.5"/>
      <name val="MS Sans Serif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i/>
      <sz val="10"/>
      <name val="Arial"/>
      <family val="2"/>
    </font>
    <font>
      <b/>
      <sz val="24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i/>
      <sz val="12"/>
      <name val="Arial"/>
      <family val="2"/>
    </font>
    <font>
      <sz val="12"/>
      <color rgb="FF00B050"/>
      <name val="Arial"/>
      <family val="2"/>
    </font>
    <font>
      <sz val="12"/>
      <color rgb="FFFF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9"/>
        <bgColor indexed="43"/>
      </patternFill>
    </fill>
    <fill>
      <patternFill patternType="mediumGray">
        <fgColor indexed="9"/>
        <b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</fills>
  <borders count="4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9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22" borderId="3" applyNumberFormat="0" applyFont="0" applyBorder="0" applyAlignment="0" applyProtection="0">
      <alignment horizontal="centerContinuous"/>
    </xf>
    <xf numFmtId="0" fontId="8" fillId="23" borderId="4" applyNumberFormat="0" applyBorder="0">
      <alignment horizontal="left"/>
    </xf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1" fillId="24" borderId="5" applyNumberFormat="0" applyFont="0" applyBorder="0" applyAlignment="0">
      <alignment horizontal="centerContinuous"/>
    </xf>
    <xf numFmtId="0" fontId="12" fillId="0" borderId="6" applyNumberFormat="0" applyFill="0" applyAlignment="0" applyProtection="0"/>
    <xf numFmtId="0" fontId="13" fillId="0" borderId="7" applyNumberFormat="0" applyFill="0" applyAlignment="0" applyProtection="0"/>
    <xf numFmtId="0" fontId="14" fillId="0" borderId="8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>
      <alignment horizontal="right"/>
    </xf>
    <xf numFmtId="0" fontId="17" fillId="25" borderId="0" applyNumberFormat="0" applyBorder="0" applyAlignment="0" applyProtection="0"/>
    <xf numFmtId="0" fontId="26" fillId="0" borderId="0"/>
    <xf numFmtId="0" fontId="1" fillId="0" borderId="0"/>
    <xf numFmtId="0" fontId="2" fillId="26" borderId="10" applyNumberFormat="0" applyFont="0" applyAlignment="0" applyProtection="0"/>
    <xf numFmtId="0" fontId="18" fillId="20" borderId="11" applyNumberFormat="0" applyAlignment="0" applyProtection="0"/>
    <xf numFmtId="9" fontId="1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19" fillId="27" borderId="12">
      <alignment horizontal="center"/>
    </xf>
    <xf numFmtId="0" fontId="1" fillId="0" borderId="0">
      <alignment horizontal="left" wrapText="1"/>
    </xf>
    <xf numFmtId="0" fontId="20" fillId="0" borderId="0">
      <alignment horizontal="center"/>
    </xf>
    <xf numFmtId="0" fontId="21" fillId="0" borderId="0" applyNumberFormat="0" applyFill="0" applyBorder="0" applyAlignment="0" applyProtection="0"/>
    <xf numFmtId="0" fontId="22" fillId="0" borderId="13" applyNumberFormat="0" applyFill="0" applyAlignment="0" applyProtection="0"/>
    <xf numFmtId="0" fontId="23" fillId="0" borderId="0" applyNumberFormat="0" applyFill="0" applyBorder="0" applyAlignment="0" applyProtection="0"/>
    <xf numFmtId="0" fontId="24" fillId="28" borderId="0">
      <alignment horizontal="right"/>
    </xf>
    <xf numFmtId="169" fontId="1" fillId="0" borderId="0">
      <alignment horizontal="center"/>
    </xf>
  </cellStyleXfs>
  <cellXfs count="101">
    <xf numFmtId="0" fontId="0" fillId="0" borderId="0" xfId="0"/>
    <xf numFmtId="0" fontId="1" fillId="27" borderId="0" xfId="46" applyFill="1"/>
    <xf numFmtId="9" fontId="0" fillId="0" borderId="0" xfId="0" applyNumberFormat="1"/>
    <xf numFmtId="171" fontId="0" fillId="0" borderId="0" xfId="0" applyNumberFormat="1"/>
    <xf numFmtId="170" fontId="1" fillId="0" borderId="0" xfId="49" applyNumberFormat="1"/>
    <xf numFmtId="0" fontId="0" fillId="0" borderId="0" xfId="0" applyBorder="1"/>
    <xf numFmtId="174" fontId="0" fillId="0" borderId="15" xfId="0" applyNumberFormat="1" applyBorder="1"/>
    <xf numFmtId="174" fontId="0" fillId="0" borderId="0" xfId="0" applyNumberFormat="1" applyBorder="1"/>
    <xf numFmtId="174" fontId="0" fillId="0" borderId="18" xfId="0" applyNumberFormat="1" applyBorder="1"/>
    <xf numFmtId="174" fontId="0" fillId="0" borderId="16" xfId="0" applyNumberFormat="1" applyBorder="1"/>
    <xf numFmtId="174" fontId="0" fillId="0" borderId="19" xfId="0" applyNumberFormat="1" applyBorder="1"/>
    <xf numFmtId="174" fontId="0" fillId="0" borderId="20" xfId="0" applyNumberFormat="1" applyBorder="1"/>
    <xf numFmtId="174" fontId="0" fillId="0" borderId="21" xfId="0" applyNumberFormat="1" applyBorder="1"/>
    <xf numFmtId="174" fontId="0" fillId="0" borderId="22" xfId="0" applyNumberFormat="1" applyBorder="1"/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173" fontId="0" fillId="0" borderId="0" xfId="49" applyNumberFormat="1" applyFont="1"/>
    <xf numFmtId="2" fontId="0" fillId="0" borderId="0" xfId="49" applyNumberFormat="1" applyFont="1"/>
    <xf numFmtId="0" fontId="0" fillId="0" borderId="0" xfId="0" applyBorder="1" applyAlignment="1">
      <alignment horizontal="center"/>
    </xf>
    <xf numFmtId="0" fontId="27" fillId="0" borderId="0" xfId="0" applyFont="1"/>
    <xf numFmtId="0" fontId="27" fillId="0" borderId="14" xfId="0" applyFont="1" applyBorder="1"/>
    <xf numFmtId="172" fontId="28" fillId="0" borderId="27" xfId="0" applyNumberFormat="1" applyFont="1" applyBorder="1" applyProtection="1">
      <protection locked="0"/>
    </xf>
    <xf numFmtId="2" fontId="27" fillId="0" borderId="0" xfId="0" applyNumberFormat="1" applyFont="1"/>
    <xf numFmtId="171" fontId="27" fillId="0" borderId="0" xfId="0" applyNumberFormat="1" applyFont="1"/>
    <xf numFmtId="2" fontId="27" fillId="0" borderId="0" xfId="49" applyNumberFormat="1" applyFont="1"/>
    <xf numFmtId="0" fontId="27" fillId="0" borderId="15" xfId="0" applyFont="1" applyBorder="1"/>
    <xf numFmtId="172" fontId="28" fillId="0" borderId="28" xfId="0" applyNumberFormat="1" applyFont="1" applyBorder="1" applyProtection="1">
      <protection locked="0"/>
    </xf>
    <xf numFmtId="0" fontId="27" fillId="0" borderId="16" xfId="0" applyFont="1" applyBorder="1"/>
    <xf numFmtId="9" fontId="28" fillId="0" borderId="17" xfId="0" applyNumberFormat="1" applyFont="1" applyBorder="1" applyProtection="1">
      <protection locked="0"/>
    </xf>
    <xf numFmtId="2" fontId="30" fillId="0" borderId="28" xfId="0" applyNumberFormat="1" applyFont="1" applyBorder="1"/>
    <xf numFmtId="2" fontId="30" fillId="0" borderId="17" xfId="0" applyNumberFormat="1" applyFont="1" applyBorder="1"/>
    <xf numFmtId="10" fontId="31" fillId="0" borderId="27" xfId="0" applyNumberFormat="1" applyFont="1" applyBorder="1"/>
    <xf numFmtId="9" fontId="31" fillId="0" borderId="28" xfId="0" applyNumberFormat="1" applyFont="1" applyBorder="1"/>
    <xf numFmtId="10" fontId="31" fillId="0" borderId="17" xfId="0" applyNumberFormat="1" applyFont="1" applyBorder="1"/>
    <xf numFmtId="0" fontId="27" fillId="0" borderId="23" xfId="0" applyFont="1" applyBorder="1" applyAlignment="1">
      <alignment horizontal="center"/>
    </xf>
    <xf numFmtId="0" fontId="27" fillId="0" borderId="24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7" fillId="0" borderId="29" xfId="0" applyFont="1" applyBorder="1" applyAlignment="1">
      <alignment horizontal="center"/>
    </xf>
    <xf numFmtId="174" fontId="27" fillId="0" borderId="15" xfId="0" applyNumberFormat="1" applyFont="1" applyBorder="1"/>
    <xf numFmtId="174" fontId="27" fillId="0" borderId="21" xfId="0" applyNumberFormat="1" applyFont="1" applyBorder="1"/>
    <xf numFmtId="174" fontId="27" fillId="0" borderId="0" xfId="0" applyNumberFormat="1" applyFont="1" applyBorder="1"/>
    <xf numFmtId="174" fontId="27" fillId="0" borderId="28" xfId="0" applyNumberFormat="1" applyFont="1" applyBorder="1"/>
    <xf numFmtId="174" fontId="27" fillId="0" borderId="16" xfId="0" applyNumberFormat="1" applyFont="1" applyBorder="1"/>
    <xf numFmtId="174" fontId="27" fillId="0" borderId="22" xfId="0" applyNumberFormat="1" applyFont="1" applyBorder="1"/>
    <xf numFmtId="174" fontId="27" fillId="0" borderId="19" xfId="0" applyNumberFormat="1" applyFont="1" applyBorder="1"/>
    <xf numFmtId="174" fontId="27" fillId="0" borderId="17" xfId="0" applyNumberFormat="1" applyFont="1" applyBorder="1"/>
    <xf numFmtId="1" fontId="31" fillId="0" borderId="27" xfId="0" applyNumberFormat="1" applyFont="1" applyBorder="1"/>
    <xf numFmtId="170" fontId="27" fillId="0" borderId="0" xfId="49" applyNumberFormat="1" applyFont="1"/>
    <xf numFmtId="170" fontId="31" fillId="0" borderId="17" xfId="0" applyNumberFormat="1" applyFont="1" applyBorder="1"/>
    <xf numFmtId="0" fontId="27" fillId="0" borderId="0" xfId="0" applyFont="1" applyBorder="1"/>
    <xf numFmtId="9" fontId="31" fillId="0" borderId="0" xfId="0" applyNumberFormat="1" applyFont="1" applyBorder="1"/>
    <xf numFmtId="173" fontId="27" fillId="0" borderId="0" xfId="49" applyNumberFormat="1" applyFont="1"/>
    <xf numFmtId="174" fontId="27" fillId="0" borderId="30" xfId="0" applyNumberFormat="1" applyFont="1" applyBorder="1"/>
    <xf numFmtId="174" fontId="27" fillId="0" borderId="31" xfId="0" applyNumberFormat="1" applyFont="1" applyBorder="1"/>
    <xf numFmtId="10" fontId="27" fillId="0" borderId="30" xfId="49" applyNumberFormat="1" applyFont="1" applyBorder="1"/>
    <xf numFmtId="173" fontId="27" fillId="0" borderId="21" xfId="49" applyNumberFormat="1" applyFont="1" applyBorder="1"/>
    <xf numFmtId="10" fontId="27" fillId="0" borderId="21" xfId="49" applyNumberFormat="1" applyFont="1" applyBorder="1"/>
    <xf numFmtId="173" fontId="27" fillId="0" borderId="22" xfId="49" applyNumberFormat="1" applyFont="1" applyBorder="1"/>
    <xf numFmtId="10" fontId="27" fillId="0" borderId="22" xfId="49" applyNumberFormat="1" applyFont="1" applyBorder="1"/>
    <xf numFmtId="173" fontId="27" fillId="0" borderId="0" xfId="49" applyNumberFormat="1" applyFont="1" applyBorder="1"/>
    <xf numFmtId="175" fontId="27" fillId="0" borderId="0" xfId="0" applyNumberFormat="1" applyFont="1" applyBorder="1"/>
    <xf numFmtId="2" fontId="27" fillId="0" borderId="14" xfId="0" applyNumberFormat="1" applyFont="1" applyBorder="1"/>
    <xf numFmtId="2" fontId="27" fillId="0" borderId="15" xfId="0" applyNumberFormat="1" applyFont="1" applyBorder="1"/>
    <xf numFmtId="2" fontId="27" fillId="0" borderId="16" xfId="0" applyNumberFormat="1" applyFont="1" applyBorder="1"/>
    <xf numFmtId="173" fontId="0" fillId="0" borderId="0" xfId="0" applyNumberFormat="1"/>
    <xf numFmtId="0" fontId="27" fillId="0" borderId="26" xfId="0" applyFont="1" applyBorder="1" applyAlignment="1">
      <alignment horizontal="center"/>
    </xf>
    <xf numFmtId="10" fontId="27" fillId="0" borderId="32" xfId="49" applyNumberFormat="1" applyFont="1" applyBorder="1"/>
    <xf numFmtId="10" fontId="27" fillId="0" borderId="18" xfId="49" applyNumberFormat="1" applyFont="1" applyBorder="1"/>
    <xf numFmtId="10" fontId="27" fillId="0" borderId="20" xfId="49" applyNumberFormat="1" applyFont="1" applyBorder="1"/>
    <xf numFmtId="0" fontId="27" fillId="0" borderId="32" xfId="0" applyFont="1" applyBorder="1"/>
    <xf numFmtId="0" fontId="27" fillId="0" borderId="15" xfId="0" applyFont="1" applyBorder="1" applyAlignment="1">
      <alignment horizontal="center"/>
    </xf>
    <xf numFmtId="0" fontId="27" fillId="0" borderId="36" xfId="0" applyFont="1" applyBorder="1" applyAlignment="1">
      <alignment horizontal="center"/>
    </xf>
    <xf numFmtId="0" fontId="27" fillId="0" borderId="37" xfId="0" applyFont="1" applyBorder="1" applyAlignment="1">
      <alignment horizontal="center"/>
    </xf>
    <xf numFmtId="171" fontId="27" fillId="0" borderId="35" xfId="0" applyNumberFormat="1" applyFont="1" applyBorder="1"/>
    <xf numFmtId="1" fontId="31" fillId="0" borderId="21" xfId="0" applyNumberFormat="1" applyFont="1" applyBorder="1"/>
    <xf numFmtId="1" fontId="31" fillId="0" borderId="0" xfId="0" applyNumberFormat="1" applyFont="1" applyBorder="1"/>
    <xf numFmtId="1" fontId="27" fillId="0" borderId="22" xfId="0" applyNumberFormat="1" applyFont="1" applyBorder="1"/>
    <xf numFmtId="1" fontId="27" fillId="0" borderId="19" xfId="0" applyNumberFormat="1" applyFont="1" applyBorder="1"/>
    <xf numFmtId="174" fontId="27" fillId="0" borderId="38" xfId="0" applyNumberFormat="1" applyFont="1" applyBorder="1"/>
    <xf numFmtId="1" fontId="31" fillId="0" borderId="39" xfId="0" applyNumberFormat="1" applyFont="1" applyBorder="1"/>
    <xf numFmtId="1" fontId="31" fillId="0" borderId="40" xfId="0" applyNumberFormat="1" applyFont="1" applyBorder="1"/>
    <xf numFmtId="1" fontId="30" fillId="0" borderId="21" xfId="0" applyNumberFormat="1" applyFont="1" applyBorder="1"/>
    <xf numFmtId="1" fontId="30" fillId="0" borderId="0" xfId="0" applyNumberFormat="1" applyFont="1" applyBorder="1"/>
    <xf numFmtId="1" fontId="30" fillId="0" borderId="28" xfId="0" applyNumberFormat="1" applyFont="1" applyBorder="1"/>
    <xf numFmtId="1" fontId="30" fillId="0" borderId="39" xfId="0" applyNumberFormat="1" applyFont="1" applyBorder="1"/>
    <xf numFmtId="1" fontId="30" fillId="0" borderId="40" xfId="0" applyNumberFormat="1" applyFont="1" applyBorder="1"/>
    <xf numFmtId="1" fontId="30" fillId="0" borderId="41" xfId="0" applyNumberFormat="1" applyFont="1" applyBorder="1"/>
    <xf numFmtId="1" fontId="30" fillId="0" borderId="22" xfId="0" applyNumberFormat="1" applyFont="1" applyBorder="1"/>
    <xf numFmtId="1" fontId="30" fillId="0" borderId="19" xfId="0" applyNumberFormat="1" applyFont="1" applyBorder="1"/>
    <xf numFmtId="1" fontId="30" fillId="0" borderId="17" xfId="0" applyNumberFormat="1" applyFont="1" applyBorder="1"/>
    <xf numFmtId="0" fontId="29" fillId="0" borderId="23" xfId="0" applyFont="1" applyBorder="1" applyAlignment="1">
      <alignment horizontal="center"/>
    </xf>
    <xf numFmtId="0" fontId="29" fillId="0" borderId="26" xfId="0" applyFont="1" applyBorder="1" applyAlignment="1">
      <alignment horizontal="center"/>
    </xf>
    <xf numFmtId="0" fontId="27" fillId="0" borderId="33" xfId="0" applyFont="1" applyBorder="1" applyAlignment="1">
      <alignment horizontal="center"/>
    </xf>
    <xf numFmtId="0" fontId="27" fillId="0" borderId="34" xfId="0" applyFont="1" applyBorder="1" applyAlignment="1">
      <alignment horizontal="center"/>
    </xf>
    <xf numFmtId="3" fontId="31" fillId="0" borderId="27" xfId="0" applyNumberFormat="1" applyFont="1" applyBorder="1"/>
    <xf numFmtId="3" fontId="31" fillId="0" borderId="28" xfId="0" applyNumberFormat="1" applyFont="1" applyBorder="1"/>
    <xf numFmtId="3" fontId="31" fillId="0" borderId="17" xfId="0" applyNumberFormat="1" applyFont="1" applyBorder="1"/>
    <xf numFmtId="9" fontId="0" fillId="0" borderId="0" xfId="49" applyFont="1" applyBorder="1"/>
    <xf numFmtId="171" fontId="0" fillId="0" borderId="0" xfId="0" applyNumberFormat="1" applyBorder="1"/>
  </cellXfs>
  <cellStyles count="59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Data" xfId="28"/>
    <cellStyle name="DataInput" xfId="29"/>
    <cellStyle name="Explanatory Text" xfId="30" builtinId="53" customBuiltin="1"/>
    <cellStyle name="Good" xfId="31" builtinId="26" customBuiltin="1"/>
    <cellStyle name="Header" xfId="32"/>
    <cellStyle name="Heading 1" xfId="33" builtinId="16" customBuiltin="1"/>
    <cellStyle name="Heading 2" xfId="34" builtinId="17" customBuiltin="1"/>
    <cellStyle name="Heading 3" xfId="35" builtinId="18" customBuiltin="1"/>
    <cellStyle name="Heading 4" xfId="36" builtinId="19" customBuiltin="1"/>
    <cellStyle name="Input" xfId="37" builtinId="20" customBuiltin="1"/>
    <cellStyle name="Linked Cell" xfId="38" builtinId="24" customBuiltin="1"/>
    <cellStyle name="Milliers [0]_rating factor" xfId="39"/>
    <cellStyle name="Milliers_rating factor" xfId="40"/>
    <cellStyle name="Monétaire [0]_rating factor" xfId="41"/>
    <cellStyle name="Monétaire_rating factor" xfId="42"/>
    <cellStyle name="Month" xfId="43"/>
    <cellStyle name="Neutral" xfId="44" builtinId="28" customBuiltin="1"/>
    <cellStyle name="Normal" xfId="0" builtinId="0"/>
    <cellStyle name="Normal 2" xfId="45"/>
    <cellStyle name="Normal_LFS_CollateralandCntrptyRisk" xfId="46"/>
    <cellStyle name="Note" xfId="47" builtinId="10" customBuiltin="1"/>
    <cellStyle name="Output" xfId="48" builtinId="21" customBuiltin="1"/>
    <cellStyle name="Percent" xfId="49" builtinId="5"/>
    <cellStyle name="Percent 2" xfId="50"/>
    <cellStyle name="PricingProducts" xfId="51"/>
    <cellStyle name="Style 1" xfId="52"/>
    <cellStyle name="TIMES" xfId="53"/>
    <cellStyle name="Title" xfId="54" builtinId="15" customBuiltin="1"/>
    <cellStyle name="Total" xfId="55" builtinId="25" customBuiltin="1"/>
    <cellStyle name="Warning Text" xfId="56" builtinId="11" customBuiltin="1"/>
    <cellStyle name="WASP_PLStyle" xfId="57"/>
    <cellStyle name="Year" xfId="5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6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externalLink" Target="externalLinks/externalLink15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theme" Target="theme/theme1.xml"/><Relationship Id="rId10" Type="http://schemas.openxmlformats.org/officeDocument/2006/relationships/externalLink" Target="externalLinks/externalLink5.xml"/><Relationship Id="rId19" Type="http://schemas.openxmlformats.org/officeDocument/2006/relationships/externalLink" Target="externalLinks/externalLink1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externalLink" Target="externalLinks/externalLink17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516192544449874E-2"/>
          <c:y val="0.15693458623436474"/>
          <c:w val="0.85080728917993276"/>
          <c:h val="0.6788333265021357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Spreadsheet7.1!$G$10</c:f>
              <c:strCache>
                <c:ptCount val="1"/>
                <c:pt idx="0">
                  <c:v>Probability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Spreadsheet7.1!$F$11:$F$96</c:f>
              <c:numCache>
                <c:formatCode>0.00</c:formatCode>
                <c:ptCount val="86"/>
                <c:pt idx="0">
                  <c:v>-14</c:v>
                </c:pt>
                <c:pt idx="1">
                  <c:v>-13.6</c:v>
                </c:pt>
                <c:pt idx="2">
                  <c:v>-13.2</c:v>
                </c:pt>
                <c:pt idx="3">
                  <c:v>-12.799999999999999</c:v>
                </c:pt>
                <c:pt idx="4">
                  <c:v>-12.399999999999999</c:v>
                </c:pt>
                <c:pt idx="5">
                  <c:v>-11.999999999999998</c:v>
                </c:pt>
                <c:pt idx="6">
                  <c:v>-11.599999999999998</c:v>
                </c:pt>
                <c:pt idx="7">
                  <c:v>-11.199999999999998</c:v>
                </c:pt>
                <c:pt idx="8">
                  <c:v>-10.799999999999997</c:v>
                </c:pt>
                <c:pt idx="9">
                  <c:v>-10.399999999999997</c:v>
                </c:pt>
                <c:pt idx="10">
                  <c:v>-9.9999999999999964</c:v>
                </c:pt>
                <c:pt idx="11">
                  <c:v>-9.5999999999999961</c:v>
                </c:pt>
                <c:pt idx="12">
                  <c:v>-9.1999999999999957</c:v>
                </c:pt>
                <c:pt idx="13">
                  <c:v>-8.7999999999999954</c:v>
                </c:pt>
                <c:pt idx="14">
                  <c:v>-8.399999999999995</c:v>
                </c:pt>
                <c:pt idx="15">
                  <c:v>-7.9999999999999947</c:v>
                </c:pt>
                <c:pt idx="16">
                  <c:v>-7.5999999999999943</c:v>
                </c:pt>
                <c:pt idx="17">
                  <c:v>-7.199999999999994</c:v>
                </c:pt>
                <c:pt idx="18">
                  <c:v>-6.7999999999999936</c:v>
                </c:pt>
                <c:pt idx="19">
                  <c:v>-6.3999999999999932</c:v>
                </c:pt>
                <c:pt idx="20">
                  <c:v>-5.9999999999999929</c:v>
                </c:pt>
                <c:pt idx="21">
                  <c:v>-5.5999999999999925</c:v>
                </c:pt>
                <c:pt idx="22">
                  <c:v>-5.1999999999999922</c:v>
                </c:pt>
                <c:pt idx="23">
                  <c:v>-4.7999999999999918</c:v>
                </c:pt>
                <c:pt idx="24">
                  <c:v>-4.3999999999999915</c:v>
                </c:pt>
                <c:pt idx="25">
                  <c:v>-3.9999999999999916</c:v>
                </c:pt>
                <c:pt idx="26">
                  <c:v>-3.5999999999999917</c:v>
                </c:pt>
                <c:pt idx="27">
                  <c:v>-3.1999999999999917</c:v>
                </c:pt>
                <c:pt idx="28">
                  <c:v>-2.7999999999999918</c:v>
                </c:pt>
                <c:pt idx="29">
                  <c:v>-2.3999999999999919</c:v>
                </c:pt>
                <c:pt idx="30">
                  <c:v>-1.999999999999992</c:v>
                </c:pt>
                <c:pt idx="31">
                  <c:v>-1.5999999999999921</c:v>
                </c:pt>
                <c:pt idx="32">
                  <c:v>-1.1999999999999922</c:v>
                </c:pt>
                <c:pt idx="33">
                  <c:v>-0.79999999999999216</c:v>
                </c:pt>
                <c:pt idx="34">
                  <c:v>-0.39999999999999214</c:v>
                </c:pt>
                <c:pt idx="35">
                  <c:v>7.8825834748386114E-15</c:v>
                </c:pt>
                <c:pt idx="36">
                  <c:v>0.4000000000000079</c:v>
                </c:pt>
                <c:pt idx="37">
                  <c:v>0.80000000000000793</c:v>
                </c:pt>
                <c:pt idx="38">
                  <c:v>1.2000000000000079</c:v>
                </c:pt>
                <c:pt idx="39">
                  <c:v>1.6000000000000081</c:v>
                </c:pt>
                <c:pt idx="40">
                  <c:v>2.000000000000008</c:v>
                </c:pt>
                <c:pt idx="41">
                  <c:v>2.4000000000000079</c:v>
                </c:pt>
                <c:pt idx="42">
                  <c:v>2.8000000000000078</c:v>
                </c:pt>
                <c:pt idx="43">
                  <c:v>3.2000000000000077</c:v>
                </c:pt>
                <c:pt idx="44">
                  <c:v>3.6000000000000076</c:v>
                </c:pt>
                <c:pt idx="45">
                  <c:v>4.000000000000008</c:v>
                </c:pt>
                <c:pt idx="46">
                  <c:v>4.4000000000000083</c:v>
                </c:pt>
                <c:pt idx="47">
                  <c:v>4.8000000000000087</c:v>
                </c:pt>
                <c:pt idx="48">
                  <c:v>5.2000000000000091</c:v>
                </c:pt>
                <c:pt idx="49">
                  <c:v>5.6000000000000094</c:v>
                </c:pt>
                <c:pt idx="50">
                  <c:v>6.0000000000000098</c:v>
                </c:pt>
                <c:pt idx="51">
                  <c:v>6.4000000000000101</c:v>
                </c:pt>
                <c:pt idx="52">
                  <c:v>6.8000000000000105</c:v>
                </c:pt>
                <c:pt idx="53">
                  <c:v>7.2000000000000108</c:v>
                </c:pt>
                <c:pt idx="54">
                  <c:v>7.6000000000000112</c:v>
                </c:pt>
                <c:pt idx="55">
                  <c:v>8.0000000000000107</c:v>
                </c:pt>
                <c:pt idx="56">
                  <c:v>8.400000000000011</c:v>
                </c:pt>
                <c:pt idx="57">
                  <c:v>8.8000000000000114</c:v>
                </c:pt>
                <c:pt idx="58">
                  <c:v>9.2000000000000117</c:v>
                </c:pt>
                <c:pt idx="59">
                  <c:v>9.6000000000000121</c:v>
                </c:pt>
                <c:pt idx="60">
                  <c:v>10.000000000000012</c:v>
                </c:pt>
                <c:pt idx="61">
                  <c:v>10.400000000000013</c:v>
                </c:pt>
                <c:pt idx="62">
                  <c:v>10.800000000000013</c:v>
                </c:pt>
                <c:pt idx="63">
                  <c:v>11.200000000000014</c:v>
                </c:pt>
                <c:pt idx="64">
                  <c:v>11.600000000000014</c:v>
                </c:pt>
                <c:pt idx="65">
                  <c:v>12.000000000000014</c:v>
                </c:pt>
                <c:pt idx="66">
                  <c:v>12.400000000000015</c:v>
                </c:pt>
                <c:pt idx="67">
                  <c:v>12.800000000000015</c:v>
                </c:pt>
                <c:pt idx="68">
                  <c:v>13.200000000000015</c:v>
                </c:pt>
                <c:pt idx="69">
                  <c:v>13.600000000000016</c:v>
                </c:pt>
                <c:pt idx="70">
                  <c:v>14.000000000000016</c:v>
                </c:pt>
                <c:pt idx="71">
                  <c:v>14.400000000000016</c:v>
                </c:pt>
                <c:pt idx="72">
                  <c:v>14.800000000000017</c:v>
                </c:pt>
                <c:pt idx="73">
                  <c:v>15.200000000000017</c:v>
                </c:pt>
                <c:pt idx="74">
                  <c:v>15.600000000000017</c:v>
                </c:pt>
                <c:pt idx="75">
                  <c:v>16.000000000000018</c:v>
                </c:pt>
                <c:pt idx="76">
                  <c:v>16.400000000000016</c:v>
                </c:pt>
                <c:pt idx="77">
                  <c:v>16.800000000000015</c:v>
                </c:pt>
                <c:pt idx="78">
                  <c:v>17.200000000000014</c:v>
                </c:pt>
                <c:pt idx="79">
                  <c:v>17.600000000000012</c:v>
                </c:pt>
                <c:pt idx="80">
                  <c:v>18.000000000000011</c:v>
                </c:pt>
                <c:pt idx="81">
                  <c:v>18.400000000000009</c:v>
                </c:pt>
                <c:pt idx="82">
                  <c:v>18.800000000000008</c:v>
                </c:pt>
                <c:pt idx="83">
                  <c:v>19.200000000000006</c:v>
                </c:pt>
                <c:pt idx="84">
                  <c:v>19.600000000000005</c:v>
                </c:pt>
                <c:pt idx="85">
                  <c:v>20.000000000000004</c:v>
                </c:pt>
              </c:numCache>
            </c:numRef>
          </c:xVal>
          <c:yVal>
            <c:numRef>
              <c:f>Spreadsheet7.1!$G$11:$G$96</c:f>
              <c:numCache>
                <c:formatCode>0.0000</c:formatCode>
                <c:ptCount val="86"/>
                <c:pt idx="0">
                  <c:v>3.3457556441221342E-5</c:v>
                </c:pt>
                <c:pt idx="1">
                  <c:v>4.9663867848193179E-5</c:v>
                </c:pt>
                <c:pt idx="2">
                  <c:v>7.2986731447865068E-5</c:v>
                </c:pt>
                <c:pt idx="3">
                  <c:v>1.0619506763768805E-4</c:v>
                </c:pt>
                <c:pt idx="4">
                  <c:v>1.5297548252844325E-4</c:v>
                </c:pt>
                <c:pt idx="5">
                  <c:v>2.1817067376144042E-4</c:v>
                </c:pt>
                <c:pt idx="6">
                  <c:v>3.0805479211825525E-4</c:v>
                </c:pt>
                <c:pt idx="7">
                  <c:v>4.3064223476342107E-4</c:v>
                </c:pt>
                <c:pt idx="8">
                  <c:v>5.9602205036621216E-4</c:v>
                </c:pt>
                <c:pt idx="9">
                  <c:v>8.1670476404998183E-4</c:v>
                </c:pt>
                <c:pt idx="10">
                  <c:v>1.1079621029845047E-3</c:v>
                </c:pt>
                <c:pt idx="11">
                  <c:v>1.4881331049439674E-3</c:v>
                </c:pt>
                <c:pt idx="12">
                  <c:v>1.9788628957449973E-3</c:v>
                </c:pt>
                <c:pt idx="13">
                  <c:v>2.605233703605657E-3</c:v>
                </c:pt>
                <c:pt idx="14">
                  <c:v>3.3957423084214153E-3</c:v>
                </c:pt>
                <c:pt idx="15">
                  <c:v>4.3820751233921498E-3</c:v>
                </c:pt>
                <c:pt idx="16">
                  <c:v>5.5986325737107422E-3</c:v>
                </c:pt>
                <c:pt idx="17">
                  <c:v>7.0817594354003191E-3</c:v>
                </c:pt>
                <c:pt idx="18">
                  <c:v>8.8686482115578925E-3</c:v>
                </c:pt>
                <c:pt idx="19">
                  <c:v>1.0995898995106838E-2</c:v>
                </c:pt>
                <c:pt idx="20">
                  <c:v>1.3497741628297063E-2</c:v>
                </c:pt>
                <c:pt idx="21">
                  <c:v>1.6403953693669208E-2</c:v>
                </c:pt>
                <c:pt idx="22">
                  <c:v>1.9737539575223607E-2</c:v>
                </c:pt>
                <c:pt idx="23">
                  <c:v>2.3512269344221813E-2</c:v>
                </c:pt>
                <c:pt idx="24">
                  <c:v>2.773020866986398E-2</c:v>
                </c:pt>
                <c:pt idx="25">
                  <c:v>3.237939891647304E-2</c:v>
                </c:pt>
                <c:pt idx="26">
                  <c:v>3.7431866408936323E-2</c:v>
                </c:pt>
                <c:pt idx="27">
                  <c:v>4.284214801195195E-2</c:v>
                </c:pt>
                <c:pt idx="28">
                  <c:v>4.8546513745803356E-2</c:v>
                </c:pt>
                <c:pt idx="29">
                  <c:v>5.446304425813777E-2</c:v>
                </c:pt>
                <c:pt idx="30">
                  <c:v>6.0492681129785966E-2</c:v>
                </c:pt>
                <c:pt idx="31">
                  <c:v>6.6521312474688829E-2</c:v>
                </c:pt>
                <c:pt idx="32">
                  <c:v>7.2422888190370807E-2</c:v>
                </c:pt>
                <c:pt idx="33">
                  <c:v>7.8063483341690429E-2</c:v>
                </c:pt>
                <c:pt idx="34">
                  <c:v>8.3306150722950015E-2</c:v>
                </c:pt>
                <c:pt idx="35">
                  <c:v>8.8016331691074964E-2</c:v>
                </c:pt>
                <c:pt idx="36">
                  <c:v>9.2067535075830903E-2</c:v>
                </c:pt>
                <c:pt idx="37">
                  <c:v>9.534695386513109E-2</c:v>
                </c:pt>
                <c:pt idx="38">
                  <c:v>9.7760673493864012E-2</c:v>
                </c:pt>
                <c:pt idx="39">
                  <c:v>9.9238136869252966E-2</c:v>
                </c:pt>
                <c:pt idx="40">
                  <c:v>9.9735570100358176E-2</c:v>
                </c:pt>
                <c:pt idx="41">
                  <c:v>9.9238136869252924E-2</c:v>
                </c:pt>
                <c:pt idx="42">
                  <c:v>9.7760673493863942E-2</c:v>
                </c:pt>
                <c:pt idx="43">
                  <c:v>9.5346953865130979E-2</c:v>
                </c:pt>
                <c:pt idx="44">
                  <c:v>9.2067535075830764E-2</c:v>
                </c:pt>
                <c:pt idx="45">
                  <c:v>8.8016331691074798E-2</c:v>
                </c:pt>
                <c:pt idx="46">
                  <c:v>8.3306150722949807E-2</c:v>
                </c:pt>
                <c:pt idx="47">
                  <c:v>7.8063483341690207E-2</c:v>
                </c:pt>
                <c:pt idx="48">
                  <c:v>7.2422888190370557E-2</c:v>
                </c:pt>
                <c:pt idx="49">
                  <c:v>6.6521312474688565E-2</c:v>
                </c:pt>
                <c:pt idx="50">
                  <c:v>6.0492681129785696E-2</c:v>
                </c:pt>
                <c:pt idx="51">
                  <c:v>5.4463044258137493E-2</c:v>
                </c:pt>
                <c:pt idx="52">
                  <c:v>4.8546513745803078E-2</c:v>
                </c:pt>
                <c:pt idx="53">
                  <c:v>4.2842148011951693E-2</c:v>
                </c:pt>
                <c:pt idx="54">
                  <c:v>3.7431866408936067E-2</c:v>
                </c:pt>
                <c:pt idx="55">
                  <c:v>3.2379398916472804E-2</c:v>
                </c:pt>
                <c:pt idx="56">
                  <c:v>2.7730208669863771E-2</c:v>
                </c:pt>
                <c:pt idx="57">
                  <c:v>2.3512269344221619E-2</c:v>
                </c:pt>
                <c:pt idx="58">
                  <c:v>1.9737539575223437E-2</c:v>
                </c:pt>
                <c:pt idx="59">
                  <c:v>1.6403953693669055E-2</c:v>
                </c:pt>
                <c:pt idx="60">
                  <c:v>1.3497741628296929E-2</c:v>
                </c:pt>
                <c:pt idx="61">
                  <c:v>1.0995898995106725E-2</c:v>
                </c:pt>
                <c:pt idx="62">
                  <c:v>8.8686482115577971E-3</c:v>
                </c:pt>
                <c:pt idx="63">
                  <c:v>7.0817594354002401E-3</c:v>
                </c:pt>
                <c:pt idx="64">
                  <c:v>5.598632573710678E-3</c:v>
                </c:pt>
                <c:pt idx="65">
                  <c:v>4.3820751233920952E-3</c:v>
                </c:pt>
                <c:pt idx="66">
                  <c:v>3.3957423084213715E-3</c:v>
                </c:pt>
                <c:pt idx="67">
                  <c:v>2.6052337036056219E-3</c:v>
                </c:pt>
                <c:pt idx="68">
                  <c:v>1.97886289574497E-3</c:v>
                </c:pt>
                <c:pt idx="69">
                  <c:v>1.4881331049439463E-3</c:v>
                </c:pt>
                <c:pt idx="70">
                  <c:v>1.1079621029844882E-3</c:v>
                </c:pt>
                <c:pt idx="71">
                  <c:v>8.1670476404996958E-4</c:v>
                </c:pt>
                <c:pt idx="72">
                  <c:v>5.9602205036620262E-4</c:v>
                </c:pt>
                <c:pt idx="73">
                  <c:v>4.306422347634138E-4</c:v>
                </c:pt>
                <c:pt idx="74">
                  <c:v>3.0805479211825032E-4</c:v>
                </c:pt>
                <c:pt idx="75">
                  <c:v>2.1817067376143651E-4</c:v>
                </c:pt>
                <c:pt idx="76">
                  <c:v>1.5297548252844081E-4</c:v>
                </c:pt>
                <c:pt idx="77">
                  <c:v>1.0619506763768645E-4</c:v>
                </c:pt>
                <c:pt idx="78">
                  <c:v>7.2986731447864092E-5</c:v>
                </c:pt>
                <c:pt idx="79">
                  <c:v>4.9663867848192563E-5</c:v>
                </c:pt>
                <c:pt idx="80">
                  <c:v>3.3457556441220983E-5</c:v>
                </c:pt>
                <c:pt idx="81">
                  <c:v>2.2315414294282995E-5</c:v>
                </c:pt>
                <c:pt idx="82">
                  <c:v>1.4735766939134857E-5</c:v>
                </c:pt>
                <c:pt idx="83">
                  <c:v>9.6337991855217129E-6</c:v>
                </c:pt>
                <c:pt idx="84">
                  <c:v>6.235617822513361E-6</c:v>
                </c:pt>
                <c:pt idx="85">
                  <c:v>3.9959352767263551E-6</c:v>
                </c:pt>
              </c:numCache>
            </c:numRef>
          </c:yVal>
          <c:smooth val="1"/>
        </c:ser>
        <c:ser>
          <c:idx val="1"/>
          <c:order val="1"/>
          <c:tx>
            <c:v>EE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Spreadsheet7.1!$H$11:$H$12</c:f>
              <c:numCache>
                <c:formatCode>0.00</c:formatCode>
                <c:ptCount val="2"/>
                <c:pt idx="0">
                  <c:v>2.7911862296052243</c:v>
                </c:pt>
                <c:pt idx="1">
                  <c:v>2.7911862296052243</c:v>
                </c:pt>
              </c:numCache>
            </c:numRef>
          </c:xVal>
          <c:yVal>
            <c:numRef>
              <c:f>Spreadsheet7.1!$J$11:$J$12</c:f>
              <c:numCache>
                <c:formatCode>0.00</c:formatCode>
                <c:ptCount val="2"/>
                <c:pt idx="0">
                  <c:v>0</c:v>
                </c:pt>
                <c:pt idx="1">
                  <c:v>9.9735570100358176E-2</c:v>
                </c:pt>
              </c:numCache>
            </c:numRef>
          </c:yVal>
          <c:smooth val="1"/>
        </c:ser>
        <c:ser>
          <c:idx val="2"/>
          <c:order val="2"/>
          <c:tx>
            <c:v>PFE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Spreadsheet7.1!$I$11:$I$12</c:f>
              <c:numCache>
                <c:formatCode>0.00</c:formatCode>
                <c:ptCount val="2"/>
                <c:pt idx="0">
                  <c:v>11.305391496163363</c:v>
                </c:pt>
                <c:pt idx="1">
                  <c:v>11.305391496163363</c:v>
                </c:pt>
              </c:numCache>
            </c:numRef>
          </c:xVal>
          <c:yVal>
            <c:numRef>
              <c:f>Spreadsheet7.1!$J$11:$J$12</c:f>
              <c:numCache>
                <c:formatCode>0.00</c:formatCode>
                <c:ptCount val="2"/>
                <c:pt idx="0">
                  <c:v>0</c:v>
                </c:pt>
                <c:pt idx="1">
                  <c:v>9.9735570100358176E-2</c:v>
                </c:pt>
              </c:numCache>
            </c:numRef>
          </c:yVal>
          <c:smooth val="1"/>
        </c:ser>
        <c:ser>
          <c:idx val="3"/>
          <c:order val="3"/>
          <c:tx>
            <c:v>Mean</c:v>
          </c:tx>
          <c:spPr>
            <a:ln w="22225">
              <a:solidFill>
                <a:srgbClr val="808080"/>
              </a:solidFill>
              <a:prstDash val="sysDash"/>
            </a:ln>
          </c:spPr>
          <c:marker>
            <c:symbol val="none"/>
          </c:marker>
          <c:xVal>
            <c:numRef>
              <c:f>Spreadsheet7.1!$K$11:$K$12</c:f>
              <c:numCache>
                <c:formatCode>0.00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Spreadsheet7.1!$J$11:$J$12</c:f>
              <c:numCache>
                <c:formatCode>0.00</c:formatCode>
                <c:ptCount val="2"/>
                <c:pt idx="0">
                  <c:v>0</c:v>
                </c:pt>
                <c:pt idx="1">
                  <c:v>9.9735570100358176E-2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311792"/>
        <c:axId val="342316888"/>
      </c:scatterChart>
      <c:valAx>
        <c:axId val="342311792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316888"/>
        <c:crosses val="autoZero"/>
        <c:crossBetween val="midCat"/>
      </c:valAx>
      <c:valAx>
        <c:axId val="342316888"/>
        <c:scaling>
          <c:orientation val="minMax"/>
        </c:scaling>
        <c:delete val="1"/>
        <c:axPos val="l"/>
        <c:numFmt formatCode="0.0000" sourceLinked="1"/>
        <c:majorTickMark val="out"/>
        <c:minorTickMark val="none"/>
        <c:tickLblPos val="nextTo"/>
        <c:crossAx val="342311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12096795360257387"/>
          <c:y val="2.9197080291970802E-2"/>
          <c:w val="0.73167957835915676"/>
          <c:h val="8.112994999712627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Spreadsheet7.2!$C$11</c:f>
              <c:strCache>
                <c:ptCount val="1"/>
                <c:pt idx="0">
                  <c:v>EE</c:v>
                </c:pt>
              </c:strCache>
            </c:strRef>
          </c:tx>
          <c:spPr>
            <a:ln w="22225"/>
          </c:spPr>
          <c:xVal>
            <c:numRef>
              <c:f>Spreadsheet7.2!$B$12:$B$36</c:f>
              <c:numCache>
                <c:formatCode>0.000</c:formatCode>
                <c:ptCount val="25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0.20833333333333331</c:v>
                </c:pt>
                <c:pt idx="6">
                  <c:v>0.24999999999999997</c:v>
                </c:pt>
                <c:pt idx="7">
                  <c:v>0.29166666666666663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0.45833333333333337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0.58333333333333326</c:v>
                </c:pt>
                <c:pt idx="15">
                  <c:v>0.62499999999999989</c:v>
                </c:pt>
                <c:pt idx="16">
                  <c:v>0.66666666666666652</c:v>
                </c:pt>
                <c:pt idx="17">
                  <c:v>0.70833333333333315</c:v>
                </c:pt>
                <c:pt idx="18">
                  <c:v>0.74999999999999978</c:v>
                </c:pt>
                <c:pt idx="19">
                  <c:v>0.79166666666666641</c:v>
                </c:pt>
                <c:pt idx="20">
                  <c:v>0.83333333333333304</c:v>
                </c:pt>
                <c:pt idx="21">
                  <c:v>0.87499999999999967</c:v>
                </c:pt>
                <c:pt idx="22">
                  <c:v>0.9166666666666663</c:v>
                </c:pt>
                <c:pt idx="23">
                  <c:v>0.95833333333333293</c:v>
                </c:pt>
                <c:pt idx="24">
                  <c:v>0.99999999999999956</c:v>
                </c:pt>
              </c:numCache>
            </c:numRef>
          </c:xVal>
          <c:yVal>
            <c:numRef>
              <c:f>Spreadsheet7.2!$C$12:$C$36</c:f>
              <c:numCache>
                <c:formatCode>0.000</c:formatCode>
                <c:ptCount val="25"/>
                <c:pt idx="0">
                  <c:v>0.11</c:v>
                </c:pt>
                <c:pt idx="1">
                  <c:v>0.21</c:v>
                </c:pt>
                <c:pt idx="2">
                  <c:v>0.28999999999999998</c:v>
                </c:pt>
                <c:pt idx="3">
                  <c:v>0.4</c:v>
                </c:pt>
                <c:pt idx="4">
                  <c:v>0.62</c:v>
                </c:pt>
                <c:pt idx="5">
                  <c:v>0.45</c:v>
                </c:pt>
                <c:pt idx="6">
                  <c:v>0.35</c:v>
                </c:pt>
                <c:pt idx="7">
                  <c:v>0.38</c:v>
                </c:pt>
                <c:pt idx="8">
                  <c:v>0.55000000000000004</c:v>
                </c:pt>
                <c:pt idx="9">
                  <c:v>0.75</c:v>
                </c:pt>
                <c:pt idx="10">
                  <c:v>0.94</c:v>
                </c:pt>
                <c:pt idx="11">
                  <c:v>0.52</c:v>
                </c:pt>
                <c:pt idx="12">
                  <c:v>0.4</c:v>
                </c:pt>
                <c:pt idx="13">
                  <c:v>0.35</c:v>
                </c:pt>
                <c:pt idx="14">
                  <c:v>0.3</c:v>
                </c:pt>
                <c:pt idx="15">
                  <c:v>0.25</c:v>
                </c:pt>
                <c:pt idx="16">
                  <c:v>0.22</c:v>
                </c:pt>
                <c:pt idx="17">
                  <c:v>0.2</c:v>
                </c:pt>
                <c:pt idx="18">
                  <c:v>0.15599999999999997</c:v>
                </c:pt>
                <c:pt idx="19">
                  <c:v>0.1</c:v>
                </c:pt>
                <c:pt idx="20">
                  <c:v>0.05</c:v>
                </c:pt>
                <c:pt idx="21">
                  <c:v>0.03</c:v>
                </c:pt>
                <c:pt idx="22">
                  <c:v>9.9999999999999811E-3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Spreadsheet7.2!$D$11</c:f>
              <c:strCache>
                <c:ptCount val="1"/>
                <c:pt idx="0">
                  <c:v>Effective EE</c:v>
                </c:pt>
              </c:strCache>
            </c:strRef>
          </c:tx>
          <c:spPr>
            <a:ln w="22225"/>
          </c:spPr>
          <c:xVal>
            <c:numRef>
              <c:f>Spreadsheet7.2!$B$12:$B$36</c:f>
              <c:numCache>
                <c:formatCode>0.000</c:formatCode>
                <c:ptCount val="25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0.20833333333333331</c:v>
                </c:pt>
                <c:pt idx="6">
                  <c:v>0.24999999999999997</c:v>
                </c:pt>
                <c:pt idx="7">
                  <c:v>0.29166666666666663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0.45833333333333337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0.58333333333333326</c:v>
                </c:pt>
                <c:pt idx="15">
                  <c:v>0.62499999999999989</c:v>
                </c:pt>
                <c:pt idx="16">
                  <c:v>0.66666666666666652</c:v>
                </c:pt>
                <c:pt idx="17">
                  <c:v>0.70833333333333315</c:v>
                </c:pt>
                <c:pt idx="18">
                  <c:v>0.74999999999999978</c:v>
                </c:pt>
                <c:pt idx="19">
                  <c:v>0.79166666666666641</c:v>
                </c:pt>
                <c:pt idx="20">
                  <c:v>0.83333333333333304</c:v>
                </c:pt>
                <c:pt idx="21">
                  <c:v>0.87499999999999967</c:v>
                </c:pt>
                <c:pt idx="22">
                  <c:v>0.9166666666666663</c:v>
                </c:pt>
                <c:pt idx="23">
                  <c:v>0.95833333333333293</c:v>
                </c:pt>
                <c:pt idx="24">
                  <c:v>0.99999999999999956</c:v>
                </c:pt>
              </c:numCache>
            </c:numRef>
          </c:xVal>
          <c:yVal>
            <c:numRef>
              <c:f>Spreadsheet7.2!$D$12:$D$36</c:f>
              <c:numCache>
                <c:formatCode>0.000</c:formatCode>
                <c:ptCount val="25"/>
                <c:pt idx="0">
                  <c:v>0.11</c:v>
                </c:pt>
                <c:pt idx="1">
                  <c:v>0.21</c:v>
                </c:pt>
                <c:pt idx="2">
                  <c:v>0.28999999999999998</c:v>
                </c:pt>
                <c:pt idx="3">
                  <c:v>0.4</c:v>
                </c:pt>
                <c:pt idx="4">
                  <c:v>0.62</c:v>
                </c:pt>
                <c:pt idx="5">
                  <c:v>0.62</c:v>
                </c:pt>
                <c:pt idx="6">
                  <c:v>0.62</c:v>
                </c:pt>
                <c:pt idx="7">
                  <c:v>0.62</c:v>
                </c:pt>
                <c:pt idx="8">
                  <c:v>0.62</c:v>
                </c:pt>
                <c:pt idx="9">
                  <c:v>0.75</c:v>
                </c:pt>
                <c:pt idx="10">
                  <c:v>0.94</c:v>
                </c:pt>
                <c:pt idx="11">
                  <c:v>0.94</c:v>
                </c:pt>
                <c:pt idx="12">
                  <c:v>0.94</c:v>
                </c:pt>
                <c:pt idx="13">
                  <c:v>0.94</c:v>
                </c:pt>
                <c:pt idx="14">
                  <c:v>0.94</c:v>
                </c:pt>
                <c:pt idx="15">
                  <c:v>0.94</c:v>
                </c:pt>
                <c:pt idx="16">
                  <c:v>0.94</c:v>
                </c:pt>
                <c:pt idx="17">
                  <c:v>0.94</c:v>
                </c:pt>
                <c:pt idx="18">
                  <c:v>0.94</c:v>
                </c:pt>
                <c:pt idx="19">
                  <c:v>0.94</c:v>
                </c:pt>
                <c:pt idx="20">
                  <c:v>0.94</c:v>
                </c:pt>
                <c:pt idx="21">
                  <c:v>0.94</c:v>
                </c:pt>
                <c:pt idx="22">
                  <c:v>0.94</c:v>
                </c:pt>
                <c:pt idx="23">
                  <c:v>0.94</c:v>
                </c:pt>
                <c:pt idx="24">
                  <c:v>0.94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Spreadsheet7.2!$E$11</c:f>
              <c:strCache>
                <c:ptCount val="1"/>
                <c:pt idx="0">
                  <c:v>EPE</c:v>
                </c:pt>
              </c:strCache>
            </c:strRef>
          </c:tx>
          <c:spPr>
            <a:ln w="22225"/>
          </c:spPr>
          <c:xVal>
            <c:numRef>
              <c:f>Spreadsheet7.2!$B$12:$B$36</c:f>
              <c:numCache>
                <c:formatCode>0.000</c:formatCode>
                <c:ptCount val="25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0.20833333333333331</c:v>
                </c:pt>
                <c:pt idx="6">
                  <c:v>0.24999999999999997</c:v>
                </c:pt>
                <c:pt idx="7">
                  <c:v>0.29166666666666663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0.45833333333333337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0.58333333333333326</c:v>
                </c:pt>
                <c:pt idx="15">
                  <c:v>0.62499999999999989</c:v>
                </c:pt>
                <c:pt idx="16">
                  <c:v>0.66666666666666652</c:v>
                </c:pt>
                <c:pt idx="17">
                  <c:v>0.70833333333333315</c:v>
                </c:pt>
                <c:pt idx="18">
                  <c:v>0.74999999999999978</c:v>
                </c:pt>
                <c:pt idx="19">
                  <c:v>0.79166666666666641</c:v>
                </c:pt>
                <c:pt idx="20">
                  <c:v>0.83333333333333304</c:v>
                </c:pt>
                <c:pt idx="21">
                  <c:v>0.87499999999999967</c:v>
                </c:pt>
                <c:pt idx="22">
                  <c:v>0.9166666666666663</c:v>
                </c:pt>
                <c:pt idx="23">
                  <c:v>0.95833333333333293</c:v>
                </c:pt>
                <c:pt idx="24">
                  <c:v>0.99999999999999956</c:v>
                </c:pt>
              </c:numCache>
            </c:numRef>
          </c:xVal>
          <c:yVal>
            <c:numRef>
              <c:f>Spreadsheet7.2!$E$12:$E$36</c:f>
              <c:numCache>
                <c:formatCode>0.000</c:formatCode>
                <c:ptCount val="25"/>
                <c:pt idx="0">
                  <c:v>0.30543999999999999</c:v>
                </c:pt>
                <c:pt idx="1">
                  <c:v>0.30543999999999999</c:v>
                </c:pt>
                <c:pt idx="2">
                  <c:v>0.30543999999999999</c:v>
                </c:pt>
                <c:pt idx="3">
                  <c:v>0.30543999999999999</c:v>
                </c:pt>
                <c:pt idx="4">
                  <c:v>0.30543999999999999</c:v>
                </c:pt>
                <c:pt idx="5">
                  <c:v>0.30543999999999999</c:v>
                </c:pt>
                <c:pt idx="6">
                  <c:v>0.30543999999999999</c:v>
                </c:pt>
                <c:pt idx="7">
                  <c:v>0.30543999999999999</c:v>
                </c:pt>
                <c:pt idx="8">
                  <c:v>0.30543999999999999</c:v>
                </c:pt>
                <c:pt idx="9">
                  <c:v>0.30543999999999999</c:v>
                </c:pt>
                <c:pt idx="10">
                  <c:v>0.30543999999999999</c:v>
                </c:pt>
                <c:pt idx="11">
                  <c:v>0.30543999999999999</c:v>
                </c:pt>
                <c:pt idx="12">
                  <c:v>0.30543999999999999</c:v>
                </c:pt>
                <c:pt idx="13">
                  <c:v>0.30543999999999999</c:v>
                </c:pt>
                <c:pt idx="14">
                  <c:v>0.30543999999999999</c:v>
                </c:pt>
                <c:pt idx="15">
                  <c:v>0.30543999999999999</c:v>
                </c:pt>
                <c:pt idx="16">
                  <c:v>0.30543999999999999</c:v>
                </c:pt>
                <c:pt idx="17">
                  <c:v>0.30543999999999999</c:v>
                </c:pt>
                <c:pt idx="18">
                  <c:v>0.30543999999999999</c:v>
                </c:pt>
                <c:pt idx="19">
                  <c:v>0.30543999999999999</c:v>
                </c:pt>
                <c:pt idx="20">
                  <c:v>0.30543999999999999</c:v>
                </c:pt>
                <c:pt idx="21">
                  <c:v>0.30543999999999999</c:v>
                </c:pt>
                <c:pt idx="22">
                  <c:v>0.30543999999999999</c:v>
                </c:pt>
                <c:pt idx="23">
                  <c:v>0.30543999999999999</c:v>
                </c:pt>
                <c:pt idx="24">
                  <c:v>0.30543999999999999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Spreadsheet7.2!$F$11</c:f>
              <c:strCache>
                <c:ptCount val="1"/>
                <c:pt idx="0">
                  <c:v>Effective EPE</c:v>
                </c:pt>
              </c:strCache>
            </c:strRef>
          </c:tx>
          <c:spPr>
            <a:ln w="22225"/>
          </c:spPr>
          <c:xVal>
            <c:numRef>
              <c:f>Spreadsheet7.2!$B$12:$B$36</c:f>
              <c:numCache>
                <c:formatCode>0.000</c:formatCode>
                <c:ptCount val="25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0.20833333333333331</c:v>
                </c:pt>
                <c:pt idx="6">
                  <c:v>0.24999999999999997</c:v>
                </c:pt>
                <c:pt idx="7">
                  <c:v>0.29166666666666663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0.45833333333333337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0.58333333333333326</c:v>
                </c:pt>
                <c:pt idx="15">
                  <c:v>0.62499999999999989</c:v>
                </c:pt>
                <c:pt idx="16">
                  <c:v>0.66666666666666652</c:v>
                </c:pt>
                <c:pt idx="17">
                  <c:v>0.70833333333333315</c:v>
                </c:pt>
                <c:pt idx="18">
                  <c:v>0.74999999999999978</c:v>
                </c:pt>
                <c:pt idx="19">
                  <c:v>0.79166666666666641</c:v>
                </c:pt>
                <c:pt idx="20">
                  <c:v>0.83333333333333304</c:v>
                </c:pt>
                <c:pt idx="21">
                  <c:v>0.87499999999999967</c:v>
                </c:pt>
                <c:pt idx="22">
                  <c:v>0.9166666666666663</c:v>
                </c:pt>
                <c:pt idx="23">
                  <c:v>0.95833333333333293</c:v>
                </c:pt>
                <c:pt idx="24">
                  <c:v>0.99999999999999956</c:v>
                </c:pt>
              </c:numCache>
            </c:numRef>
          </c:xVal>
          <c:yVal>
            <c:numRef>
              <c:f>Spreadsheet7.2!$F$12:$F$36</c:f>
              <c:numCache>
                <c:formatCode>0.000</c:formatCode>
                <c:ptCount val="25"/>
                <c:pt idx="0">
                  <c:v>0.75840000000000007</c:v>
                </c:pt>
                <c:pt idx="1">
                  <c:v>0.75840000000000007</c:v>
                </c:pt>
                <c:pt idx="2">
                  <c:v>0.75840000000000007</c:v>
                </c:pt>
                <c:pt idx="3">
                  <c:v>0.75840000000000007</c:v>
                </c:pt>
                <c:pt idx="4">
                  <c:v>0.75840000000000007</c:v>
                </c:pt>
                <c:pt idx="5">
                  <c:v>0.75840000000000007</c:v>
                </c:pt>
                <c:pt idx="6">
                  <c:v>0.75840000000000007</c:v>
                </c:pt>
                <c:pt idx="7">
                  <c:v>0.75840000000000007</c:v>
                </c:pt>
                <c:pt idx="8">
                  <c:v>0.75840000000000007</c:v>
                </c:pt>
                <c:pt idx="9">
                  <c:v>0.75840000000000007</c:v>
                </c:pt>
                <c:pt idx="10">
                  <c:v>0.75840000000000007</c:v>
                </c:pt>
                <c:pt idx="11">
                  <c:v>0.75840000000000007</c:v>
                </c:pt>
                <c:pt idx="12">
                  <c:v>0.75840000000000007</c:v>
                </c:pt>
                <c:pt idx="13">
                  <c:v>0.75840000000000007</c:v>
                </c:pt>
                <c:pt idx="14">
                  <c:v>0.75840000000000007</c:v>
                </c:pt>
                <c:pt idx="15">
                  <c:v>0.75840000000000007</c:v>
                </c:pt>
                <c:pt idx="16">
                  <c:v>0.75840000000000007</c:v>
                </c:pt>
                <c:pt idx="17">
                  <c:v>0.75840000000000007</c:v>
                </c:pt>
                <c:pt idx="18">
                  <c:v>0.75840000000000007</c:v>
                </c:pt>
                <c:pt idx="19">
                  <c:v>0.75840000000000007</c:v>
                </c:pt>
                <c:pt idx="20">
                  <c:v>0.75840000000000007</c:v>
                </c:pt>
                <c:pt idx="21">
                  <c:v>0.75840000000000007</c:v>
                </c:pt>
                <c:pt idx="22">
                  <c:v>0.75840000000000007</c:v>
                </c:pt>
                <c:pt idx="23">
                  <c:v>0.75840000000000007</c:v>
                </c:pt>
                <c:pt idx="24">
                  <c:v>0.75840000000000007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313752"/>
        <c:axId val="342318456"/>
      </c:scatterChart>
      <c:valAx>
        <c:axId val="3423137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42318456"/>
        <c:crosses val="autoZero"/>
        <c:crossBetween val="midCat"/>
      </c:valAx>
      <c:valAx>
        <c:axId val="3423184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Exposure</a:t>
                </a:r>
              </a:p>
            </c:rich>
          </c:tx>
          <c:layout>
            <c:manualLayout>
              <c:xMode val="edge"/>
              <c:yMode val="edge"/>
              <c:x val="2.5000000000000001E-2"/>
              <c:y val="0.37214967920676584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34231375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Spreadsheet7.3!$C$15</c:f>
              <c:strCache>
                <c:ptCount val="1"/>
                <c:pt idx="0">
                  <c:v>IRS</c:v>
                </c:pt>
              </c:strCache>
            </c:strRef>
          </c:tx>
          <c:marker>
            <c:symbol val="none"/>
          </c:marker>
          <c:xVal>
            <c:numRef>
              <c:f>Spreadsheet7.3!$B$16:$B$69</c:f>
              <c:numCache>
                <c:formatCode>0.000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0.60000000000000009</c:v>
                </c:pt>
                <c:pt idx="7">
                  <c:v>0.8</c:v>
                </c:pt>
                <c:pt idx="8">
                  <c:v>1</c:v>
                </c:pt>
                <c:pt idx="9">
                  <c:v>1.2</c:v>
                </c:pt>
                <c:pt idx="10">
                  <c:v>1.4</c:v>
                </c:pt>
                <c:pt idx="11">
                  <c:v>1.5999999999999999</c:v>
                </c:pt>
                <c:pt idx="12">
                  <c:v>1.7999999999999998</c:v>
                </c:pt>
                <c:pt idx="13">
                  <c:v>1.9999999999999998</c:v>
                </c:pt>
                <c:pt idx="14">
                  <c:v>2.1999999999999997</c:v>
                </c:pt>
                <c:pt idx="15">
                  <c:v>2.4</c:v>
                </c:pt>
                <c:pt idx="16">
                  <c:v>2.6</c:v>
                </c:pt>
                <c:pt idx="17">
                  <c:v>2.8000000000000003</c:v>
                </c:pt>
                <c:pt idx="18">
                  <c:v>3.0000000000000004</c:v>
                </c:pt>
                <c:pt idx="19">
                  <c:v>3.2000000000000006</c:v>
                </c:pt>
                <c:pt idx="20">
                  <c:v>3.4000000000000008</c:v>
                </c:pt>
                <c:pt idx="21">
                  <c:v>3.600000000000001</c:v>
                </c:pt>
                <c:pt idx="22">
                  <c:v>3.8000000000000012</c:v>
                </c:pt>
                <c:pt idx="23">
                  <c:v>4.0000000000000009</c:v>
                </c:pt>
                <c:pt idx="24">
                  <c:v>4.2000000000000011</c:v>
                </c:pt>
                <c:pt idx="25">
                  <c:v>4.4000000000000012</c:v>
                </c:pt>
                <c:pt idx="26">
                  <c:v>4.6000000000000014</c:v>
                </c:pt>
                <c:pt idx="27">
                  <c:v>4.8000000000000016</c:v>
                </c:pt>
                <c:pt idx="28">
                  <c:v>5.0000000000000018</c:v>
                </c:pt>
                <c:pt idx="29">
                  <c:v>5.200000000000002</c:v>
                </c:pt>
                <c:pt idx="30">
                  <c:v>5.4000000000000021</c:v>
                </c:pt>
                <c:pt idx="31">
                  <c:v>5.6000000000000023</c:v>
                </c:pt>
                <c:pt idx="32">
                  <c:v>5.8000000000000025</c:v>
                </c:pt>
                <c:pt idx="33">
                  <c:v>6.0000000000000027</c:v>
                </c:pt>
                <c:pt idx="34">
                  <c:v>6.2000000000000028</c:v>
                </c:pt>
                <c:pt idx="35">
                  <c:v>6.400000000000003</c:v>
                </c:pt>
                <c:pt idx="36">
                  <c:v>6.6000000000000032</c:v>
                </c:pt>
                <c:pt idx="37">
                  <c:v>6.8000000000000034</c:v>
                </c:pt>
                <c:pt idx="38">
                  <c:v>7.0000000000000036</c:v>
                </c:pt>
                <c:pt idx="39">
                  <c:v>7.2000000000000037</c:v>
                </c:pt>
                <c:pt idx="40">
                  <c:v>7.4000000000000039</c:v>
                </c:pt>
                <c:pt idx="41">
                  <c:v>7.6000000000000041</c:v>
                </c:pt>
                <c:pt idx="42">
                  <c:v>7.8000000000000043</c:v>
                </c:pt>
                <c:pt idx="43">
                  <c:v>8.0000000000000036</c:v>
                </c:pt>
                <c:pt idx="44">
                  <c:v>8.2000000000000028</c:v>
                </c:pt>
                <c:pt idx="45">
                  <c:v>8.4000000000000021</c:v>
                </c:pt>
                <c:pt idx="46">
                  <c:v>8.6000000000000014</c:v>
                </c:pt>
                <c:pt idx="47">
                  <c:v>8.8000000000000007</c:v>
                </c:pt>
                <c:pt idx="48">
                  <c:v>9</c:v>
                </c:pt>
                <c:pt idx="49">
                  <c:v>9.1999999999999993</c:v>
                </c:pt>
                <c:pt idx="50">
                  <c:v>9.3999999999999986</c:v>
                </c:pt>
                <c:pt idx="51">
                  <c:v>9.5999999999999979</c:v>
                </c:pt>
                <c:pt idx="52">
                  <c:v>9.7999999999999972</c:v>
                </c:pt>
                <c:pt idx="53">
                  <c:v>9.9999999999999964</c:v>
                </c:pt>
              </c:numCache>
            </c:numRef>
          </c:xVal>
          <c:yVal>
            <c:numRef>
              <c:f>Spreadsheet7.3!$C$16:$C$69</c:f>
              <c:numCache>
                <c:formatCode>0.000</c:formatCode>
                <c:ptCount val="54"/>
                <c:pt idx="0">
                  <c:v>0</c:v>
                </c:pt>
                <c:pt idx="1">
                  <c:v>3.4885597114947937E-2</c:v>
                </c:pt>
                <c:pt idx="2">
                  <c:v>4.9087766558521269E-2</c:v>
                </c:pt>
                <c:pt idx="3">
                  <c:v>6.8719367181203986E-2</c:v>
                </c:pt>
                <c:pt idx="4">
                  <c:v>8.3304879331470807E-2</c:v>
                </c:pt>
                <c:pt idx="5">
                  <c:v>9.5200516961980647E-2</c:v>
                </c:pt>
                <c:pt idx="6">
                  <c:v>0.11416725438420099</c:v>
                </c:pt>
                <c:pt idx="7">
                  <c:v>0.12902411797287275</c:v>
                </c:pt>
                <c:pt idx="8">
                  <c:v>0.14111740688688387</c:v>
                </c:pt>
                <c:pt idx="9">
                  <c:v>0.1511511212612254</c:v>
                </c:pt>
                <c:pt idx="10">
                  <c:v>0.15955137347048112</c:v>
                </c:pt>
                <c:pt idx="11">
                  <c:v>0.16660090468346614</c:v>
                </c:pt>
                <c:pt idx="12">
                  <c:v>0.17249963598547119</c:v>
                </c:pt>
                <c:pt idx="13">
                  <c:v>0.17739568951675869</c:v>
                </c:pt>
                <c:pt idx="14">
                  <c:v>0.18140281457261101</c:v>
                </c:pt>
                <c:pt idx="15">
                  <c:v>0.18461087942977178</c:v>
                </c:pt>
                <c:pt idx="16">
                  <c:v>0.18709254027761071</c:v>
                </c:pt>
                <c:pt idx="17">
                  <c:v>0.1889076694246403</c:v>
                </c:pt>
                <c:pt idx="18">
                  <c:v>0.19010640332479681</c:v>
                </c:pt>
                <c:pt idx="19">
                  <c:v>0.19073130482946407</c:v>
                </c:pt>
                <c:pt idx="20">
                  <c:v>0.1908189369520889</c:v>
                </c:pt>
                <c:pt idx="21">
                  <c:v>0.19040103392396127</c:v>
                </c:pt>
                <c:pt idx="22">
                  <c:v>0.18950538953499885</c:v>
                </c:pt>
                <c:pt idx="23">
                  <c:v>0.18815654251584513</c:v>
                </c:pt>
                <c:pt idx="24">
                  <c:v>0.18637631332046142</c:v>
                </c:pt>
                <c:pt idx="25">
                  <c:v>0.18418423018960689</c:v>
                </c:pt>
                <c:pt idx="26">
                  <c:v>0.18159787141882508</c:v>
                </c:pt>
                <c:pt idx="27">
                  <c:v>0.1786331433087209</c:v>
                </c:pt>
                <c:pt idx="28">
                  <c:v>0.17530450811531623</c:v>
                </c:pt>
                <c:pt idx="29">
                  <c:v>0.17162517267855018</c:v>
                </c:pt>
                <c:pt idx="30">
                  <c:v>0.16760724579808225</c:v>
                </c:pt>
                <c:pt idx="31">
                  <c:v>0.16326187052793409</c:v>
                </c:pt>
                <c:pt idx="32">
                  <c:v>0.15859933616261715</c:v>
                </c:pt>
                <c:pt idx="33">
                  <c:v>0.15362917364336981</c:v>
                </c:pt>
                <c:pt idx="34">
                  <c:v>0.14836023732504139</c:v>
                </c:pt>
                <c:pt idx="35">
                  <c:v>0.14280077544297087</c:v>
                </c:pt>
                <c:pt idx="36">
                  <c:v>0.13695849115609962</c:v>
                </c:pt>
                <c:pt idx="37">
                  <c:v>0.13084059568255052</c:v>
                </c:pt>
                <c:pt idx="38">
                  <c:v>0.1244538547616693</c:v>
                </c:pt>
                <c:pt idx="39">
                  <c:v>0.1178046294534924</c:v>
                </c:pt>
                <c:pt idx="40">
                  <c:v>0.1108989121090453</c:v>
                </c:pt>
                <c:pt idx="41">
                  <c:v>0.10374235820252571</c:v>
                </c:pt>
                <c:pt idx="42">
                  <c:v>9.6340314601552041E-2</c:v>
                </c:pt>
                <c:pt idx="43">
                  <c:v>8.8697844758379218E-2</c:v>
                </c:pt>
                <c:pt idx="44">
                  <c:v>8.0819751228798489E-2</c:v>
                </c:pt>
                <c:pt idx="45">
                  <c:v>7.2710595862867183E-2</c:v>
                </c:pt>
                <c:pt idx="46">
                  <c:v>6.4374717959954433E-2</c:v>
                </c:pt>
                <c:pt idx="47">
                  <c:v>5.5816250637726425E-2</c:v>
                </c:pt>
                <c:pt idx="48">
                  <c:v>4.7039135628961289E-2</c:v>
                </c:pt>
                <c:pt idx="49">
                  <c:v>3.8047136690161194E-2</c:v>
                </c:pt>
                <c:pt idx="50">
                  <c:v>2.8843851780763513E-2</c:v>
                </c:pt>
                <c:pt idx="51">
                  <c:v>1.9432724150502394E-2</c:v>
                </c:pt>
                <c:pt idx="52">
                  <c:v>9.8170524544578495E-3</c:v>
                </c:pt>
                <c:pt idx="53">
                  <c:v>1.7615634314568108E-16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Spreadsheet7.3!$D$15</c:f>
              <c:strCache>
                <c:ptCount val="1"/>
                <c:pt idx="0">
                  <c:v>FX Forward</c:v>
                </c:pt>
              </c:strCache>
            </c:strRef>
          </c:tx>
          <c:marker>
            <c:symbol val="none"/>
          </c:marker>
          <c:xVal>
            <c:numRef>
              <c:f>Spreadsheet7.3!$B$16:$B$69</c:f>
              <c:numCache>
                <c:formatCode>0.000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0.60000000000000009</c:v>
                </c:pt>
                <c:pt idx="7">
                  <c:v>0.8</c:v>
                </c:pt>
                <c:pt idx="8">
                  <c:v>1</c:v>
                </c:pt>
                <c:pt idx="9">
                  <c:v>1.2</c:v>
                </c:pt>
                <c:pt idx="10">
                  <c:v>1.4</c:v>
                </c:pt>
                <c:pt idx="11">
                  <c:v>1.5999999999999999</c:v>
                </c:pt>
                <c:pt idx="12">
                  <c:v>1.7999999999999998</c:v>
                </c:pt>
                <c:pt idx="13">
                  <c:v>1.9999999999999998</c:v>
                </c:pt>
                <c:pt idx="14">
                  <c:v>2.1999999999999997</c:v>
                </c:pt>
                <c:pt idx="15">
                  <c:v>2.4</c:v>
                </c:pt>
                <c:pt idx="16">
                  <c:v>2.6</c:v>
                </c:pt>
                <c:pt idx="17">
                  <c:v>2.8000000000000003</c:v>
                </c:pt>
                <c:pt idx="18">
                  <c:v>3.0000000000000004</c:v>
                </c:pt>
                <c:pt idx="19">
                  <c:v>3.2000000000000006</c:v>
                </c:pt>
                <c:pt idx="20">
                  <c:v>3.4000000000000008</c:v>
                </c:pt>
                <c:pt idx="21">
                  <c:v>3.600000000000001</c:v>
                </c:pt>
                <c:pt idx="22">
                  <c:v>3.8000000000000012</c:v>
                </c:pt>
                <c:pt idx="23">
                  <c:v>4.0000000000000009</c:v>
                </c:pt>
                <c:pt idx="24">
                  <c:v>4.2000000000000011</c:v>
                </c:pt>
                <c:pt idx="25">
                  <c:v>4.4000000000000012</c:v>
                </c:pt>
                <c:pt idx="26">
                  <c:v>4.6000000000000014</c:v>
                </c:pt>
                <c:pt idx="27">
                  <c:v>4.8000000000000016</c:v>
                </c:pt>
                <c:pt idx="28">
                  <c:v>5.0000000000000018</c:v>
                </c:pt>
                <c:pt idx="29">
                  <c:v>5.200000000000002</c:v>
                </c:pt>
                <c:pt idx="30">
                  <c:v>5.4000000000000021</c:v>
                </c:pt>
                <c:pt idx="31">
                  <c:v>5.6000000000000023</c:v>
                </c:pt>
                <c:pt idx="32">
                  <c:v>5.8000000000000025</c:v>
                </c:pt>
                <c:pt idx="33">
                  <c:v>6.0000000000000027</c:v>
                </c:pt>
                <c:pt idx="34">
                  <c:v>6.2000000000000028</c:v>
                </c:pt>
                <c:pt idx="35">
                  <c:v>6.400000000000003</c:v>
                </c:pt>
                <c:pt idx="36">
                  <c:v>6.6000000000000032</c:v>
                </c:pt>
                <c:pt idx="37">
                  <c:v>6.8000000000000034</c:v>
                </c:pt>
                <c:pt idx="38">
                  <c:v>7.0000000000000036</c:v>
                </c:pt>
                <c:pt idx="39">
                  <c:v>7.2000000000000037</c:v>
                </c:pt>
                <c:pt idx="40">
                  <c:v>7.4000000000000039</c:v>
                </c:pt>
                <c:pt idx="41">
                  <c:v>7.6000000000000041</c:v>
                </c:pt>
                <c:pt idx="42">
                  <c:v>7.8000000000000043</c:v>
                </c:pt>
                <c:pt idx="43">
                  <c:v>8.0000000000000036</c:v>
                </c:pt>
                <c:pt idx="44">
                  <c:v>8.2000000000000028</c:v>
                </c:pt>
                <c:pt idx="45">
                  <c:v>8.4000000000000021</c:v>
                </c:pt>
                <c:pt idx="46">
                  <c:v>8.6000000000000014</c:v>
                </c:pt>
                <c:pt idx="47">
                  <c:v>8.8000000000000007</c:v>
                </c:pt>
                <c:pt idx="48">
                  <c:v>9</c:v>
                </c:pt>
                <c:pt idx="49">
                  <c:v>9.1999999999999993</c:v>
                </c:pt>
                <c:pt idx="50">
                  <c:v>9.3999999999999986</c:v>
                </c:pt>
                <c:pt idx="51">
                  <c:v>9.5999999999999979</c:v>
                </c:pt>
                <c:pt idx="52">
                  <c:v>9.7999999999999972</c:v>
                </c:pt>
                <c:pt idx="53">
                  <c:v>9.9999999999999964</c:v>
                </c:pt>
              </c:numCache>
            </c:numRef>
          </c:xVal>
          <c:yVal>
            <c:numRef>
              <c:f>Spreadsheet7.3!$D$16:$D$69</c:f>
              <c:numCache>
                <c:formatCode>0.000</c:formatCode>
                <c:ptCount val="54"/>
                <c:pt idx="0">
                  <c:v>0</c:v>
                </c:pt>
                <c:pt idx="1">
                  <c:v>3.5060901623063252E-2</c:v>
                </c:pt>
                <c:pt idx="2">
                  <c:v>4.9583602584364915E-2</c:v>
                </c:pt>
                <c:pt idx="3">
                  <c:v>7.0121803246126505E-2</c:v>
                </c:pt>
                <c:pt idx="4">
                  <c:v>8.5881318898423514E-2</c:v>
                </c:pt>
                <c:pt idx="5">
                  <c:v>9.916720516872983E-2</c:v>
                </c:pt>
                <c:pt idx="6">
                  <c:v>0.12145452594063935</c:v>
                </c:pt>
                <c:pt idx="7">
                  <c:v>0.14024360649225301</c:v>
                </c:pt>
                <c:pt idx="8">
                  <c:v>0.15679711876320429</c:v>
                </c:pt>
                <c:pt idx="9">
                  <c:v>0.17176263779684703</c:v>
                </c:pt>
                <c:pt idx="10">
                  <c:v>0.18552485287265247</c:v>
                </c:pt>
                <c:pt idx="11">
                  <c:v>0.19833441033745966</c:v>
                </c:pt>
                <c:pt idx="12">
                  <c:v>0.21036540973837953</c:v>
                </c:pt>
                <c:pt idx="13">
                  <c:v>0.22174461189594838</c:v>
                </c:pt>
                <c:pt idx="14">
                  <c:v>0.23256771099052689</c:v>
                </c:pt>
                <c:pt idx="15">
                  <c:v>0.2429090518812787</c:v>
                </c:pt>
                <c:pt idx="16">
                  <c:v>0.25282775713190636</c:v>
                </c:pt>
                <c:pt idx="17">
                  <c:v>0.26237176308977822</c:v>
                </c:pt>
                <c:pt idx="18">
                  <c:v>0.27158057617828119</c:v>
                </c:pt>
                <c:pt idx="19">
                  <c:v>0.28048721298450607</c:v>
                </c:pt>
                <c:pt idx="20">
                  <c:v>0.28911960144255899</c:v>
                </c:pt>
                <c:pt idx="21">
                  <c:v>0.29750161550618953</c:v>
                </c:pt>
                <c:pt idx="22">
                  <c:v>0.30565385408870788</c:v>
                </c:pt>
                <c:pt idx="23">
                  <c:v>0.31359423752640858</c:v>
                </c:pt>
                <c:pt idx="24">
                  <c:v>0.32133847124217491</c:v>
                </c:pt>
                <c:pt idx="25">
                  <c:v>0.32890041105286955</c:v>
                </c:pt>
                <c:pt idx="26">
                  <c:v>0.33629235447930578</c:v>
                </c:pt>
                <c:pt idx="27">
                  <c:v>0.34352527559369411</c:v>
                </c:pt>
                <c:pt idx="28">
                  <c:v>0.35060901623063262</c:v>
                </c:pt>
                <c:pt idx="29">
                  <c:v>0.35755244308031303</c:v>
                </c:pt>
                <c:pt idx="30">
                  <c:v>0.36436357782191808</c:v>
                </c:pt>
                <c:pt idx="31">
                  <c:v>0.37104970574530499</c:v>
                </c:pt>
                <c:pt idx="32">
                  <c:v>0.37761746705385058</c:v>
                </c:pt>
                <c:pt idx="33">
                  <c:v>0.3840729341084248</c:v>
                </c:pt>
                <c:pt idx="34">
                  <c:v>0.39042167717116183</c:v>
                </c:pt>
                <c:pt idx="35">
                  <c:v>0.39666882067491938</c:v>
                </c:pt>
                <c:pt idx="36">
                  <c:v>0.40281909163558749</c:v>
                </c:pt>
                <c:pt idx="37">
                  <c:v>0.40887686150797076</c:v>
                </c:pt>
                <c:pt idx="38">
                  <c:v>0.41484618253889816</c:v>
                </c:pt>
                <c:pt idx="39">
                  <c:v>0.42073081947675911</c:v>
                </c:pt>
                <c:pt idx="40">
                  <c:v>0.4265342773424825</c:v>
                </c:pt>
                <c:pt idx="41">
                  <c:v>0.4322598258438578</c:v>
                </c:pt>
                <c:pt idx="42">
                  <c:v>0.43791052091614646</c:v>
                </c:pt>
                <c:pt idx="43">
                  <c:v>0.44348922379189692</c:v>
                </c:pt>
                <c:pt idx="44">
                  <c:v>0.44899861793777013</c:v>
                </c:pt>
                <c:pt idx="45">
                  <c:v>0.45444122414292049</c:v>
                </c:pt>
                <c:pt idx="46">
                  <c:v>0.45981941399967508</c:v>
                </c:pt>
                <c:pt idx="47">
                  <c:v>0.4651354219810539</c:v>
                </c:pt>
                <c:pt idx="48">
                  <c:v>0.47039135628961287</c:v>
                </c:pt>
                <c:pt idx="49">
                  <c:v>0.47558920862701454</c:v>
                </c:pt>
                <c:pt idx="50">
                  <c:v>0.48073086301272405</c:v>
                </c:pt>
                <c:pt idx="51">
                  <c:v>0.4858181037625573</c:v>
                </c:pt>
                <c:pt idx="52">
                  <c:v>0.49085262272288549</c:v>
                </c:pt>
                <c:pt idx="53">
                  <c:v>0.49583602584364905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Spreadsheet7.3!$E$15</c:f>
              <c:strCache>
                <c:ptCount val="1"/>
                <c:pt idx="0">
                  <c:v>CCS</c:v>
                </c:pt>
              </c:strCache>
            </c:strRef>
          </c:tx>
          <c:marker>
            <c:symbol val="none"/>
          </c:marker>
          <c:xVal>
            <c:numRef>
              <c:f>Spreadsheet7.3!$B$16:$B$69</c:f>
              <c:numCache>
                <c:formatCode>0.000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0.60000000000000009</c:v>
                </c:pt>
                <c:pt idx="7">
                  <c:v>0.8</c:v>
                </c:pt>
                <c:pt idx="8">
                  <c:v>1</c:v>
                </c:pt>
                <c:pt idx="9">
                  <c:v>1.2</c:v>
                </c:pt>
                <c:pt idx="10">
                  <c:v>1.4</c:v>
                </c:pt>
                <c:pt idx="11">
                  <c:v>1.5999999999999999</c:v>
                </c:pt>
                <c:pt idx="12">
                  <c:v>1.7999999999999998</c:v>
                </c:pt>
                <c:pt idx="13">
                  <c:v>1.9999999999999998</c:v>
                </c:pt>
                <c:pt idx="14">
                  <c:v>2.1999999999999997</c:v>
                </c:pt>
                <c:pt idx="15">
                  <c:v>2.4</c:v>
                </c:pt>
                <c:pt idx="16">
                  <c:v>2.6</c:v>
                </c:pt>
                <c:pt idx="17">
                  <c:v>2.8000000000000003</c:v>
                </c:pt>
                <c:pt idx="18">
                  <c:v>3.0000000000000004</c:v>
                </c:pt>
                <c:pt idx="19">
                  <c:v>3.2000000000000006</c:v>
                </c:pt>
                <c:pt idx="20">
                  <c:v>3.4000000000000008</c:v>
                </c:pt>
                <c:pt idx="21">
                  <c:v>3.600000000000001</c:v>
                </c:pt>
                <c:pt idx="22">
                  <c:v>3.8000000000000012</c:v>
                </c:pt>
                <c:pt idx="23">
                  <c:v>4.0000000000000009</c:v>
                </c:pt>
                <c:pt idx="24">
                  <c:v>4.2000000000000011</c:v>
                </c:pt>
                <c:pt idx="25">
                  <c:v>4.4000000000000012</c:v>
                </c:pt>
                <c:pt idx="26">
                  <c:v>4.6000000000000014</c:v>
                </c:pt>
                <c:pt idx="27">
                  <c:v>4.8000000000000016</c:v>
                </c:pt>
                <c:pt idx="28">
                  <c:v>5.0000000000000018</c:v>
                </c:pt>
                <c:pt idx="29">
                  <c:v>5.200000000000002</c:v>
                </c:pt>
                <c:pt idx="30">
                  <c:v>5.4000000000000021</c:v>
                </c:pt>
                <c:pt idx="31">
                  <c:v>5.6000000000000023</c:v>
                </c:pt>
                <c:pt idx="32">
                  <c:v>5.8000000000000025</c:v>
                </c:pt>
                <c:pt idx="33">
                  <c:v>6.0000000000000027</c:v>
                </c:pt>
                <c:pt idx="34">
                  <c:v>6.2000000000000028</c:v>
                </c:pt>
                <c:pt idx="35">
                  <c:v>6.400000000000003</c:v>
                </c:pt>
                <c:pt idx="36">
                  <c:v>6.6000000000000032</c:v>
                </c:pt>
                <c:pt idx="37">
                  <c:v>6.8000000000000034</c:v>
                </c:pt>
                <c:pt idx="38">
                  <c:v>7.0000000000000036</c:v>
                </c:pt>
                <c:pt idx="39">
                  <c:v>7.2000000000000037</c:v>
                </c:pt>
                <c:pt idx="40">
                  <c:v>7.4000000000000039</c:v>
                </c:pt>
                <c:pt idx="41">
                  <c:v>7.6000000000000041</c:v>
                </c:pt>
                <c:pt idx="42">
                  <c:v>7.8000000000000043</c:v>
                </c:pt>
                <c:pt idx="43">
                  <c:v>8.0000000000000036</c:v>
                </c:pt>
                <c:pt idx="44">
                  <c:v>8.2000000000000028</c:v>
                </c:pt>
                <c:pt idx="45">
                  <c:v>8.4000000000000021</c:v>
                </c:pt>
                <c:pt idx="46">
                  <c:v>8.6000000000000014</c:v>
                </c:pt>
                <c:pt idx="47">
                  <c:v>8.8000000000000007</c:v>
                </c:pt>
                <c:pt idx="48">
                  <c:v>9</c:v>
                </c:pt>
                <c:pt idx="49">
                  <c:v>9.1999999999999993</c:v>
                </c:pt>
                <c:pt idx="50">
                  <c:v>9.3999999999999986</c:v>
                </c:pt>
                <c:pt idx="51">
                  <c:v>9.5999999999999979</c:v>
                </c:pt>
                <c:pt idx="52">
                  <c:v>9.7999999999999972</c:v>
                </c:pt>
                <c:pt idx="53">
                  <c:v>9.9999999999999964</c:v>
                </c:pt>
              </c:numCache>
            </c:numRef>
          </c:xVal>
          <c:yVal>
            <c:numRef>
              <c:f>Spreadsheet7.3!$E$16:$E$69</c:f>
              <c:numCache>
                <c:formatCode>0.000</c:formatCode>
                <c:ptCount val="54"/>
                <c:pt idx="0">
                  <c:v>0</c:v>
                </c:pt>
                <c:pt idx="1">
                  <c:v>5.4180438389627182E-2</c:v>
                </c:pt>
                <c:pt idx="2">
                  <c:v>7.6431157223117052E-2</c:v>
                </c:pt>
                <c:pt idx="3">
                  <c:v>0.10754956575526048</c:v>
                </c:pt>
                <c:pt idx="4">
                  <c:v>0.13106119570348776</c:v>
                </c:pt>
                <c:pt idx="5">
                  <c:v>0.1505774906481725</c:v>
                </c:pt>
                <c:pt idx="6">
                  <c:v>0.18257002971124067</c:v>
                </c:pt>
                <c:pt idx="7">
                  <c:v>0.20869455007793264</c:v>
                </c:pt>
                <c:pt idx="8">
                  <c:v>0.23097657911961547</c:v>
                </c:pt>
                <c:pt idx="9">
                  <c:v>0.25046738573907823</c:v>
                </c:pt>
                <c:pt idx="10">
                  <c:v>0.26779919687189607</c:v>
                </c:pt>
                <c:pt idx="11">
                  <c:v>0.28338926698463762</c:v>
                </c:pt>
                <c:pt idx="12">
                  <c:v>0.29753136418038073</c:v>
                </c:pt>
                <c:pt idx="13">
                  <c:v>0.31044245665432774</c:v>
                </c:pt>
                <c:pt idx="14">
                  <c:v>0.32228883981794154</c:v>
                </c:pt>
                <c:pt idx="15">
                  <c:v>0.33320180936693222</c:v>
                </c:pt>
                <c:pt idx="16">
                  <c:v>0.34328758838280082</c:v>
                </c:pt>
                <c:pt idx="17">
                  <c:v>0.35263389648406951</c:v>
                </c:pt>
                <c:pt idx="18">
                  <c:v>0.36131445661981076</c:v>
                </c:pt>
                <c:pt idx="19">
                  <c:v>0.3693921820206425</c:v>
                </c:pt>
                <c:pt idx="20">
                  <c:v>0.37692148869166608</c:v>
                </c:pt>
                <c:pt idx="21">
                  <c:v>0.3839500110986806</c:v>
                </c:pt>
                <c:pt idx="22">
                  <c:v>0.39051989994733238</c:v>
                </c:pt>
                <c:pt idx="23">
                  <c:v>0.39666882067491932</c:v>
                </c:pt>
                <c:pt idx="24">
                  <c:v>0.40243073330257062</c:v>
                </c:pt>
                <c:pt idx="25">
                  <c:v>0.40783650970555824</c:v>
                </c:pt>
                <c:pt idx="26">
                  <c:v>0.41291442804076239</c:v>
                </c:pt>
                <c:pt idx="27">
                  <c:v>0.41769057300134987</c:v>
                </c:pt>
                <c:pt idx="28">
                  <c:v>0.42218916291184855</c:v>
                </c:pt>
                <c:pt idx="29">
                  <c:v>0.42643281928547805</c:v>
                </c:pt>
                <c:pt idx="30">
                  <c:v>0.43044279060794421</c:v>
                </c:pt>
                <c:pt idx="31">
                  <c:v>0.43423913931091535</c:v>
                </c:pt>
                <c:pt idx="32">
                  <c:v>0.43784089883729299</c:v>
                </c:pt>
                <c:pt idx="33">
                  <c:v>0.44126620616510365</c:v>
                </c:pt>
                <c:pt idx="34">
                  <c:v>0.44453241400044968</c:v>
                </c:pt>
                <c:pt idx="35">
                  <c:v>0.44765618597012152</c:v>
                </c:pt>
                <c:pt idx="36">
                  <c:v>0.45065357746897733</c:v>
                </c:pt>
                <c:pt idx="37">
                  <c:v>0.45354010429440395</c:v>
                </c:pt>
                <c:pt idx="38">
                  <c:v>0.45633080079278793</c:v>
                </c:pt>
                <c:pt idx="39">
                  <c:v>0.45904026892366362</c:v>
                </c:pt>
                <c:pt idx="40">
                  <c:v>0.46168271939595396</c:v>
                </c:pt>
                <c:pt idx="41">
                  <c:v>0.46427200583244882</c:v>
                </c:pt>
                <c:pt idx="42">
                  <c:v>0.46682165276209414</c:v>
                </c:pt>
                <c:pt idx="43">
                  <c:v>0.46934487811617148</c:v>
                </c:pt>
                <c:pt idx="44">
                  <c:v>0.47185461080743346</c:v>
                </c:pt>
                <c:pt idx="45">
                  <c:v>0.47436350389556986</c:v>
                </c:pt>
                <c:pt idx="46">
                  <c:v>0.4768839437839405</c:v>
                </c:pt>
                <c:pt idx="47">
                  <c:v>0.47942805584806802</c:v>
                </c:pt>
                <c:pt idx="48">
                  <c:v>0.48200770686326228</c:v>
                </c:pt>
                <c:pt idx="49">
                  <c:v>0.48463450457472462</c:v>
                </c:pt>
                <c:pt idx="50">
                  <c:v>0.48731979473665965</c:v>
                </c:pt>
                <c:pt idx="51">
                  <c:v>0.49007465593565602</c:v>
                </c:pt>
                <c:pt idx="52">
                  <c:v>0.49290989250643008</c:v>
                </c:pt>
                <c:pt idx="53">
                  <c:v>0.49583602584364905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312184"/>
        <c:axId val="342312576"/>
      </c:scatterChart>
      <c:valAx>
        <c:axId val="342312184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42312576"/>
        <c:crosses val="autoZero"/>
        <c:crossBetween val="midCat"/>
      </c:valAx>
      <c:valAx>
        <c:axId val="3423125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PFE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342312184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Spreadsheet7.4!$F$18</c:f>
              <c:strCache>
                <c:ptCount val="1"/>
                <c:pt idx="0">
                  <c:v>EE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Spreadsheet7.4!$B$19:$B$41</c:f>
              <c:numCache>
                <c:formatCode>0.00</c:formatCode>
                <c:ptCount val="23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</c:numCache>
            </c:numRef>
          </c:xVal>
          <c:yVal>
            <c:numRef>
              <c:f>Spreadsheet7.4!$F$19:$F$41</c:f>
              <c:numCache>
                <c:formatCode>0.00%</c:formatCode>
                <c:ptCount val="23"/>
                <c:pt idx="0">
                  <c:v>0</c:v>
                </c:pt>
                <c:pt idx="1">
                  <c:v>1.5643570134556788E-2</c:v>
                </c:pt>
                <c:pt idx="2">
                  <c:v>2.2488198048448545E-2</c:v>
                </c:pt>
                <c:pt idx="3">
                  <c:v>3.6343378797444009E-2</c:v>
                </c:pt>
                <c:pt idx="4">
                  <c:v>4.7215224522435421E-2</c:v>
                </c:pt>
                <c:pt idx="5">
                  <c:v>5.4098031910500534E-2</c:v>
                </c:pt>
                <c:pt idx="6">
                  <c:v>5.8654278123186403E-2</c:v>
                </c:pt>
                <c:pt idx="7">
                  <c:v>6.2589068916379026E-2</c:v>
                </c:pt>
                <c:pt idx="8">
                  <c:v>6.4154589718897273E-2</c:v>
                </c:pt>
                <c:pt idx="9">
                  <c:v>6.4628569671684122E-2</c:v>
                </c:pt>
                <c:pt idx="10">
                  <c:v>6.4152838397783532E-2</c:v>
                </c:pt>
                <c:pt idx="11">
                  <c:v>6.3752654206009715E-2</c:v>
                </c:pt>
                <c:pt idx="12">
                  <c:v>6.1632430288571807E-2</c:v>
                </c:pt>
                <c:pt idx="13">
                  <c:v>5.8793443541247874E-2</c:v>
                </c:pt>
                <c:pt idx="14">
                  <c:v>5.5279070980848374E-2</c:v>
                </c:pt>
                <c:pt idx="15">
                  <c:v>5.1934478366426791E-2</c:v>
                </c:pt>
                <c:pt idx="16">
                  <c:v>4.7148569689866422E-2</c:v>
                </c:pt>
                <c:pt idx="17">
                  <c:v>4.1772722302298046E-2</c:v>
                </c:pt>
                <c:pt idx="18">
                  <c:v>3.5825262385999083E-2</c:v>
                </c:pt>
                <c:pt idx="19">
                  <c:v>3.0011202213542598E-2</c:v>
                </c:pt>
                <c:pt idx="20">
                  <c:v>2.2946275863392228E-2</c:v>
                </c:pt>
                <c:pt idx="21">
                  <c:v>1.534818970402722E-2</c:v>
                </c:pt>
                <c:pt idx="22">
                  <c:v>7.2253571625621625E-3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Spreadsheet7.4!$G$18</c:f>
              <c:strCache>
                <c:ptCount val="1"/>
                <c:pt idx="0">
                  <c:v>PFE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Spreadsheet7.4!$B$19:$B$41</c:f>
              <c:numCache>
                <c:formatCode>0.00</c:formatCode>
                <c:ptCount val="23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</c:numCache>
            </c:numRef>
          </c:xVal>
          <c:yVal>
            <c:numRef>
              <c:f>Spreadsheet7.4!$G$19:$G$41</c:f>
              <c:numCache>
                <c:formatCode>0.00%</c:formatCode>
                <c:ptCount val="23"/>
                <c:pt idx="0">
                  <c:v>0</c:v>
                </c:pt>
                <c:pt idx="1">
                  <c:v>8.5538196317056267E-2</c:v>
                </c:pt>
                <c:pt idx="2">
                  <c:v>0.119890998630597</c:v>
                </c:pt>
                <c:pt idx="3">
                  <c:v>0.18442393996192361</c:v>
                </c:pt>
                <c:pt idx="4">
                  <c:v>0.24857704236496495</c:v>
                </c:pt>
                <c:pt idx="5">
                  <c:v>0.28926675336820123</c:v>
                </c:pt>
                <c:pt idx="6">
                  <c:v>0.31627149540451588</c:v>
                </c:pt>
                <c:pt idx="7">
                  <c:v>0.33351324018833761</c:v>
                </c:pt>
                <c:pt idx="8">
                  <c:v>0.34306220058023412</c:v>
                </c:pt>
                <c:pt idx="9">
                  <c:v>0.34617812112061946</c:v>
                </c:pt>
                <c:pt idx="10">
                  <c:v>0.34369812827702761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0.6</c:v>
                </c:pt>
                <c:pt idx="16">
                  <c:v>0.6</c:v>
                </c:pt>
                <c:pt idx="17">
                  <c:v>0.6</c:v>
                </c:pt>
                <c:pt idx="18">
                  <c:v>0.6</c:v>
                </c:pt>
                <c:pt idx="19">
                  <c:v>0.6</c:v>
                </c:pt>
                <c:pt idx="20">
                  <c:v>0.6</c:v>
                </c:pt>
                <c:pt idx="21">
                  <c:v>0.6</c:v>
                </c:pt>
                <c:pt idx="22">
                  <c:v>0.6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314928"/>
        <c:axId val="342315320"/>
      </c:scatterChart>
      <c:valAx>
        <c:axId val="342314928"/>
        <c:scaling>
          <c:orientation val="minMax"/>
          <c:max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42315320"/>
        <c:crosses val="autoZero"/>
        <c:crossBetween val="midCat"/>
      </c:valAx>
      <c:valAx>
        <c:axId val="3423153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PFE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342314928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t"/>
      <c:layout>
        <c:manualLayout>
          <c:xMode val="edge"/>
          <c:yMode val="edge"/>
          <c:x val="0.27073009623797023"/>
          <c:y val="2.3640661938534278E-2"/>
          <c:w val="0.48076202974628174"/>
          <c:h val="7.1248673703021168E-2"/>
        </c:manualLayout>
      </c:layout>
      <c:overlay val="0"/>
      <c:spPr>
        <a:ln>
          <a:solidFill>
            <a:schemeClr val="tx1">
              <a:lumMod val="50000"/>
              <a:lumOff val="50000"/>
            </a:schemeClr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http://www.oftraining.com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hyperlink" Target="http://www.oftraining.com/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hyperlink" Target="http://www.oftraining.com/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hyperlink" Target="http://www.oftraining.com/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oftraining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8</xdr:col>
      <xdr:colOff>276225</xdr:colOff>
      <xdr:row>7</xdr:row>
      <xdr:rowOff>0</xdr:rowOff>
    </xdr:to>
    <xdr:sp macro="" textlink="">
      <xdr:nvSpPr>
        <xdr:cNvPr id="1026" name="Text Box 2"/>
        <xdr:cNvSpPr txBox="1">
          <a:spLocks noChangeArrowheads="1"/>
        </xdr:cNvSpPr>
      </xdr:nvSpPr>
      <xdr:spPr bwMode="auto">
        <a:xfrm>
          <a:off x="0" y="9525"/>
          <a:ext cx="6381750" cy="112395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lnSpc>
              <a:spcPts val="1300"/>
            </a:lnSpc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2900"/>
            </a:lnSpc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EE and PFE for a Normal Distribution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100"/>
            </a:lnSpc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Analytical calculation of the expected exposure (EE) and potential future exposure (PFE) for a normal distribution.</a:t>
          </a:r>
        </a:p>
      </xdr:txBody>
    </xdr:sp>
    <xdr:clientData/>
  </xdr:twoCellAnchor>
  <xdr:twoCellAnchor>
    <xdr:from>
      <xdr:col>8</xdr:col>
      <xdr:colOff>342900</xdr:colOff>
      <xdr:row>2</xdr:row>
      <xdr:rowOff>114300</xdr:rowOff>
    </xdr:from>
    <xdr:to>
      <xdr:col>12</xdr:col>
      <xdr:colOff>133350</xdr:colOff>
      <xdr:row>5</xdr:row>
      <xdr:rowOff>66675</xdr:rowOff>
    </xdr:to>
    <xdr:sp macro="" textlink="">
      <xdr:nvSpPr>
        <xdr:cNvPr id="1027" name="Text Box 3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6448425" y="438150"/>
          <a:ext cx="2228850" cy="438150"/>
        </a:xfrm>
        <a:prstGeom prst="rect">
          <a:avLst/>
        </a:prstGeom>
        <a:noFill/>
        <a:ln>
          <a:noFill/>
        </a:ln>
        <a:ex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  <xdr:twoCellAnchor>
    <xdr:from>
      <xdr:col>4</xdr:col>
      <xdr:colOff>0</xdr:colOff>
      <xdr:row>8</xdr:row>
      <xdr:rowOff>66675</xdr:rowOff>
    </xdr:from>
    <xdr:to>
      <xdr:col>11</xdr:col>
      <xdr:colOff>457200</xdr:colOff>
      <xdr:row>24</xdr:row>
      <xdr:rowOff>28575</xdr:rowOff>
    </xdr:to>
    <xdr:graphicFrame macro="">
      <xdr:nvGraphicFramePr>
        <xdr:cNvPr id="1251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8</xdr:col>
      <xdr:colOff>66675</xdr:colOff>
      <xdr:row>7</xdr:row>
      <xdr:rowOff>0</xdr:rowOff>
    </xdr:to>
    <xdr:sp macro="" textlink="">
      <xdr:nvSpPr>
        <xdr:cNvPr id="3073" name="Text Box 1"/>
        <xdr:cNvSpPr txBox="1">
          <a:spLocks noChangeArrowheads="1"/>
        </xdr:cNvSpPr>
      </xdr:nvSpPr>
      <xdr:spPr bwMode="auto">
        <a:xfrm>
          <a:off x="0" y="9525"/>
          <a:ext cx="5476875" cy="112395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EPE and Effective EPE Example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Illustration of expected positive exposure (EPE) and Effective EPE</a:t>
          </a:r>
        </a:p>
      </xdr:txBody>
    </xdr:sp>
    <xdr:clientData/>
  </xdr:twoCellAnchor>
  <xdr:twoCellAnchor>
    <xdr:from>
      <xdr:col>8</xdr:col>
      <xdr:colOff>209550</xdr:colOff>
      <xdr:row>2</xdr:row>
      <xdr:rowOff>114300</xdr:rowOff>
    </xdr:from>
    <xdr:to>
      <xdr:col>12</xdr:col>
      <xdr:colOff>0</xdr:colOff>
      <xdr:row>5</xdr:row>
      <xdr:rowOff>66675</xdr:rowOff>
    </xdr:to>
    <xdr:sp macro="" textlink="">
      <xdr:nvSpPr>
        <xdr:cNvPr id="3074" name="Text Box 2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5619750" y="438150"/>
          <a:ext cx="2228850" cy="438150"/>
        </a:xfrm>
        <a:prstGeom prst="rect">
          <a:avLst/>
        </a:prstGeom>
        <a:noFill/>
        <a:ln>
          <a:noFill/>
        </a:ln>
        <a:ex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  <xdr:twoCellAnchor>
    <xdr:from>
      <xdr:col>6</xdr:col>
      <xdr:colOff>342900</xdr:colOff>
      <xdr:row>9</xdr:row>
      <xdr:rowOff>104775</xdr:rowOff>
    </xdr:from>
    <xdr:to>
      <xdr:col>14</xdr:col>
      <xdr:colOff>38100</xdr:colOff>
      <xdr:row>26</xdr:row>
      <xdr:rowOff>76200</xdr:rowOff>
    </xdr:to>
    <xdr:graphicFrame macro="">
      <xdr:nvGraphicFramePr>
        <xdr:cNvPr id="3298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8</xdr:col>
      <xdr:colOff>428625</xdr:colOff>
      <xdr:row>7</xdr:row>
      <xdr:rowOff>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0" y="9525"/>
          <a:ext cx="6238875" cy="112395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Simple Cross-Currency Swap Profile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Simple illustration of a cross-currency swap profile as a combination of an interest rate swap and FX forward</a:t>
          </a:r>
        </a:p>
      </xdr:txBody>
    </xdr:sp>
    <xdr:clientData/>
  </xdr:twoCellAnchor>
  <xdr:twoCellAnchor>
    <xdr:from>
      <xdr:col>8</xdr:col>
      <xdr:colOff>523875</xdr:colOff>
      <xdr:row>2</xdr:row>
      <xdr:rowOff>57150</xdr:rowOff>
    </xdr:from>
    <xdr:to>
      <xdr:col>12</xdr:col>
      <xdr:colOff>314325</xdr:colOff>
      <xdr:row>5</xdr:row>
      <xdr:rowOff>9525</xdr:rowOff>
    </xdr:to>
    <xdr:sp macro="" textlink="">
      <xdr:nvSpPr>
        <xdr:cNvPr id="3" name="Text Box 2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6334125" y="381000"/>
          <a:ext cx="2228850" cy="438150"/>
        </a:xfrm>
        <a:prstGeom prst="rect">
          <a:avLst/>
        </a:prstGeom>
        <a:noFill/>
        <a:ln>
          <a:noFill/>
        </a:ln>
        <a:ex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  <xdr:twoCellAnchor>
    <xdr:from>
      <xdr:col>5</xdr:col>
      <xdr:colOff>790575</xdr:colOff>
      <xdr:row>8</xdr:row>
      <xdr:rowOff>95250</xdr:rowOff>
    </xdr:from>
    <xdr:to>
      <xdr:col>13</xdr:col>
      <xdr:colOff>104775</xdr:colOff>
      <xdr:row>25</xdr:row>
      <xdr:rowOff>47625</xdr:rowOff>
    </xdr:to>
    <xdr:graphicFrame macro="">
      <xdr:nvGraphicFramePr>
        <xdr:cNvPr id="202791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8</xdr:col>
      <xdr:colOff>66675</xdr:colOff>
      <xdr:row>7</xdr:row>
      <xdr:rowOff>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0" y="9525"/>
          <a:ext cx="5476875" cy="112395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Single-Name CDS Example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Illustration of PFE calculation for a single name CDS</a:t>
          </a:r>
        </a:p>
      </xdr:txBody>
    </xdr:sp>
    <xdr:clientData/>
  </xdr:twoCellAnchor>
  <xdr:twoCellAnchor>
    <xdr:from>
      <xdr:col>8</xdr:col>
      <xdr:colOff>209550</xdr:colOff>
      <xdr:row>2</xdr:row>
      <xdr:rowOff>114300</xdr:rowOff>
    </xdr:from>
    <xdr:to>
      <xdr:col>12</xdr:col>
      <xdr:colOff>0</xdr:colOff>
      <xdr:row>5</xdr:row>
      <xdr:rowOff>66675</xdr:rowOff>
    </xdr:to>
    <xdr:sp macro="" textlink="">
      <xdr:nvSpPr>
        <xdr:cNvPr id="3" name="Text Box 2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5619750" y="438150"/>
          <a:ext cx="2228850" cy="438150"/>
        </a:xfrm>
        <a:prstGeom prst="rect">
          <a:avLst/>
        </a:prstGeom>
        <a:noFill/>
        <a:ln>
          <a:noFill/>
        </a:ln>
        <a:ex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  <xdr:twoCellAnchor>
    <xdr:from>
      <xdr:col>7</xdr:col>
      <xdr:colOff>280035</xdr:colOff>
      <xdr:row>8</xdr:row>
      <xdr:rowOff>182880</xdr:rowOff>
    </xdr:from>
    <xdr:to>
      <xdr:col>14</xdr:col>
      <xdr:colOff>523875</xdr:colOff>
      <xdr:row>25</xdr:row>
      <xdr:rowOff>129540</xdr:rowOff>
    </xdr:to>
    <xdr:graphicFrame macro="">
      <xdr:nvGraphicFramePr>
        <xdr:cNvPr id="203807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8</xdr:col>
      <xdr:colOff>66675</xdr:colOff>
      <xdr:row>7</xdr:row>
      <xdr:rowOff>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0" y="9525"/>
          <a:ext cx="5583555" cy="1163955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Simple Netting Example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Simple example of the impact of netting </a:t>
          </a:r>
        </a:p>
      </xdr:txBody>
    </xdr:sp>
    <xdr:clientData/>
  </xdr:twoCellAnchor>
  <xdr:twoCellAnchor>
    <xdr:from>
      <xdr:col>8</xdr:col>
      <xdr:colOff>209550</xdr:colOff>
      <xdr:row>2</xdr:row>
      <xdr:rowOff>114300</xdr:rowOff>
    </xdr:from>
    <xdr:to>
      <xdr:col>12</xdr:col>
      <xdr:colOff>0</xdr:colOff>
      <xdr:row>5</xdr:row>
      <xdr:rowOff>66675</xdr:rowOff>
    </xdr:to>
    <xdr:sp macro="" textlink="">
      <xdr:nvSpPr>
        <xdr:cNvPr id="3" name="Text Box 2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5726430" y="449580"/>
          <a:ext cx="2228850" cy="455295"/>
        </a:xfrm>
        <a:prstGeom prst="rect">
          <a:avLst/>
        </a:prstGeom>
        <a:noFill/>
        <a:ln>
          <a:noFill/>
        </a:ln>
        <a:ex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CntrptyRiskEuromoneyExamplesNe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TrainingCourses/LFSCounterpartyRisk/LFS_CollateralandCntrptyRiskNew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nvertibleBondsandCSA/CB_CSA_Examples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QTinRM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EuromoneyExamples_FMforNQ_Day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rseSpreadsheets/CntrptyRiskEuromoneyOLD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EuromoneyExamples_FMforNQ_Day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EuromoneyExamples_FMforNQ_Day3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rseSpreadsheets/QTinRM3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StructuringandPricingCreditDerivs/CreditDerivsExample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BNP_BasketCDOPricer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PricingExamples03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Book1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econ422PresentValueProblems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CRBook/ExampleExercises/Chapter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rseSpreadsheets/BilateralCntrptyRiskCalcs2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StructuringandPricingCreditDerivs/CreditDerivsExampl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ExposureSim"/>
      <sheetName val="Netting"/>
      <sheetName val="HistoricalDefProbs"/>
      <sheetName val="CDSStripper"/>
      <sheetName val="PFE and Netting"/>
      <sheetName val="CVA"/>
      <sheetName val="EPEAllocation"/>
      <sheetName val="Impact of PV"/>
      <sheetName val="CollateralMarginCall"/>
      <sheetName val="Portfolio"/>
      <sheetName val="MonteCarlo"/>
      <sheetName val="CDSCntrptyRisk"/>
      <sheetName val="SimpleWrongWay"/>
    </sheetNames>
    <sheetDataSet>
      <sheetData sheetId="0" refreshError="1"/>
      <sheetData sheetId="1" refreshError="1"/>
      <sheetData sheetId="2" refreshError="1">
        <row r="8">
          <cell r="D8">
            <v>5</v>
          </cell>
        </row>
        <row r="9">
          <cell r="D9">
            <v>10</v>
          </cell>
        </row>
      </sheetData>
      <sheetData sheetId="3" refreshError="1"/>
      <sheetData sheetId="4" refreshError="1">
        <row r="9">
          <cell r="C9" t="str">
            <v>Hazard Rate</v>
          </cell>
          <cell r="H9" t="str">
            <v>Error</v>
          </cell>
        </row>
        <row r="10">
          <cell r="L10">
            <v>1.6391422743333293E-2</v>
          </cell>
        </row>
      </sheetData>
      <sheetData sheetId="5" refreshError="1"/>
      <sheetData sheetId="6" refreshError="1">
        <row r="8">
          <cell r="D8">
            <v>3.7499999999999999E-2</v>
          </cell>
        </row>
      </sheetData>
      <sheetData sheetId="7" refreshError="1">
        <row r="7">
          <cell r="H7">
            <v>1</v>
          </cell>
          <cell r="I7">
            <v>1</v>
          </cell>
        </row>
        <row r="11">
          <cell r="C11">
            <v>0</v>
          </cell>
        </row>
        <row r="19">
          <cell r="C19">
            <v>3.4165419432023327</v>
          </cell>
        </row>
        <row r="22">
          <cell r="C22">
            <v>-1.0229796438974148</v>
          </cell>
          <cell r="D22">
            <v>4.4427438893026583</v>
          </cell>
        </row>
        <row r="23">
          <cell r="C23">
            <v>3.4197642454052435</v>
          </cell>
        </row>
      </sheetData>
      <sheetData sheetId="8" refreshError="1">
        <row r="19">
          <cell r="C19">
            <v>3.6342645260068154E-2</v>
          </cell>
        </row>
      </sheetData>
      <sheetData sheetId="9" refreshError="1">
        <row r="6">
          <cell r="C6">
            <v>500000</v>
          </cell>
          <cell r="G6">
            <v>250000</v>
          </cell>
        </row>
        <row r="7">
          <cell r="C7">
            <v>0</v>
          </cell>
          <cell r="D7">
            <v>0</v>
          </cell>
          <cell r="G7">
            <v>10</v>
          </cell>
        </row>
        <row r="8">
          <cell r="D8">
            <v>100000000</v>
          </cell>
          <cell r="G8">
            <v>10121971</v>
          </cell>
        </row>
        <row r="9">
          <cell r="C9">
            <v>500000</v>
          </cell>
          <cell r="G9">
            <v>1000</v>
          </cell>
        </row>
        <row r="10">
          <cell r="C10">
            <v>100000</v>
          </cell>
          <cell r="D10">
            <v>100000</v>
          </cell>
        </row>
        <row r="11">
          <cell r="C11">
            <v>-50000</v>
          </cell>
        </row>
        <row r="12">
          <cell r="C12">
            <v>500000</v>
          </cell>
        </row>
        <row r="13">
          <cell r="C13">
            <v>0</v>
          </cell>
        </row>
        <row r="14">
          <cell r="C14" t="str">
            <v>NO</v>
          </cell>
        </row>
      </sheetData>
      <sheetData sheetId="10" refreshError="1">
        <row r="8">
          <cell r="D8">
            <v>-1.795495199122906</v>
          </cell>
          <cell r="E8">
            <v>10</v>
          </cell>
          <cell r="F8">
            <v>15</v>
          </cell>
          <cell r="G8">
            <v>12.266794707366055</v>
          </cell>
          <cell r="J8">
            <v>0.99</v>
          </cell>
        </row>
        <row r="9">
          <cell r="J9">
            <v>1</v>
          </cell>
        </row>
        <row r="10">
          <cell r="J10">
            <v>100</v>
          </cell>
        </row>
        <row r="11">
          <cell r="J11">
            <v>0.1</v>
          </cell>
        </row>
      </sheetData>
      <sheetData sheetId="11" refreshError="1">
        <row r="8">
          <cell r="C8">
            <v>10000</v>
          </cell>
        </row>
        <row r="9">
          <cell r="C9">
            <v>5748594</v>
          </cell>
        </row>
      </sheetData>
      <sheetData sheetId="12" refreshError="1">
        <row r="7">
          <cell r="C7">
            <v>0.02</v>
          </cell>
        </row>
        <row r="8">
          <cell r="C8">
            <v>0.01</v>
          </cell>
        </row>
        <row r="9">
          <cell r="C9">
            <v>0.5</v>
          </cell>
        </row>
        <row r="10">
          <cell r="C10">
            <v>0.4</v>
          </cell>
        </row>
        <row r="13">
          <cell r="C13">
            <v>0.15351827510938598</v>
          </cell>
        </row>
        <row r="14">
          <cell r="C14">
            <v>7.9955585370676707E-2</v>
          </cell>
        </row>
      </sheetData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fulExcelFormulas"/>
      <sheetName val="WCEandEPE"/>
      <sheetName val="Sheet1"/>
      <sheetName val="WCEandEPEOverTime"/>
      <sheetName val="ExposureSimulation"/>
      <sheetName val="Netting"/>
      <sheetName val="IncrementalExposure"/>
      <sheetName val="EPEAllocation"/>
      <sheetName val="CollateralCalculation"/>
      <sheetName val="HaircutAnalysis"/>
      <sheetName val="CollateralandCorrelation"/>
      <sheetName val="CollateralExposureSimulation"/>
      <sheetName val="Liquidation"/>
      <sheetName val="LiquidationTimescale"/>
      <sheetName val="ImpliedDefProb"/>
      <sheetName val="Exposure and Netting"/>
      <sheetName val="CVA"/>
      <sheetName val="SimpleWrongWay"/>
      <sheetName val="CDSCntrptyRisk"/>
      <sheetName val="CDSCntrptyRisk (2)"/>
      <sheetName val="HedgingCVA"/>
    </sheetNames>
    <sheetDataSet>
      <sheetData sheetId="0" refreshError="1"/>
      <sheetData sheetId="1" refreshError="1">
        <row r="11">
          <cell r="C11">
            <v>0.1</v>
          </cell>
        </row>
      </sheetData>
      <sheetData sheetId="2" refreshError="1"/>
      <sheetData sheetId="3" refreshError="1"/>
      <sheetData sheetId="4" refreshError="1">
        <row r="146">
          <cell r="F146">
            <v>2.3712774699700175E-4</v>
          </cell>
        </row>
      </sheetData>
      <sheetData sheetId="5" refreshError="1"/>
      <sheetData sheetId="6" refreshError="1"/>
      <sheetData sheetId="7" refreshError="1"/>
      <sheetData sheetId="8" refreshError="1">
        <row r="15">
          <cell r="D15">
            <v>-0.65</v>
          </cell>
        </row>
        <row r="17">
          <cell r="D17">
            <v>0.05</v>
          </cell>
        </row>
        <row r="19">
          <cell r="C19">
            <v>12.2</v>
          </cell>
          <cell r="D19">
            <v>-12.2</v>
          </cell>
        </row>
        <row r="20">
          <cell r="D20">
            <v>0</v>
          </cell>
        </row>
        <row r="21">
          <cell r="C21" t="str">
            <v>YES</v>
          </cell>
          <cell r="D21" t="str">
            <v>NO</v>
          </cell>
        </row>
      </sheetData>
      <sheetData sheetId="9" refreshError="1"/>
      <sheetData sheetId="10" refreshError="1">
        <row r="11">
          <cell r="C11">
            <v>0.5</v>
          </cell>
        </row>
        <row r="12">
          <cell r="C12">
            <v>0.05</v>
          </cell>
        </row>
        <row r="13">
          <cell r="C13">
            <v>0.05</v>
          </cell>
        </row>
        <row r="14">
          <cell r="C14">
            <v>0.05</v>
          </cell>
        </row>
        <row r="15">
          <cell r="C15">
            <v>0.05</v>
          </cell>
        </row>
      </sheetData>
      <sheetData sheetId="11" refreshError="1">
        <row r="12">
          <cell r="K12">
            <v>6.3291041006205222E-4</v>
          </cell>
        </row>
        <row r="17">
          <cell r="C17">
            <v>0</v>
          </cell>
        </row>
        <row r="21">
          <cell r="E21">
            <v>11</v>
          </cell>
        </row>
        <row r="138">
          <cell r="K138">
            <v>0</v>
          </cell>
        </row>
        <row r="264">
          <cell r="K264">
            <v>6.3291041006205222E-4</v>
          </cell>
        </row>
      </sheetData>
      <sheetData sheetId="12" refreshError="1">
        <row r="12">
          <cell r="D12">
            <v>100</v>
          </cell>
        </row>
        <row r="13">
          <cell r="D13">
            <v>1000000</v>
          </cell>
        </row>
        <row r="14">
          <cell r="D14">
            <v>100000</v>
          </cell>
        </row>
        <row r="15">
          <cell r="D15">
            <v>2.5298221281347035E-2</v>
          </cell>
        </row>
        <row r="17">
          <cell r="D17">
            <v>1.5250027727343579E-5</v>
          </cell>
        </row>
      </sheetData>
      <sheetData sheetId="13" refreshError="1">
        <row r="12">
          <cell r="D12">
            <v>100</v>
          </cell>
        </row>
        <row r="13">
          <cell r="D13">
            <v>2.5298221281347035E-2</v>
          </cell>
        </row>
        <row r="14">
          <cell r="D14">
            <v>1.5250027727343579E-5</v>
          </cell>
        </row>
        <row r="15">
          <cell r="D15">
            <v>1000000</v>
          </cell>
        </row>
        <row r="16">
          <cell r="D16">
            <v>2</v>
          </cell>
        </row>
        <row r="19">
          <cell r="D19">
            <v>7.6250138636717892</v>
          </cell>
        </row>
        <row r="20">
          <cell r="D20">
            <v>7625013.8636717889</v>
          </cell>
        </row>
        <row r="23">
          <cell r="D23">
            <v>0.25</v>
          </cell>
        </row>
        <row r="24">
          <cell r="D24">
            <v>1264911.0640673519</v>
          </cell>
        </row>
        <row r="25">
          <cell r="D25">
            <v>0.01</v>
          </cell>
        </row>
        <row r="26">
          <cell r="D26">
            <v>2942623.1647438207</v>
          </cell>
        </row>
      </sheetData>
      <sheetData sheetId="14" refreshError="1"/>
      <sheetData sheetId="15" refreshError="1"/>
      <sheetData sheetId="16" refreshError="1"/>
      <sheetData sheetId="17" refreshError="1">
        <row r="13">
          <cell r="C13">
            <v>0</v>
          </cell>
        </row>
        <row r="15">
          <cell r="C15">
            <v>1</v>
          </cell>
        </row>
        <row r="18">
          <cell r="C18">
            <v>-2.0578695923363037</v>
          </cell>
        </row>
      </sheetData>
      <sheetData sheetId="18" refreshError="1"/>
      <sheetData sheetId="19" refreshError="1"/>
      <sheetData sheetId="2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BondConvexity"/>
      <sheetName val="HistoricalDefProbs"/>
      <sheetName val="CDSStripper"/>
      <sheetName val="Merton"/>
      <sheetName val="CreditGrades"/>
      <sheetName val="CreditGradesFordExample"/>
      <sheetName val="TradingStrategy"/>
      <sheetName val="TreePricer"/>
      <sheetName val="UnderlyingValueTree"/>
      <sheetName val="OptionPriceTree"/>
      <sheetName val="HedgingSimulation"/>
      <sheetName val="CB_CSA_Examples1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9">
          <cell r="C9">
            <v>0.57899999999999996</v>
          </cell>
        </row>
      </sheetData>
      <sheetData sheetId="6" refreshError="1"/>
      <sheetData sheetId="7">
        <row r="8">
          <cell r="C8">
            <v>2.19</v>
          </cell>
        </row>
        <row r="9">
          <cell r="C9">
            <v>937.19433315766491</v>
          </cell>
        </row>
        <row r="10">
          <cell r="C10">
            <v>20</v>
          </cell>
        </row>
      </sheetData>
      <sheetData sheetId="8">
        <row r="9">
          <cell r="C9" t="str">
            <v>Put</v>
          </cell>
        </row>
        <row r="10">
          <cell r="C10">
            <v>500</v>
          </cell>
        </row>
        <row r="11">
          <cell r="C11" t="str">
            <v>No</v>
          </cell>
        </row>
        <row r="14">
          <cell r="C14">
            <v>20</v>
          </cell>
        </row>
        <row r="18">
          <cell r="C18">
            <v>0.04</v>
          </cell>
        </row>
        <row r="22">
          <cell r="C22">
            <v>5.3165227466956866</v>
          </cell>
        </row>
        <row r="25">
          <cell r="C25">
            <v>24.428055163203396</v>
          </cell>
        </row>
        <row r="26">
          <cell r="C26">
            <v>0.17185624377065137</v>
          </cell>
        </row>
        <row r="27">
          <cell r="C27">
            <v>-0.27535735172930664</v>
          </cell>
        </row>
      </sheetData>
      <sheetData sheetId="9"/>
      <sheetData sheetId="10"/>
      <sheetData sheetId="11">
        <row r="4">
          <cell r="R4" t="str">
            <v>Simulation Results</v>
          </cell>
        </row>
        <row r="10">
          <cell r="L10">
            <v>1.7484008127580757</v>
          </cell>
        </row>
      </sheetData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UsefulExcelFormulas"/>
      <sheetName val="BinomialVsNormal"/>
      <sheetName val="RandomVariables"/>
      <sheetName val="CoherentRiskMeasuresExample"/>
      <sheetName val="ExponentialDampingEstimate"/>
      <sheetName val="TwoAssetsEfficientFrontier"/>
      <sheetName val="OptionPricer"/>
      <sheetName val="HedgingSimulation"/>
    </sheetNames>
    <sheetDataSet>
      <sheetData sheetId="0" refreshError="1"/>
      <sheetData sheetId="1" refreshError="1"/>
      <sheetData sheetId="2" refreshError="1">
        <row r="6">
          <cell r="C6">
            <v>0.1</v>
          </cell>
        </row>
        <row r="7">
          <cell r="C7">
            <v>100</v>
          </cell>
        </row>
      </sheetData>
      <sheetData sheetId="3" refreshError="1"/>
      <sheetData sheetId="4" refreshError="1">
        <row r="7">
          <cell r="I7">
            <v>5</v>
          </cell>
        </row>
        <row r="8">
          <cell r="I8">
            <v>10</v>
          </cell>
        </row>
        <row r="9">
          <cell r="I9">
            <v>2.5000000000000001E-2</v>
          </cell>
        </row>
      </sheetData>
      <sheetData sheetId="5" refreshError="1">
        <row r="6">
          <cell r="C6">
            <v>0.97</v>
          </cell>
        </row>
      </sheetData>
      <sheetData sheetId="6" refreshError="1">
        <row r="7">
          <cell r="C7">
            <v>0.05</v>
          </cell>
        </row>
        <row r="8">
          <cell r="C8">
            <v>0.1</v>
          </cell>
        </row>
      </sheetData>
      <sheetData sheetId="7" refreshError="1">
        <row r="7">
          <cell r="C7">
            <v>125</v>
          </cell>
        </row>
        <row r="20">
          <cell r="C20">
            <v>50</v>
          </cell>
        </row>
        <row r="21">
          <cell r="C21">
            <v>20</v>
          </cell>
        </row>
      </sheetData>
      <sheetData sheetId="8" refreshError="1">
        <row r="7">
          <cell r="G7">
            <v>0.1</v>
          </cell>
        </row>
        <row r="8">
          <cell r="G8">
            <v>0.25</v>
          </cell>
        </row>
        <row r="9">
          <cell r="C9">
            <v>0</v>
          </cell>
          <cell r="G9">
            <v>4.0000000000000001E-3</v>
          </cell>
        </row>
        <row r="10">
          <cell r="C10">
            <v>0.25</v>
          </cell>
        </row>
        <row r="14">
          <cell r="C14">
            <v>0.125</v>
          </cell>
        </row>
        <row r="15">
          <cell r="C15">
            <v>-0.125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V functions"/>
      <sheetName val="YieldExample"/>
      <sheetName val="Bond Price with Excel"/>
      <sheetName val="TwoAssetsEfficientFrontier"/>
      <sheetName val="MeanVariance"/>
      <sheetName val="ValueAtRiskExample"/>
    </sheetNames>
    <sheetDataSet>
      <sheetData sheetId="0" refreshError="1"/>
      <sheetData sheetId="1">
        <row r="2">
          <cell r="C2">
            <v>95</v>
          </cell>
        </row>
        <row r="3">
          <cell r="C3">
            <v>0.06</v>
          </cell>
        </row>
        <row r="4">
          <cell r="C4">
            <v>0.05</v>
          </cell>
        </row>
      </sheetData>
      <sheetData sheetId="2">
        <row r="12">
          <cell r="B12">
            <v>0.1</v>
          </cell>
        </row>
        <row r="13">
          <cell r="B13">
            <v>0.15</v>
          </cell>
        </row>
        <row r="14">
          <cell r="B14">
            <v>37453</v>
          </cell>
        </row>
        <row r="15">
          <cell r="B15">
            <v>1</v>
          </cell>
        </row>
        <row r="16">
          <cell r="B16">
            <v>41744</v>
          </cell>
        </row>
        <row r="18">
          <cell r="B18">
            <v>11.747945205479452</v>
          </cell>
        </row>
        <row r="19">
          <cell r="B19">
            <v>37726</v>
          </cell>
        </row>
        <row r="23">
          <cell r="B23">
            <v>72.99011296894129</v>
          </cell>
        </row>
        <row r="24">
          <cell r="B24">
            <v>2.5205479452054798</v>
          </cell>
        </row>
        <row r="25">
          <cell r="B25">
            <v>75.510660914146769</v>
          </cell>
        </row>
        <row r="27">
          <cell r="B27">
            <v>5.6299835873505106</v>
          </cell>
        </row>
        <row r="58">
          <cell r="B58">
            <v>0.5</v>
          </cell>
        </row>
      </sheetData>
      <sheetData sheetId="3" refreshError="1"/>
      <sheetData sheetId="4">
        <row r="3">
          <cell r="C3">
            <v>0.25</v>
          </cell>
          <cell r="D3">
            <v>0.05</v>
          </cell>
          <cell r="E3">
            <v>0.05</v>
          </cell>
          <cell r="L3">
            <v>1</v>
          </cell>
        </row>
        <row r="4">
          <cell r="C4">
            <v>0.25</v>
          </cell>
          <cell r="D4">
            <v>7.4999999999999997E-2</v>
          </cell>
          <cell r="E4">
            <v>0.08</v>
          </cell>
          <cell r="L4">
            <v>1</v>
          </cell>
        </row>
        <row r="5">
          <cell r="C5">
            <v>0.25</v>
          </cell>
          <cell r="D5">
            <v>0.1</v>
          </cell>
          <cell r="E5">
            <v>0.1</v>
          </cell>
          <cell r="L5">
            <v>1</v>
          </cell>
        </row>
        <row r="6">
          <cell r="C6">
            <v>0.25</v>
          </cell>
          <cell r="D6">
            <v>0.2</v>
          </cell>
          <cell r="E6">
            <v>0.3</v>
          </cell>
          <cell r="L6">
            <v>1</v>
          </cell>
        </row>
        <row r="11">
          <cell r="G11">
            <v>1066.6666666666706</v>
          </cell>
          <cell r="H11">
            <v>333.3333333333357</v>
          </cell>
          <cell r="I11">
            <v>-800.00000000000477</v>
          </cell>
          <cell r="J11">
            <v>-266.66666666666856</v>
          </cell>
        </row>
        <row r="12">
          <cell r="G12">
            <v>333.33333333333451</v>
          </cell>
          <cell r="H12">
            <v>416.66666666666737</v>
          </cell>
          <cell r="I12">
            <v>-500.00000000000153</v>
          </cell>
          <cell r="J12">
            <v>-166.66666666666708</v>
          </cell>
        </row>
        <row r="13">
          <cell r="G13">
            <v>-800.00000000000318</v>
          </cell>
          <cell r="H13">
            <v>-500.00000000000188</v>
          </cell>
          <cell r="I13">
            <v>1028.5714285714325</v>
          </cell>
          <cell r="J13">
            <v>323.8095238095251</v>
          </cell>
        </row>
        <row r="14">
          <cell r="G14">
            <v>-266.66666666666771</v>
          </cell>
          <cell r="H14">
            <v>-166.66666666666728</v>
          </cell>
          <cell r="I14">
            <v>323.8095238095251</v>
          </cell>
          <cell r="J14">
            <v>114.28571428571472</v>
          </cell>
        </row>
        <row r="17">
          <cell r="O17">
            <v>29.107142857142875</v>
          </cell>
        </row>
        <row r="18">
          <cell r="G18">
            <v>0.70351758793969799</v>
          </cell>
          <cell r="J18">
            <v>0.10630000000000001</v>
          </cell>
          <cell r="K18">
            <v>0.26362532637075564</v>
          </cell>
          <cell r="O18">
            <v>9.4866071428571708</v>
          </cell>
        </row>
        <row r="19">
          <cell r="G19">
            <v>0.17587939698492436</v>
          </cell>
          <cell r="K19">
            <v>-6.0369886858137572E-2</v>
          </cell>
          <cell r="O19">
            <v>473.80952380952374</v>
          </cell>
        </row>
        <row r="20">
          <cell r="G20">
            <v>0.11055276381909603</v>
          </cell>
          <cell r="K20">
            <v>0.61702436901653646</v>
          </cell>
          <cell r="O20">
            <v>3647.6190476190595</v>
          </cell>
        </row>
        <row r="21">
          <cell r="G21">
            <v>1.0050251256281614E-2</v>
          </cell>
          <cell r="K21">
            <v>0.17972019147084439</v>
          </cell>
        </row>
        <row r="23">
          <cell r="O23">
            <v>1.7525179503916461E-3</v>
          </cell>
        </row>
        <row r="32">
          <cell r="C32">
            <v>5.4219927371326176E-3</v>
          </cell>
        </row>
      </sheetData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"/>
      <sheetName val="MonteCarlo"/>
      <sheetName val="Information"/>
      <sheetName val="ExposureSim"/>
      <sheetName val="Netting"/>
      <sheetName val="PFE and Netting"/>
      <sheetName val="Impact of PV"/>
      <sheetName val="EPEAllocation"/>
      <sheetName val="CollateralMarginCall"/>
      <sheetName val="CVA"/>
      <sheetName val="CDSCntrptyRisk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celFormulas"/>
      <sheetName val="VarCovarFormulas"/>
      <sheetName val="SimpleCovarianceWithWeights"/>
      <sheetName val="SimpleIntegration"/>
      <sheetName val="RandomVariablesandCorrelation"/>
    </sheetNames>
    <sheetDataSet>
      <sheetData sheetId="0" refreshError="1"/>
      <sheetData sheetId="1" refreshError="1"/>
      <sheetData sheetId="2">
        <row r="3">
          <cell r="J3">
            <v>0.5</v>
          </cell>
          <cell r="K3">
            <v>0.5</v>
          </cell>
        </row>
        <row r="6">
          <cell r="C6">
            <v>0.1</v>
          </cell>
        </row>
        <row r="7">
          <cell r="C7">
            <v>0.1</v>
          </cell>
        </row>
      </sheetData>
      <sheetData sheetId="3">
        <row r="2">
          <cell r="C2">
            <v>2</v>
          </cell>
        </row>
        <row r="3">
          <cell r="C3">
            <v>3</v>
          </cell>
        </row>
        <row r="4">
          <cell r="C4">
            <v>100</v>
          </cell>
        </row>
      </sheetData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ckScholesFormula"/>
      <sheetName val="Formulas"/>
      <sheetName val="MonteCarlo"/>
      <sheetName val="ControlVariate"/>
      <sheetName val="RandomNumbers"/>
    </sheetNames>
    <sheetDataSet>
      <sheetData sheetId="0"/>
      <sheetData sheetId="1"/>
      <sheetData sheetId="2">
        <row r="3">
          <cell r="C3">
            <v>100</v>
          </cell>
          <cell r="F3">
            <v>10</v>
          </cell>
        </row>
        <row r="4">
          <cell r="C4">
            <v>100</v>
          </cell>
          <cell r="F4">
            <v>1000</v>
          </cell>
        </row>
        <row r="5">
          <cell r="C5">
            <v>0.05</v>
          </cell>
          <cell r="F5">
            <v>0.1</v>
          </cell>
        </row>
        <row r="6">
          <cell r="C6">
            <v>1</v>
          </cell>
          <cell r="F6">
            <v>1.001876758911648</v>
          </cell>
        </row>
        <row r="7">
          <cell r="C7">
            <v>0.25</v>
          </cell>
          <cell r="F7">
            <v>7.9056941504209485E-2</v>
          </cell>
        </row>
      </sheetData>
      <sheetData sheetId="3"/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Portfolio"/>
      <sheetName val="MonteCarlo"/>
      <sheetName val="HomogeneousApproximation"/>
      <sheetName val="ConditionalNormalApproximation"/>
      <sheetName val="Recursion"/>
      <sheetName val="Compare"/>
      <sheetName val="IntegrationPoints"/>
    </sheetNames>
    <sheetDataSet>
      <sheetData sheetId="0" refreshError="1"/>
      <sheetData sheetId="1" refreshError="1"/>
      <sheetData sheetId="2" refreshError="1"/>
      <sheetData sheetId="3">
        <row r="6">
          <cell r="C6">
            <v>100</v>
          </cell>
        </row>
        <row r="7">
          <cell r="C7">
            <v>110</v>
          </cell>
        </row>
        <row r="16">
          <cell r="C16">
            <v>15.210083301374098</v>
          </cell>
        </row>
        <row r="17">
          <cell r="C17">
            <v>94.789916698625916</v>
          </cell>
        </row>
        <row r="23">
          <cell r="C23">
            <v>8.0293242543474475E-2</v>
          </cell>
        </row>
        <row r="24">
          <cell r="C24">
            <v>0.82704839804623798</v>
          </cell>
        </row>
        <row r="25">
          <cell r="C25">
            <v>4.3602716212886605</v>
          </cell>
        </row>
      </sheetData>
      <sheetData sheetId="4">
        <row r="6">
          <cell r="C6">
            <v>100</v>
          </cell>
        </row>
        <row r="7">
          <cell r="C7">
            <v>0.5</v>
          </cell>
        </row>
        <row r="8">
          <cell r="C8">
            <v>0.3</v>
          </cell>
        </row>
        <row r="9">
          <cell r="C9">
            <v>0.5</v>
          </cell>
        </row>
        <row r="10">
          <cell r="C10">
            <v>100</v>
          </cell>
        </row>
        <row r="14">
          <cell r="C14">
            <v>0.33333333333333331</v>
          </cell>
        </row>
        <row r="15">
          <cell r="C15">
            <v>0.80346471954626331</v>
          </cell>
        </row>
        <row r="16">
          <cell r="C16">
            <v>3.2825228511156315</v>
          </cell>
        </row>
      </sheetData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CDSStripper"/>
      <sheetName val="BaseCorrelation"/>
      <sheetName val="Bespoke"/>
    </sheetNames>
    <sheetDataSet>
      <sheetData sheetId="0"/>
      <sheetData sheetId="1"/>
      <sheetData sheetId="2"/>
      <sheetData sheetId="3"/>
      <sheetData sheetId="4"/>
      <sheetData sheetId="5">
        <row r="8">
          <cell r="D8">
            <v>0.6</v>
          </cell>
        </row>
      </sheetData>
      <sheetData sheetId="6">
        <row r="10">
          <cell r="D10">
            <v>4.3</v>
          </cell>
        </row>
      </sheetData>
      <sheetData sheetId="7">
        <row r="7">
          <cell r="I7">
            <v>0.4</v>
          </cell>
        </row>
        <row r="10">
          <cell r="I10">
            <v>146.43600646972706</v>
          </cell>
        </row>
      </sheetData>
      <sheetData sheetId="8"/>
      <sheetData sheetId="9"/>
      <sheetData sheetId="10"/>
      <sheetData sheetId="11"/>
      <sheetData sheetId="1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Basket"/>
      <sheetName val="CDO"/>
    </sheetNames>
    <sheetDataSet>
      <sheetData sheetId="0"/>
      <sheetData sheetId="1"/>
      <sheetData sheetId="2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ketPricer"/>
      <sheetName val="CDSStripper"/>
      <sheetName val="IndexBasis"/>
      <sheetName val="DefTime"/>
      <sheetName val="NumDefaults"/>
      <sheetName val="Survival"/>
      <sheetName val="Mapping"/>
    </sheetNames>
    <sheetDataSet>
      <sheetData sheetId="0"/>
      <sheetData sheetId="1" refreshError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Sheet1"/>
      <sheetName val="Sheet2"/>
      <sheetName val="Sheet3"/>
    </sheetNames>
    <sheetDataSet>
      <sheetData sheetId="0">
        <row r="4">
          <cell r="D4">
            <v>0.1</v>
          </cell>
        </row>
      </sheetData>
      <sheetData sheetId="1"/>
      <sheetData sheetId="2"/>
      <sheetData sheetId="3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 Problems"/>
      <sheetName val="PV functions"/>
      <sheetName val="Sheet3"/>
    </sheetNames>
    <sheetDataSet>
      <sheetData sheetId="0">
        <row r="39">
          <cell r="G39">
            <v>10000000</v>
          </cell>
          <cell r="H39">
            <v>0.05</v>
          </cell>
          <cell r="J39">
            <v>5</v>
          </cell>
        </row>
      </sheetData>
      <sheetData sheetId="1" refreshError="1"/>
      <sheetData sheetId="2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sheet3.1"/>
      <sheetName val="Spreadsheet3.2"/>
    </sheetNames>
    <sheetDataSet>
      <sheetData sheetId="0">
        <row r="10">
          <cell r="C10">
            <v>2</v>
          </cell>
        </row>
        <row r="11">
          <cell r="C11">
            <v>10</v>
          </cell>
        </row>
      </sheetData>
      <sheetData sheetId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ndomNumbers"/>
      <sheetName val="RandomVariables"/>
      <sheetName val="Sheet1"/>
      <sheetName val="Sheet2"/>
      <sheetName val="Exposure"/>
      <sheetName val="Sheet3"/>
      <sheetName val="Sheet4"/>
      <sheetName val="Credit"/>
      <sheetName val="Results"/>
      <sheetName val="Batch"/>
    </sheetNames>
    <sheetDataSet>
      <sheetData sheetId="0">
        <row r="4">
          <cell r="B4">
            <v>0.1668250983026931</v>
          </cell>
          <cell r="H4">
            <v>-0.19375268532755768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CDSStripper"/>
      <sheetName val="BaseCorrelation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  <sheetData sheetId="7"/>
      <sheetData sheetId="8" refreshError="1"/>
      <sheetData sheetId="9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99"/>
  <sheetViews>
    <sheetView showGridLines="0" tabSelected="1" workbookViewId="0">
      <pane ySplit="7" topLeftCell="A8" activePane="bottomLeft" state="frozen"/>
      <selection pane="bottomLeft" activeCell="Q19" sqref="Q19"/>
    </sheetView>
  </sheetViews>
  <sheetFormatPr defaultRowHeight="13.2" x14ac:dyDescent="0.25"/>
  <cols>
    <col min="2" max="2" width="32.21875" bestFit="1" customWidth="1"/>
    <col min="3" max="3" width="9.6640625" customWidth="1"/>
  </cols>
  <sheetData>
    <row r="1" spans="2:16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6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2:16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6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2:16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2:16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2:16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9" spans="2:16" ht="13.8" thickBot="1" x14ac:dyDescent="0.3"/>
    <row r="10" spans="2:16" ht="16.2" thickBot="1" x14ac:dyDescent="0.35">
      <c r="B10" s="92" t="s">
        <v>0</v>
      </c>
      <c r="C10" s="93"/>
      <c r="D10" s="21"/>
      <c r="E10" s="21"/>
      <c r="F10" s="21"/>
      <c r="G10" s="21" t="s">
        <v>7</v>
      </c>
      <c r="H10" s="21"/>
    </row>
    <row r="11" spans="2:16" ht="15" x14ac:dyDescent="0.25">
      <c r="B11" s="22" t="s">
        <v>2</v>
      </c>
      <c r="C11" s="23">
        <v>2</v>
      </c>
      <c r="D11" s="21"/>
      <c r="E11" s="21"/>
      <c r="F11" s="24">
        <f ca="1">Mu-Sigma*4</f>
        <v>-14</v>
      </c>
      <c r="G11" s="25">
        <f t="shared" ref="G11:G42" ca="1" si="0">NORMDIST(F11,Mu,Sigma,FALSE)</f>
        <v>3.3457556441221342E-5</v>
      </c>
      <c r="H11" s="26">
        <f ca="1">EE</f>
        <v>2.7911862296052243</v>
      </c>
      <c r="I11" s="19">
        <f ca="1">PFE</f>
        <v>11.305391496163363</v>
      </c>
      <c r="J11" s="19">
        <v>0</v>
      </c>
      <c r="K11" s="19">
        <f ca="1">Mu</f>
        <v>2</v>
      </c>
    </row>
    <row r="12" spans="2:16" ht="15" x14ac:dyDescent="0.25">
      <c r="B12" s="27" t="s">
        <v>3</v>
      </c>
      <c r="C12" s="28">
        <v>4</v>
      </c>
      <c r="D12" s="21"/>
      <c r="E12" s="21"/>
      <c r="F12" s="24">
        <f t="shared" ref="F12:F43" ca="1" si="1">F11+Sigma/10</f>
        <v>-13.6</v>
      </c>
      <c r="G12" s="25">
        <f t="shared" ca="1" si="0"/>
        <v>4.9663867848193179E-5</v>
      </c>
      <c r="H12" s="26">
        <f ca="1">EE</f>
        <v>2.7911862296052243</v>
      </c>
      <c r="I12" s="19">
        <f ca="1">PFE</f>
        <v>11.305391496163363</v>
      </c>
      <c r="J12" s="19">
        <f ca="1">MAX(G11:G96)</f>
        <v>9.9735570100358176E-2</v>
      </c>
      <c r="K12" s="19">
        <f ca="1">K11</f>
        <v>2</v>
      </c>
    </row>
    <row r="13" spans="2:16" ht="15.6" thickBot="1" x14ac:dyDescent="0.3">
      <c r="B13" s="29" t="s">
        <v>4</v>
      </c>
      <c r="C13" s="30">
        <v>0.99</v>
      </c>
      <c r="D13" s="21"/>
      <c r="E13" s="21"/>
      <c r="F13" s="24">
        <f t="shared" ca="1" si="1"/>
        <v>-13.2</v>
      </c>
      <c r="G13" s="25">
        <f t="shared" ca="1" si="0"/>
        <v>7.2986731447865068E-5</v>
      </c>
      <c r="H13" s="21"/>
    </row>
    <row r="14" spans="2:16" ht="15.6" thickBot="1" x14ac:dyDescent="0.3">
      <c r="B14" s="21"/>
      <c r="C14" s="21"/>
      <c r="D14" s="21"/>
      <c r="E14" s="21"/>
      <c r="F14" s="24">
        <f t="shared" ca="1" si="1"/>
        <v>-12.799999999999999</v>
      </c>
      <c r="G14" s="25">
        <f t="shared" ca="1" si="0"/>
        <v>1.0619506763768805E-4</v>
      </c>
      <c r="H14" s="21"/>
    </row>
    <row r="15" spans="2:16" ht="16.2" thickBot="1" x14ac:dyDescent="0.35">
      <c r="B15" s="92" t="s">
        <v>1</v>
      </c>
      <c r="C15" s="93"/>
      <c r="D15" s="21"/>
      <c r="E15" s="21"/>
      <c r="F15" s="24">
        <f t="shared" ca="1" si="1"/>
        <v>-12.399999999999999</v>
      </c>
      <c r="G15" s="25">
        <f t="shared" ca="1" si="0"/>
        <v>1.5297548252844325E-4</v>
      </c>
      <c r="H15" s="21"/>
    </row>
    <row r="16" spans="2:16" ht="15" x14ac:dyDescent="0.25">
      <c r="B16" s="27" t="s">
        <v>5</v>
      </c>
      <c r="C16" s="31">
        <f ca="1">Mu*NORMSDIST(Mu/Sigma)+Sigma*NORMDIST(Mu/Sigma,0,1,FALSE)</f>
        <v>2.7911862296052243</v>
      </c>
      <c r="D16" s="21"/>
      <c r="E16" s="21"/>
      <c r="F16" s="24">
        <f t="shared" ca="1" si="1"/>
        <v>-11.999999999999998</v>
      </c>
      <c r="G16" s="25">
        <f t="shared" ca="1" si="0"/>
        <v>2.1817067376144042E-4</v>
      </c>
      <c r="H16" s="21"/>
    </row>
    <row r="17" spans="2:8" ht="15.6" thickBot="1" x14ac:dyDescent="0.3">
      <c r="B17" s="29" t="s">
        <v>6</v>
      </c>
      <c r="C17" s="32">
        <f ca="1">Mu+NORMSINV(Alpha)*Sigma</f>
        <v>11.305391496163363</v>
      </c>
      <c r="D17" s="21"/>
      <c r="E17" s="21"/>
      <c r="F17" s="24">
        <f t="shared" ca="1" si="1"/>
        <v>-11.599999999999998</v>
      </c>
      <c r="G17" s="25">
        <f t="shared" ca="1" si="0"/>
        <v>3.0805479211825525E-4</v>
      </c>
      <c r="H17" s="21"/>
    </row>
    <row r="18" spans="2:8" ht="15" x14ac:dyDescent="0.25">
      <c r="B18" s="21"/>
      <c r="C18" s="21"/>
      <c r="D18" s="21"/>
      <c r="E18" s="21"/>
      <c r="F18" s="24">
        <f t="shared" ca="1" si="1"/>
        <v>-11.199999999999998</v>
      </c>
      <c r="G18" s="25">
        <f t="shared" ca="1" si="0"/>
        <v>4.3064223476342107E-4</v>
      </c>
      <c r="H18" s="21"/>
    </row>
    <row r="19" spans="2:8" ht="15" x14ac:dyDescent="0.25">
      <c r="B19" s="21"/>
      <c r="C19" s="21"/>
      <c r="D19" s="21"/>
      <c r="E19" s="21"/>
      <c r="F19" s="24">
        <f t="shared" ca="1" si="1"/>
        <v>-10.799999999999997</v>
      </c>
      <c r="G19" s="25">
        <f t="shared" ca="1" si="0"/>
        <v>5.9602205036621216E-4</v>
      </c>
      <c r="H19" s="21"/>
    </row>
    <row r="20" spans="2:8" ht="15" x14ac:dyDescent="0.25">
      <c r="B20" s="21"/>
      <c r="C20" s="21"/>
      <c r="D20" s="21"/>
      <c r="E20" s="21"/>
      <c r="F20" s="24">
        <f t="shared" ca="1" si="1"/>
        <v>-10.399999999999997</v>
      </c>
      <c r="G20" s="25">
        <f t="shared" ca="1" si="0"/>
        <v>8.1670476404998183E-4</v>
      </c>
      <c r="H20" s="21"/>
    </row>
    <row r="21" spans="2:8" ht="15" x14ac:dyDescent="0.25">
      <c r="B21" s="21"/>
      <c r="C21" s="21"/>
      <c r="D21" s="21"/>
      <c r="E21" s="21"/>
      <c r="F21" s="24">
        <f t="shared" ca="1" si="1"/>
        <v>-9.9999999999999964</v>
      </c>
      <c r="G21" s="25">
        <f t="shared" ca="1" si="0"/>
        <v>1.1079621029845047E-3</v>
      </c>
      <c r="H21" s="21"/>
    </row>
    <row r="22" spans="2:8" ht="15" x14ac:dyDescent="0.25">
      <c r="B22" s="21"/>
      <c r="C22" s="21"/>
      <c r="D22" s="21"/>
      <c r="E22" s="21"/>
      <c r="F22" s="24">
        <f t="shared" ca="1" si="1"/>
        <v>-9.5999999999999961</v>
      </c>
      <c r="G22" s="25">
        <f t="shared" ca="1" si="0"/>
        <v>1.4881331049439674E-3</v>
      </c>
      <c r="H22" s="21"/>
    </row>
    <row r="23" spans="2:8" ht="15" x14ac:dyDescent="0.25">
      <c r="B23" s="21"/>
      <c r="C23" s="21"/>
      <c r="D23" s="21"/>
      <c r="E23" s="21"/>
      <c r="F23" s="24">
        <f t="shared" ca="1" si="1"/>
        <v>-9.1999999999999957</v>
      </c>
      <c r="G23" s="25">
        <f t="shared" ca="1" si="0"/>
        <v>1.9788628957449973E-3</v>
      </c>
      <c r="H23" s="21"/>
    </row>
    <row r="24" spans="2:8" ht="15" x14ac:dyDescent="0.25">
      <c r="B24" s="21"/>
      <c r="C24" s="21"/>
      <c r="D24" s="21"/>
      <c r="E24" s="21"/>
      <c r="F24" s="24">
        <f t="shared" ca="1" si="1"/>
        <v>-8.7999999999999954</v>
      </c>
      <c r="G24" s="25">
        <f t="shared" ca="1" si="0"/>
        <v>2.605233703605657E-3</v>
      </c>
      <c r="H24" s="21"/>
    </row>
    <row r="25" spans="2:8" ht="15" x14ac:dyDescent="0.25">
      <c r="B25" s="21"/>
      <c r="C25" s="21"/>
      <c r="D25" s="21"/>
      <c r="E25" s="21"/>
      <c r="F25" s="24">
        <f t="shared" ca="1" si="1"/>
        <v>-8.399999999999995</v>
      </c>
      <c r="G25" s="25">
        <f t="shared" ca="1" si="0"/>
        <v>3.3957423084214153E-3</v>
      </c>
      <c r="H25" s="21"/>
    </row>
    <row r="26" spans="2:8" ht="15" x14ac:dyDescent="0.25">
      <c r="B26" s="21"/>
      <c r="C26" s="21"/>
      <c r="D26" s="21"/>
      <c r="E26" s="21"/>
      <c r="F26" s="24">
        <f t="shared" ca="1" si="1"/>
        <v>-7.9999999999999947</v>
      </c>
      <c r="G26" s="25">
        <f t="shared" ca="1" si="0"/>
        <v>4.3820751233921498E-3</v>
      </c>
      <c r="H26" s="21"/>
    </row>
    <row r="27" spans="2:8" ht="15" x14ac:dyDescent="0.25">
      <c r="B27" s="21"/>
      <c r="C27" s="21"/>
      <c r="D27" s="21"/>
      <c r="E27" s="21"/>
      <c r="F27" s="24">
        <f t="shared" ca="1" si="1"/>
        <v>-7.5999999999999943</v>
      </c>
      <c r="G27" s="25">
        <f t="shared" ca="1" si="0"/>
        <v>5.5986325737107422E-3</v>
      </c>
      <c r="H27" s="21"/>
    </row>
    <row r="28" spans="2:8" ht="15" x14ac:dyDescent="0.25">
      <c r="B28" s="21"/>
      <c r="C28" s="21"/>
      <c r="D28" s="21"/>
      <c r="E28" s="21"/>
      <c r="F28" s="24">
        <f t="shared" ca="1" si="1"/>
        <v>-7.199999999999994</v>
      </c>
      <c r="G28" s="25">
        <f t="shared" ca="1" si="0"/>
        <v>7.0817594354003191E-3</v>
      </c>
      <c r="H28" s="21"/>
    </row>
    <row r="29" spans="2:8" ht="15" x14ac:dyDescent="0.25">
      <c r="B29" s="21"/>
      <c r="C29" s="21"/>
      <c r="D29" s="21"/>
      <c r="E29" s="21"/>
      <c r="F29" s="24">
        <f t="shared" ca="1" si="1"/>
        <v>-6.7999999999999936</v>
      </c>
      <c r="G29" s="25">
        <f t="shared" ca="1" si="0"/>
        <v>8.8686482115578925E-3</v>
      </c>
      <c r="H29" s="21"/>
    </row>
    <row r="30" spans="2:8" ht="15" x14ac:dyDescent="0.25">
      <c r="B30" s="21"/>
      <c r="C30" s="21"/>
      <c r="D30" s="21"/>
      <c r="E30" s="21"/>
      <c r="F30" s="24">
        <f t="shared" ca="1" si="1"/>
        <v>-6.3999999999999932</v>
      </c>
      <c r="G30" s="25">
        <f t="shared" ca="1" si="0"/>
        <v>1.0995898995106838E-2</v>
      </c>
      <c r="H30" s="21"/>
    </row>
    <row r="31" spans="2:8" ht="15" x14ac:dyDescent="0.25">
      <c r="B31" s="21"/>
      <c r="C31" s="21"/>
      <c r="D31" s="21"/>
      <c r="E31" s="21"/>
      <c r="F31" s="24">
        <f t="shared" ca="1" si="1"/>
        <v>-5.9999999999999929</v>
      </c>
      <c r="G31" s="25">
        <f t="shared" ca="1" si="0"/>
        <v>1.3497741628297063E-2</v>
      </c>
      <c r="H31" s="21"/>
    </row>
    <row r="32" spans="2:8" ht="15" x14ac:dyDescent="0.25">
      <c r="B32" s="21"/>
      <c r="C32" s="21"/>
      <c r="D32" s="21"/>
      <c r="E32" s="21"/>
      <c r="F32" s="24">
        <f t="shared" ca="1" si="1"/>
        <v>-5.5999999999999925</v>
      </c>
      <c r="G32" s="25">
        <f t="shared" ca="1" si="0"/>
        <v>1.6403953693669208E-2</v>
      </c>
      <c r="H32" s="21"/>
    </row>
    <row r="33" spans="2:8" ht="15" x14ac:dyDescent="0.25">
      <c r="B33" s="21"/>
      <c r="C33" s="21"/>
      <c r="D33" s="21"/>
      <c r="E33" s="21"/>
      <c r="F33" s="24">
        <f t="shared" ca="1" si="1"/>
        <v>-5.1999999999999922</v>
      </c>
      <c r="G33" s="25">
        <f t="shared" ca="1" si="0"/>
        <v>1.9737539575223607E-2</v>
      </c>
      <c r="H33" s="21"/>
    </row>
    <row r="34" spans="2:8" ht="15" x14ac:dyDescent="0.25">
      <c r="B34" s="21"/>
      <c r="C34" s="21"/>
      <c r="D34" s="21"/>
      <c r="E34" s="21"/>
      <c r="F34" s="24">
        <f t="shared" ca="1" si="1"/>
        <v>-4.7999999999999918</v>
      </c>
      <c r="G34" s="25">
        <f t="shared" ca="1" si="0"/>
        <v>2.3512269344221813E-2</v>
      </c>
      <c r="H34" s="21"/>
    </row>
    <row r="35" spans="2:8" ht="15" x14ac:dyDescent="0.25">
      <c r="B35" s="21"/>
      <c r="C35" s="21"/>
      <c r="D35" s="21"/>
      <c r="E35" s="21"/>
      <c r="F35" s="24">
        <f t="shared" ca="1" si="1"/>
        <v>-4.3999999999999915</v>
      </c>
      <c r="G35" s="25">
        <f t="shared" ca="1" si="0"/>
        <v>2.773020866986398E-2</v>
      </c>
      <c r="H35" s="21"/>
    </row>
    <row r="36" spans="2:8" ht="15" x14ac:dyDescent="0.25">
      <c r="B36" s="21"/>
      <c r="C36" s="21"/>
      <c r="D36" s="21"/>
      <c r="E36" s="21"/>
      <c r="F36" s="24">
        <f t="shared" ca="1" si="1"/>
        <v>-3.9999999999999916</v>
      </c>
      <c r="G36" s="25">
        <f t="shared" ca="1" si="0"/>
        <v>3.237939891647304E-2</v>
      </c>
      <c r="H36" s="21"/>
    </row>
    <row r="37" spans="2:8" ht="15" x14ac:dyDescent="0.25">
      <c r="B37" s="21"/>
      <c r="C37" s="21"/>
      <c r="D37" s="21"/>
      <c r="E37" s="21"/>
      <c r="F37" s="24">
        <f t="shared" ca="1" si="1"/>
        <v>-3.5999999999999917</v>
      </c>
      <c r="G37" s="25">
        <f t="shared" ca="1" si="0"/>
        <v>3.7431866408936323E-2</v>
      </c>
      <c r="H37" s="21"/>
    </row>
    <row r="38" spans="2:8" ht="15" x14ac:dyDescent="0.25">
      <c r="B38" s="21"/>
      <c r="C38" s="21"/>
      <c r="D38" s="21"/>
      <c r="E38" s="21"/>
      <c r="F38" s="24">
        <f t="shared" ca="1" si="1"/>
        <v>-3.1999999999999917</v>
      </c>
      <c r="G38" s="25">
        <f t="shared" ca="1" si="0"/>
        <v>4.284214801195195E-2</v>
      </c>
      <c r="H38" s="21"/>
    </row>
    <row r="39" spans="2:8" ht="15" x14ac:dyDescent="0.25">
      <c r="B39" s="21"/>
      <c r="C39" s="21"/>
      <c r="D39" s="21"/>
      <c r="E39" s="21"/>
      <c r="F39" s="24">
        <f t="shared" ca="1" si="1"/>
        <v>-2.7999999999999918</v>
      </c>
      <c r="G39" s="25">
        <f t="shared" ca="1" si="0"/>
        <v>4.8546513745803356E-2</v>
      </c>
      <c r="H39" s="21"/>
    </row>
    <row r="40" spans="2:8" ht="15" x14ac:dyDescent="0.25">
      <c r="B40" s="21"/>
      <c r="C40" s="21"/>
      <c r="D40" s="21"/>
      <c r="E40" s="21"/>
      <c r="F40" s="24">
        <f t="shared" ca="1" si="1"/>
        <v>-2.3999999999999919</v>
      </c>
      <c r="G40" s="25">
        <f t="shared" ca="1" si="0"/>
        <v>5.446304425813777E-2</v>
      </c>
      <c r="H40" s="21"/>
    </row>
    <row r="41" spans="2:8" ht="15" x14ac:dyDescent="0.25">
      <c r="B41" s="21"/>
      <c r="C41" s="21"/>
      <c r="D41" s="21"/>
      <c r="E41" s="21"/>
      <c r="F41" s="24">
        <f t="shared" ca="1" si="1"/>
        <v>-1.999999999999992</v>
      </c>
      <c r="G41" s="25">
        <f t="shared" ca="1" si="0"/>
        <v>6.0492681129785966E-2</v>
      </c>
      <c r="H41" s="21"/>
    </row>
    <row r="42" spans="2:8" ht="15" x14ac:dyDescent="0.25">
      <c r="B42" s="21"/>
      <c r="C42" s="21"/>
      <c r="D42" s="21"/>
      <c r="E42" s="21"/>
      <c r="F42" s="24">
        <f t="shared" ca="1" si="1"/>
        <v>-1.5999999999999921</v>
      </c>
      <c r="G42" s="25">
        <f t="shared" ca="1" si="0"/>
        <v>6.6521312474688829E-2</v>
      </c>
      <c r="H42" s="21"/>
    </row>
    <row r="43" spans="2:8" ht="15" x14ac:dyDescent="0.25">
      <c r="B43" s="21"/>
      <c r="C43" s="21"/>
      <c r="D43" s="21"/>
      <c r="E43" s="21"/>
      <c r="F43" s="24">
        <f t="shared" ca="1" si="1"/>
        <v>-1.1999999999999922</v>
      </c>
      <c r="G43" s="25">
        <f t="shared" ref="G43:G74" ca="1" si="2">NORMDIST(F43,Mu,Sigma,FALSE)</f>
        <v>7.2422888190370807E-2</v>
      </c>
      <c r="H43" s="21"/>
    </row>
    <row r="44" spans="2:8" ht="15" x14ac:dyDescent="0.25">
      <c r="B44" s="21"/>
      <c r="C44" s="21"/>
      <c r="D44" s="21"/>
      <c r="E44" s="21"/>
      <c r="F44" s="24">
        <f t="shared" ref="F44:F75" ca="1" si="3">F43+Sigma/10</f>
        <v>-0.79999999999999216</v>
      </c>
      <c r="G44" s="25">
        <f t="shared" ca="1" si="2"/>
        <v>7.8063483341690429E-2</v>
      </c>
      <c r="H44" s="21"/>
    </row>
    <row r="45" spans="2:8" ht="15" x14ac:dyDescent="0.25">
      <c r="B45" s="21"/>
      <c r="C45" s="21"/>
      <c r="D45" s="21"/>
      <c r="E45" s="21"/>
      <c r="F45" s="24">
        <f t="shared" ca="1" si="3"/>
        <v>-0.39999999999999214</v>
      </c>
      <c r="G45" s="25">
        <f t="shared" ca="1" si="2"/>
        <v>8.3306150722950015E-2</v>
      </c>
      <c r="H45" s="21"/>
    </row>
    <row r="46" spans="2:8" ht="15" x14ac:dyDescent="0.25">
      <c r="B46" s="21"/>
      <c r="C46" s="21"/>
      <c r="D46" s="21"/>
      <c r="E46" s="21"/>
      <c r="F46" s="24">
        <f t="shared" ca="1" si="3"/>
        <v>7.8825834748386114E-15</v>
      </c>
      <c r="G46" s="25">
        <f t="shared" ca="1" si="2"/>
        <v>8.8016331691074964E-2</v>
      </c>
      <c r="H46" s="21"/>
    </row>
    <row r="47" spans="2:8" ht="15" x14ac:dyDescent="0.25">
      <c r="B47" s="21"/>
      <c r="C47" s="21"/>
      <c r="D47" s="21"/>
      <c r="E47" s="21"/>
      <c r="F47" s="24">
        <f t="shared" ca="1" si="3"/>
        <v>0.4000000000000079</v>
      </c>
      <c r="G47" s="25">
        <f t="shared" ca="1" si="2"/>
        <v>9.2067535075830903E-2</v>
      </c>
      <c r="H47" s="21"/>
    </row>
    <row r="48" spans="2:8" ht="15" x14ac:dyDescent="0.25">
      <c r="B48" s="21"/>
      <c r="C48" s="21"/>
      <c r="D48" s="21"/>
      <c r="E48" s="21"/>
      <c r="F48" s="24">
        <f t="shared" ca="1" si="3"/>
        <v>0.80000000000000793</v>
      </c>
      <c r="G48" s="25">
        <f t="shared" ca="1" si="2"/>
        <v>9.534695386513109E-2</v>
      </c>
      <c r="H48" s="21"/>
    </row>
    <row r="49" spans="2:8" ht="15" x14ac:dyDescent="0.25">
      <c r="B49" s="21"/>
      <c r="C49" s="21"/>
      <c r="D49" s="21"/>
      <c r="E49" s="21"/>
      <c r="F49" s="24">
        <f t="shared" ca="1" si="3"/>
        <v>1.2000000000000079</v>
      </c>
      <c r="G49" s="25">
        <f t="shared" ca="1" si="2"/>
        <v>9.7760673493864012E-2</v>
      </c>
      <c r="H49" s="21"/>
    </row>
    <row r="50" spans="2:8" ht="15" x14ac:dyDescent="0.25">
      <c r="B50" s="21"/>
      <c r="C50" s="21"/>
      <c r="D50" s="21"/>
      <c r="E50" s="21"/>
      <c r="F50" s="24">
        <f t="shared" ca="1" si="3"/>
        <v>1.6000000000000081</v>
      </c>
      <c r="G50" s="25">
        <f t="shared" ca="1" si="2"/>
        <v>9.9238136869252966E-2</v>
      </c>
      <c r="H50" s="21"/>
    </row>
    <row r="51" spans="2:8" ht="15" x14ac:dyDescent="0.25">
      <c r="B51" s="21"/>
      <c r="C51" s="21"/>
      <c r="D51" s="21"/>
      <c r="E51" s="21"/>
      <c r="F51" s="24">
        <f t="shared" ca="1" si="3"/>
        <v>2.000000000000008</v>
      </c>
      <c r="G51" s="25">
        <f t="shared" ca="1" si="2"/>
        <v>9.9735570100358176E-2</v>
      </c>
      <c r="H51" s="21"/>
    </row>
    <row r="52" spans="2:8" ht="15" x14ac:dyDescent="0.25">
      <c r="B52" s="21"/>
      <c r="C52" s="21"/>
      <c r="D52" s="21"/>
      <c r="E52" s="21"/>
      <c r="F52" s="24">
        <f t="shared" ca="1" si="3"/>
        <v>2.4000000000000079</v>
      </c>
      <c r="G52" s="25">
        <f t="shared" ca="1" si="2"/>
        <v>9.9238136869252924E-2</v>
      </c>
      <c r="H52" s="21"/>
    </row>
    <row r="53" spans="2:8" ht="15" x14ac:dyDescent="0.25">
      <c r="B53" s="21"/>
      <c r="C53" s="21"/>
      <c r="D53" s="21"/>
      <c r="E53" s="21"/>
      <c r="F53" s="24">
        <f t="shared" ca="1" si="3"/>
        <v>2.8000000000000078</v>
      </c>
      <c r="G53" s="25">
        <f t="shared" ca="1" si="2"/>
        <v>9.7760673493863942E-2</v>
      </c>
      <c r="H53" s="21"/>
    </row>
    <row r="54" spans="2:8" ht="15" x14ac:dyDescent="0.25">
      <c r="B54" s="21"/>
      <c r="C54" s="21"/>
      <c r="D54" s="21"/>
      <c r="E54" s="21"/>
      <c r="F54" s="24">
        <f t="shared" ca="1" si="3"/>
        <v>3.2000000000000077</v>
      </c>
      <c r="G54" s="25">
        <f t="shared" ca="1" si="2"/>
        <v>9.5346953865130979E-2</v>
      </c>
      <c r="H54" s="21"/>
    </row>
    <row r="55" spans="2:8" ht="15" x14ac:dyDescent="0.25">
      <c r="B55" s="21"/>
      <c r="C55" s="21"/>
      <c r="D55" s="21"/>
      <c r="E55" s="21"/>
      <c r="F55" s="24">
        <f t="shared" ca="1" si="3"/>
        <v>3.6000000000000076</v>
      </c>
      <c r="G55" s="25">
        <f t="shared" ca="1" si="2"/>
        <v>9.2067535075830764E-2</v>
      </c>
      <c r="H55" s="21"/>
    </row>
    <row r="56" spans="2:8" ht="15" x14ac:dyDescent="0.25">
      <c r="B56" s="21"/>
      <c r="C56" s="21"/>
      <c r="D56" s="21"/>
      <c r="E56" s="21"/>
      <c r="F56" s="24">
        <f t="shared" ca="1" si="3"/>
        <v>4.000000000000008</v>
      </c>
      <c r="G56" s="25">
        <f t="shared" ca="1" si="2"/>
        <v>8.8016331691074798E-2</v>
      </c>
      <c r="H56" s="21"/>
    </row>
    <row r="57" spans="2:8" ht="15" x14ac:dyDescent="0.25">
      <c r="B57" s="21"/>
      <c r="C57" s="21"/>
      <c r="D57" s="21"/>
      <c r="E57" s="21"/>
      <c r="F57" s="24">
        <f t="shared" ca="1" si="3"/>
        <v>4.4000000000000083</v>
      </c>
      <c r="G57" s="25">
        <f t="shared" ca="1" si="2"/>
        <v>8.3306150722949807E-2</v>
      </c>
      <c r="H57" s="21"/>
    </row>
    <row r="58" spans="2:8" ht="15" x14ac:dyDescent="0.25">
      <c r="B58" s="21"/>
      <c r="C58" s="21"/>
      <c r="D58" s="21"/>
      <c r="E58" s="21"/>
      <c r="F58" s="24">
        <f t="shared" ca="1" si="3"/>
        <v>4.8000000000000087</v>
      </c>
      <c r="G58" s="25">
        <f t="shared" ca="1" si="2"/>
        <v>7.8063483341690207E-2</v>
      </c>
      <c r="H58" s="21"/>
    </row>
    <row r="59" spans="2:8" ht="15" x14ac:dyDescent="0.25">
      <c r="B59" s="21"/>
      <c r="C59" s="21"/>
      <c r="D59" s="21"/>
      <c r="E59" s="21"/>
      <c r="F59" s="24">
        <f t="shared" ca="1" si="3"/>
        <v>5.2000000000000091</v>
      </c>
      <c r="G59" s="25">
        <f t="shared" ca="1" si="2"/>
        <v>7.2422888190370557E-2</v>
      </c>
      <c r="H59" s="21"/>
    </row>
    <row r="60" spans="2:8" ht="15" x14ac:dyDescent="0.25">
      <c r="B60" s="21"/>
      <c r="C60" s="21"/>
      <c r="D60" s="21"/>
      <c r="E60" s="21"/>
      <c r="F60" s="24">
        <f t="shared" ca="1" si="3"/>
        <v>5.6000000000000094</v>
      </c>
      <c r="G60" s="25">
        <f t="shared" ca="1" si="2"/>
        <v>6.6521312474688565E-2</v>
      </c>
      <c r="H60" s="21"/>
    </row>
    <row r="61" spans="2:8" ht="15" x14ac:dyDescent="0.25">
      <c r="B61" s="21"/>
      <c r="C61" s="21"/>
      <c r="D61" s="21"/>
      <c r="E61" s="21"/>
      <c r="F61" s="24">
        <f t="shared" ca="1" si="3"/>
        <v>6.0000000000000098</v>
      </c>
      <c r="G61" s="25">
        <f t="shared" ca="1" si="2"/>
        <v>6.0492681129785696E-2</v>
      </c>
      <c r="H61" s="21"/>
    </row>
    <row r="62" spans="2:8" ht="15" x14ac:dyDescent="0.25">
      <c r="B62" s="21"/>
      <c r="C62" s="21"/>
      <c r="D62" s="21"/>
      <c r="E62" s="21"/>
      <c r="F62" s="24">
        <f t="shared" ca="1" si="3"/>
        <v>6.4000000000000101</v>
      </c>
      <c r="G62" s="25">
        <f t="shared" ca="1" si="2"/>
        <v>5.4463044258137493E-2</v>
      </c>
      <c r="H62" s="21"/>
    </row>
    <row r="63" spans="2:8" ht="15" x14ac:dyDescent="0.25">
      <c r="B63" s="21"/>
      <c r="C63" s="21"/>
      <c r="D63" s="21"/>
      <c r="E63" s="21"/>
      <c r="F63" s="24">
        <f t="shared" ca="1" si="3"/>
        <v>6.8000000000000105</v>
      </c>
      <c r="G63" s="25">
        <f t="shared" ca="1" si="2"/>
        <v>4.8546513745803078E-2</v>
      </c>
      <c r="H63" s="21"/>
    </row>
    <row r="64" spans="2:8" ht="15" x14ac:dyDescent="0.25">
      <c r="B64" s="21"/>
      <c r="C64" s="21"/>
      <c r="D64" s="21"/>
      <c r="E64" s="21"/>
      <c r="F64" s="24">
        <f t="shared" ca="1" si="3"/>
        <v>7.2000000000000108</v>
      </c>
      <c r="G64" s="25">
        <f t="shared" ca="1" si="2"/>
        <v>4.2842148011951693E-2</v>
      </c>
      <c r="H64" s="21"/>
    </row>
    <row r="65" spans="2:8" ht="15" x14ac:dyDescent="0.25">
      <c r="B65" s="21"/>
      <c r="C65" s="21"/>
      <c r="D65" s="21"/>
      <c r="E65" s="21"/>
      <c r="F65" s="24">
        <f t="shared" ca="1" si="3"/>
        <v>7.6000000000000112</v>
      </c>
      <c r="G65" s="25">
        <f t="shared" ca="1" si="2"/>
        <v>3.7431866408936067E-2</v>
      </c>
      <c r="H65" s="21"/>
    </row>
    <row r="66" spans="2:8" ht="15" x14ac:dyDescent="0.25">
      <c r="B66" s="21"/>
      <c r="C66" s="21"/>
      <c r="D66" s="21"/>
      <c r="E66" s="21"/>
      <c r="F66" s="24">
        <f t="shared" ca="1" si="3"/>
        <v>8.0000000000000107</v>
      </c>
      <c r="G66" s="25">
        <f t="shared" ca="1" si="2"/>
        <v>3.2379398916472804E-2</v>
      </c>
      <c r="H66" s="21"/>
    </row>
    <row r="67" spans="2:8" ht="15" x14ac:dyDescent="0.25">
      <c r="B67" s="21"/>
      <c r="C67" s="21"/>
      <c r="D67" s="21"/>
      <c r="E67" s="21"/>
      <c r="F67" s="24">
        <f t="shared" ca="1" si="3"/>
        <v>8.400000000000011</v>
      </c>
      <c r="G67" s="25">
        <f t="shared" ca="1" si="2"/>
        <v>2.7730208669863771E-2</v>
      </c>
      <c r="H67" s="21"/>
    </row>
    <row r="68" spans="2:8" ht="15" x14ac:dyDescent="0.25">
      <c r="B68" s="21"/>
      <c r="C68" s="21"/>
      <c r="D68" s="21"/>
      <c r="E68" s="21"/>
      <c r="F68" s="24">
        <f t="shared" ca="1" si="3"/>
        <v>8.8000000000000114</v>
      </c>
      <c r="G68" s="25">
        <f t="shared" ca="1" si="2"/>
        <v>2.3512269344221619E-2</v>
      </c>
      <c r="H68" s="21"/>
    </row>
    <row r="69" spans="2:8" ht="15" x14ac:dyDescent="0.25">
      <c r="B69" s="21"/>
      <c r="C69" s="21"/>
      <c r="D69" s="21"/>
      <c r="E69" s="21"/>
      <c r="F69" s="24">
        <f t="shared" ca="1" si="3"/>
        <v>9.2000000000000117</v>
      </c>
      <c r="G69" s="25">
        <f t="shared" ca="1" si="2"/>
        <v>1.9737539575223437E-2</v>
      </c>
      <c r="H69" s="21"/>
    </row>
    <row r="70" spans="2:8" ht="15" x14ac:dyDescent="0.25">
      <c r="B70" s="21"/>
      <c r="C70" s="21"/>
      <c r="D70" s="21"/>
      <c r="E70" s="21"/>
      <c r="F70" s="24">
        <f t="shared" ca="1" si="3"/>
        <v>9.6000000000000121</v>
      </c>
      <c r="G70" s="25">
        <f t="shared" ca="1" si="2"/>
        <v>1.6403953693669055E-2</v>
      </c>
      <c r="H70" s="21"/>
    </row>
    <row r="71" spans="2:8" ht="15" x14ac:dyDescent="0.25">
      <c r="B71" s="21"/>
      <c r="C71" s="21"/>
      <c r="D71" s="21"/>
      <c r="E71" s="21"/>
      <c r="F71" s="24">
        <f t="shared" ca="1" si="3"/>
        <v>10.000000000000012</v>
      </c>
      <c r="G71" s="25">
        <f t="shared" ca="1" si="2"/>
        <v>1.3497741628296929E-2</v>
      </c>
      <c r="H71" s="21"/>
    </row>
    <row r="72" spans="2:8" ht="15" x14ac:dyDescent="0.25">
      <c r="B72" s="21"/>
      <c r="C72" s="21"/>
      <c r="D72" s="21"/>
      <c r="E72" s="21"/>
      <c r="F72" s="24">
        <f t="shared" ca="1" si="3"/>
        <v>10.400000000000013</v>
      </c>
      <c r="G72" s="25">
        <f t="shared" ca="1" si="2"/>
        <v>1.0995898995106725E-2</v>
      </c>
      <c r="H72" s="21"/>
    </row>
    <row r="73" spans="2:8" ht="15" x14ac:dyDescent="0.25">
      <c r="B73" s="21"/>
      <c r="C73" s="21"/>
      <c r="D73" s="21"/>
      <c r="E73" s="21"/>
      <c r="F73" s="24">
        <f t="shared" ca="1" si="3"/>
        <v>10.800000000000013</v>
      </c>
      <c r="G73" s="25">
        <f t="shared" ca="1" si="2"/>
        <v>8.8686482115577971E-3</v>
      </c>
      <c r="H73" s="21"/>
    </row>
    <row r="74" spans="2:8" ht="15" x14ac:dyDescent="0.25">
      <c r="B74" s="21"/>
      <c r="C74" s="21"/>
      <c r="D74" s="21"/>
      <c r="E74" s="21"/>
      <c r="F74" s="24">
        <f t="shared" ca="1" si="3"/>
        <v>11.200000000000014</v>
      </c>
      <c r="G74" s="25">
        <f t="shared" ca="1" si="2"/>
        <v>7.0817594354002401E-3</v>
      </c>
      <c r="H74" s="21"/>
    </row>
    <row r="75" spans="2:8" ht="15" x14ac:dyDescent="0.25">
      <c r="B75" s="21"/>
      <c r="C75" s="21"/>
      <c r="D75" s="21"/>
      <c r="E75" s="21"/>
      <c r="F75" s="24">
        <f t="shared" ca="1" si="3"/>
        <v>11.600000000000014</v>
      </c>
      <c r="G75" s="25">
        <f t="shared" ref="G75:G96" ca="1" si="4">NORMDIST(F75,Mu,Sigma,FALSE)</f>
        <v>5.598632573710678E-3</v>
      </c>
      <c r="H75" s="21"/>
    </row>
    <row r="76" spans="2:8" ht="15" x14ac:dyDescent="0.25">
      <c r="B76" s="21"/>
      <c r="C76" s="21"/>
      <c r="D76" s="21"/>
      <c r="E76" s="21"/>
      <c r="F76" s="24">
        <f t="shared" ref="F76:F96" ca="1" si="5">F75+Sigma/10</f>
        <v>12.000000000000014</v>
      </c>
      <c r="G76" s="25">
        <f t="shared" ca="1" si="4"/>
        <v>4.3820751233920952E-3</v>
      </c>
      <c r="H76" s="21"/>
    </row>
    <row r="77" spans="2:8" ht="15" x14ac:dyDescent="0.25">
      <c r="B77" s="21"/>
      <c r="C77" s="21"/>
      <c r="D77" s="21"/>
      <c r="E77" s="21"/>
      <c r="F77" s="24">
        <f t="shared" ca="1" si="5"/>
        <v>12.400000000000015</v>
      </c>
      <c r="G77" s="25">
        <f t="shared" ca="1" si="4"/>
        <v>3.3957423084213715E-3</v>
      </c>
      <c r="H77" s="21"/>
    </row>
    <row r="78" spans="2:8" ht="15" x14ac:dyDescent="0.25">
      <c r="B78" s="21"/>
      <c r="C78" s="21"/>
      <c r="D78" s="21"/>
      <c r="E78" s="21"/>
      <c r="F78" s="24">
        <f t="shared" ca="1" si="5"/>
        <v>12.800000000000015</v>
      </c>
      <c r="G78" s="25">
        <f t="shared" ca="1" si="4"/>
        <v>2.6052337036056219E-3</v>
      </c>
      <c r="H78" s="21"/>
    </row>
    <row r="79" spans="2:8" ht="15" x14ac:dyDescent="0.25">
      <c r="B79" s="21"/>
      <c r="C79" s="21"/>
      <c r="D79" s="21"/>
      <c r="E79" s="21"/>
      <c r="F79" s="24">
        <f t="shared" ca="1" si="5"/>
        <v>13.200000000000015</v>
      </c>
      <c r="G79" s="25">
        <f t="shared" ca="1" si="4"/>
        <v>1.97886289574497E-3</v>
      </c>
      <c r="H79" s="21"/>
    </row>
    <row r="80" spans="2:8" ht="15" x14ac:dyDescent="0.25">
      <c r="B80" s="21"/>
      <c r="C80" s="21"/>
      <c r="D80" s="21"/>
      <c r="E80" s="21"/>
      <c r="F80" s="24">
        <f t="shared" ca="1" si="5"/>
        <v>13.600000000000016</v>
      </c>
      <c r="G80" s="25">
        <f t="shared" ca="1" si="4"/>
        <v>1.4881331049439463E-3</v>
      </c>
      <c r="H80" s="21"/>
    </row>
    <row r="81" spans="2:8" ht="15" x14ac:dyDescent="0.25">
      <c r="B81" s="21"/>
      <c r="C81" s="21"/>
      <c r="D81" s="21"/>
      <c r="E81" s="21"/>
      <c r="F81" s="24">
        <f t="shared" ca="1" si="5"/>
        <v>14.000000000000016</v>
      </c>
      <c r="G81" s="25">
        <f t="shared" ca="1" si="4"/>
        <v>1.1079621029844882E-3</v>
      </c>
      <c r="H81" s="21"/>
    </row>
    <row r="82" spans="2:8" ht="15" x14ac:dyDescent="0.25">
      <c r="B82" s="21"/>
      <c r="C82" s="21"/>
      <c r="D82" s="21"/>
      <c r="E82" s="21"/>
      <c r="F82" s="24">
        <f t="shared" ca="1" si="5"/>
        <v>14.400000000000016</v>
      </c>
      <c r="G82" s="25">
        <f t="shared" ca="1" si="4"/>
        <v>8.1670476404996958E-4</v>
      </c>
      <c r="H82" s="21"/>
    </row>
    <row r="83" spans="2:8" ht="15" x14ac:dyDescent="0.25">
      <c r="B83" s="21"/>
      <c r="C83" s="21"/>
      <c r="D83" s="21"/>
      <c r="E83" s="21"/>
      <c r="F83" s="24">
        <f t="shared" ca="1" si="5"/>
        <v>14.800000000000017</v>
      </c>
      <c r="G83" s="25">
        <f t="shared" ca="1" si="4"/>
        <v>5.9602205036620262E-4</v>
      </c>
      <c r="H83" s="21"/>
    </row>
    <row r="84" spans="2:8" ht="15" x14ac:dyDescent="0.25">
      <c r="B84" s="21"/>
      <c r="C84" s="21"/>
      <c r="D84" s="21"/>
      <c r="E84" s="21"/>
      <c r="F84" s="24">
        <f t="shared" ca="1" si="5"/>
        <v>15.200000000000017</v>
      </c>
      <c r="G84" s="25">
        <f t="shared" ca="1" si="4"/>
        <v>4.306422347634138E-4</v>
      </c>
      <c r="H84" s="21"/>
    </row>
    <row r="85" spans="2:8" ht="15" x14ac:dyDescent="0.25">
      <c r="B85" s="21"/>
      <c r="C85" s="21"/>
      <c r="D85" s="21"/>
      <c r="E85" s="21"/>
      <c r="F85" s="24">
        <f t="shared" ca="1" si="5"/>
        <v>15.600000000000017</v>
      </c>
      <c r="G85" s="25">
        <f t="shared" ca="1" si="4"/>
        <v>3.0805479211825032E-4</v>
      </c>
      <c r="H85" s="21"/>
    </row>
    <row r="86" spans="2:8" ht="15" x14ac:dyDescent="0.25">
      <c r="B86" s="21"/>
      <c r="C86" s="21"/>
      <c r="D86" s="21"/>
      <c r="E86" s="21"/>
      <c r="F86" s="24">
        <f t="shared" ca="1" si="5"/>
        <v>16.000000000000018</v>
      </c>
      <c r="G86" s="25">
        <f t="shared" ca="1" si="4"/>
        <v>2.1817067376143651E-4</v>
      </c>
      <c r="H86" s="21"/>
    </row>
    <row r="87" spans="2:8" ht="15" x14ac:dyDescent="0.25">
      <c r="B87" s="21"/>
      <c r="C87" s="21"/>
      <c r="D87" s="21"/>
      <c r="E87" s="21"/>
      <c r="F87" s="24">
        <f t="shared" ca="1" si="5"/>
        <v>16.400000000000016</v>
      </c>
      <c r="G87" s="25">
        <f t="shared" ca="1" si="4"/>
        <v>1.5297548252844081E-4</v>
      </c>
      <c r="H87" s="21"/>
    </row>
    <row r="88" spans="2:8" ht="15" x14ac:dyDescent="0.25">
      <c r="B88" s="21"/>
      <c r="C88" s="21"/>
      <c r="D88" s="21"/>
      <c r="E88" s="21"/>
      <c r="F88" s="24">
        <f t="shared" ca="1" si="5"/>
        <v>16.800000000000015</v>
      </c>
      <c r="G88" s="25">
        <f t="shared" ca="1" si="4"/>
        <v>1.0619506763768645E-4</v>
      </c>
      <c r="H88" s="21"/>
    </row>
    <row r="89" spans="2:8" ht="15" x14ac:dyDescent="0.25">
      <c r="B89" s="21"/>
      <c r="C89" s="21"/>
      <c r="D89" s="21"/>
      <c r="E89" s="21"/>
      <c r="F89" s="24">
        <f t="shared" ca="1" si="5"/>
        <v>17.200000000000014</v>
      </c>
      <c r="G89" s="25">
        <f t="shared" ca="1" si="4"/>
        <v>7.2986731447864092E-5</v>
      </c>
      <c r="H89" s="21"/>
    </row>
    <row r="90" spans="2:8" ht="15" x14ac:dyDescent="0.25">
      <c r="B90" s="21"/>
      <c r="C90" s="21"/>
      <c r="D90" s="21"/>
      <c r="E90" s="21"/>
      <c r="F90" s="24">
        <f t="shared" ca="1" si="5"/>
        <v>17.600000000000012</v>
      </c>
      <c r="G90" s="25">
        <f t="shared" ca="1" si="4"/>
        <v>4.9663867848192563E-5</v>
      </c>
      <c r="H90" s="21"/>
    </row>
    <row r="91" spans="2:8" ht="15" x14ac:dyDescent="0.25">
      <c r="B91" s="21"/>
      <c r="C91" s="21"/>
      <c r="D91" s="21"/>
      <c r="E91" s="21"/>
      <c r="F91" s="24">
        <f t="shared" ca="1" si="5"/>
        <v>18.000000000000011</v>
      </c>
      <c r="G91" s="25">
        <f t="shared" ca="1" si="4"/>
        <v>3.3457556441220983E-5</v>
      </c>
      <c r="H91" s="21"/>
    </row>
    <row r="92" spans="2:8" ht="15" x14ac:dyDescent="0.25">
      <c r="B92" s="21"/>
      <c r="C92" s="21"/>
      <c r="D92" s="21"/>
      <c r="E92" s="21"/>
      <c r="F92" s="24">
        <f t="shared" ca="1" si="5"/>
        <v>18.400000000000009</v>
      </c>
      <c r="G92" s="25">
        <f t="shared" ca="1" si="4"/>
        <v>2.2315414294282995E-5</v>
      </c>
      <c r="H92" s="21"/>
    </row>
    <row r="93" spans="2:8" ht="15" x14ac:dyDescent="0.25">
      <c r="B93" s="21"/>
      <c r="C93" s="21"/>
      <c r="D93" s="21"/>
      <c r="E93" s="21"/>
      <c r="F93" s="24">
        <f t="shared" ca="1" si="5"/>
        <v>18.800000000000008</v>
      </c>
      <c r="G93" s="25">
        <f t="shared" ca="1" si="4"/>
        <v>1.4735766939134857E-5</v>
      </c>
      <c r="H93" s="21"/>
    </row>
    <row r="94" spans="2:8" ht="15" x14ac:dyDescent="0.25">
      <c r="B94" s="21"/>
      <c r="C94" s="21"/>
      <c r="D94" s="21"/>
      <c r="E94" s="21"/>
      <c r="F94" s="24">
        <f t="shared" ca="1" si="5"/>
        <v>19.200000000000006</v>
      </c>
      <c r="G94" s="25">
        <f t="shared" ca="1" si="4"/>
        <v>9.6337991855217129E-6</v>
      </c>
      <c r="H94" s="21"/>
    </row>
    <row r="95" spans="2:8" ht="15" x14ac:dyDescent="0.25">
      <c r="B95" s="21"/>
      <c r="C95" s="21"/>
      <c r="D95" s="21"/>
      <c r="E95" s="21"/>
      <c r="F95" s="24">
        <f t="shared" ca="1" si="5"/>
        <v>19.600000000000005</v>
      </c>
      <c r="G95" s="25">
        <f t="shared" ca="1" si="4"/>
        <v>6.235617822513361E-6</v>
      </c>
      <c r="H95" s="21"/>
    </row>
    <row r="96" spans="2:8" ht="15" x14ac:dyDescent="0.25">
      <c r="B96" s="21"/>
      <c r="C96" s="21"/>
      <c r="D96" s="21"/>
      <c r="E96" s="21"/>
      <c r="F96" s="24">
        <f t="shared" ca="1" si="5"/>
        <v>20.000000000000004</v>
      </c>
      <c r="G96" s="25">
        <f t="shared" ca="1" si="4"/>
        <v>3.9959352767263551E-6</v>
      </c>
      <c r="H96" s="21"/>
    </row>
    <row r="97" spans="2:8" ht="15" x14ac:dyDescent="0.25">
      <c r="B97" s="21"/>
      <c r="C97" s="21"/>
      <c r="D97" s="21"/>
      <c r="E97" s="21"/>
      <c r="F97" s="21"/>
      <c r="G97" s="25"/>
      <c r="H97" s="21"/>
    </row>
    <row r="98" spans="2:8" x14ac:dyDescent="0.25">
      <c r="G98" s="3"/>
    </row>
    <row r="99" spans="2:8" x14ac:dyDescent="0.25">
      <c r="G99" s="3"/>
    </row>
  </sheetData>
  <mergeCells count="2">
    <mergeCell ref="B10:C10"/>
    <mergeCell ref="B15:C15"/>
  </mergeCells>
  <phoneticPr fontId="25" type="noConversion"/>
  <pageMargins left="0.75" right="0.75" top="1" bottom="1" header="0.5" footer="0.5"/>
  <pageSetup paperSize="9" orientation="portrait" horizontalDpi="200" verticalDpi="200" copies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P99"/>
  <sheetViews>
    <sheetView showGridLines="0" workbookViewId="0">
      <pane ySplit="7" topLeftCell="A8" activePane="bottomLeft" state="frozen"/>
      <selection pane="bottomLeft" activeCell="D22" sqref="D22"/>
    </sheetView>
  </sheetViews>
  <sheetFormatPr defaultRowHeight="13.2" x14ac:dyDescent="0.25"/>
  <cols>
    <col min="2" max="2" width="8.44140625" customWidth="1"/>
    <col min="3" max="3" width="7.5546875" customWidth="1"/>
    <col min="4" max="4" width="13.5546875" customWidth="1"/>
    <col min="5" max="5" width="9.33203125" customWidth="1"/>
    <col min="6" max="6" width="14.88671875" customWidth="1"/>
  </cols>
  <sheetData>
    <row r="1" spans="2:16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6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2:16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6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2:16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2:16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2:16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10" spans="2:16" ht="13.8" thickBot="1" x14ac:dyDescent="0.3"/>
    <row r="11" spans="2:16" ht="13.8" thickBot="1" x14ac:dyDescent="0.3">
      <c r="B11" s="14"/>
      <c r="C11" s="15" t="s">
        <v>8</v>
      </c>
      <c r="D11" s="16" t="s">
        <v>9</v>
      </c>
      <c r="E11" s="15" t="s">
        <v>10</v>
      </c>
      <c r="F11" s="17" t="s">
        <v>11</v>
      </c>
      <c r="G11" s="3"/>
      <c r="H11" s="4"/>
      <c r="I11" s="4"/>
      <c r="J11" s="2"/>
    </row>
    <row r="12" spans="2:16" x14ac:dyDescent="0.25">
      <c r="B12" s="6">
        <v>0</v>
      </c>
      <c r="C12" s="12">
        <v>0.11</v>
      </c>
      <c r="D12" s="7">
        <f ca="1">C12</f>
        <v>0.11</v>
      </c>
      <c r="E12" s="12">
        <f ca="1">AVERAGE(C12:C36)</f>
        <v>0.30543999999999999</v>
      </c>
      <c r="F12" s="8">
        <f ca="1">AVERAGE(D12:D36)</f>
        <v>0.75840000000000007</v>
      </c>
      <c r="G12" s="3"/>
      <c r="I12" s="4"/>
      <c r="J12" s="3"/>
    </row>
    <row r="13" spans="2:16" x14ac:dyDescent="0.25">
      <c r="B13" s="6">
        <f ca="1">B12+1/24</f>
        <v>4.1666666666666664E-2</v>
      </c>
      <c r="C13" s="12">
        <v>0.21</v>
      </c>
      <c r="D13" s="7">
        <f ca="1">IF(B13&lt;=1,MAX(C13,D12),C13)</f>
        <v>0.21</v>
      </c>
      <c r="E13" s="12">
        <f ca="1">E12</f>
        <v>0.30543999999999999</v>
      </c>
      <c r="F13" s="8">
        <f ca="1">F12</f>
        <v>0.75840000000000007</v>
      </c>
      <c r="G13" s="3"/>
    </row>
    <row r="14" spans="2:16" x14ac:dyDescent="0.25">
      <c r="B14" s="6">
        <f t="shared" ref="B14:B36" ca="1" si="0">B13+1/24</f>
        <v>8.3333333333333329E-2</v>
      </c>
      <c r="C14" s="12">
        <v>0.28999999999999998</v>
      </c>
      <c r="D14" s="7">
        <f t="shared" ref="D14:D36" ca="1" si="1">IF(B14&lt;=1,MAX(C14,D13),C14)</f>
        <v>0.28999999999999998</v>
      </c>
      <c r="E14" s="12">
        <f t="shared" ref="E14:E36" ca="1" si="2">E13</f>
        <v>0.30543999999999999</v>
      </c>
      <c r="F14" s="8">
        <f t="shared" ref="F14:F36" ca="1" si="3">F13</f>
        <v>0.75840000000000007</v>
      </c>
      <c r="G14" s="3"/>
    </row>
    <row r="15" spans="2:16" x14ac:dyDescent="0.25">
      <c r="B15" s="6">
        <f t="shared" ca="1" si="0"/>
        <v>0.125</v>
      </c>
      <c r="C15" s="12">
        <v>0.4</v>
      </c>
      <c r="D15" s="7">
        <f t="shared" ca="1" si="1"/>
        <v>0.4</v>
      </c>
      <c r="E15" s="12">
        <f t="shared" ca="1" si="2"/>
        <v>0.30543999999999999</v>
      </c>
      <c r="F15" s="8">
        <f t="shared" ca="1" si="3"/>
        <v>0.75840000000000007</v>
      </c>
      <c r="G15" s="3"/>
    </row>
    <row r="16" spans="2:16" x14ac:dyDescent="0.25">
      <c r="B16" s="6">
        <f t="shared" ca="1" si="0"/>
        <v>0.16666666666666666</v>
      </c>
      <c r="C16" s="12">
        <v>0.62</v>
      </c>
      <c r="D16" s="7">
        <f t="shared" ca="1" si="1"/>
        <v>0.62</v>
      </c>
      <c r="E16" s="12">
        <f t="shared" ca="1" si="2"/>
        <v>0.30543999999999999</v>
      </c>
      <c r="F16" s="8">
        <f t="shared" ca="1" si="3"/>
        <v>0.75840000000000007</v>
      </c>
      <c r="G16" s="3"/>
    </row>
    <row r="17" spans="2:7" x14ac:dyDescent="0.25">
      <c r="B17" s="6">
        <f t="shared" ca="1" si="0"/>
        <v>0.20833333333333331</v>
      </c>
      <c r="C17" s="12">
        <v>0.45</v>
      </c>
      <c r="D17" s="7">
        <f t="shared" ca="1" si="1"/>
        <v>0.62</v>
      </c>
      <c r="E17" s="12">
        <f t="shared" ca="1" si="2"/>
        <v>0.30543999999999999</v>
      </c>
      <c r="F17" s="8">
        <f t="shared" ca="1" si="3"/>
        <v>0.75840000000000007</v>
      </c>
      <c r="G17" s="3"/>
    </row>
    <row r="18" spans="2:7" x14ac:dyDescent="0.25">
      <c r="B18" s="6">
        <f t="shared" ca="1" si="0"/>
        <v>0.24999999999999997</v>
      </c>
      <c r="C18" s="12">
        <v>0.35</v>
      </c>
      <c r="D18" s="7">
        <f t="shared" ca="1" si="1"/>
        <v>0.62</v>
      </c>
      <c r="E18" s="12">
        <f t="shared" ca="1" si="2"/>
        <v>0.30543999999999999</v>
      </c>
      <c r="F18" s="8">
        <f t="shared" ca="1" si="3"/>
        <v>0.75840000000000007</v>
      </c>
      <c r="G18" s="3"/>
    </row>
    <row r="19" spans="2:7" x14ac:dyDescent="0.25">
      <c r="B19" s="6">
        <f t="shared" ca="1" si="0"/>
        <v>0.29166666666666663</v>
      </c>
      <c r="C19" s="12">
        <v>0.38</v>
      </c>
      <c r="D19" s="7">
        <f t="shared" ca="1" si="1"/>
        <v>0.62</v>
      </c>
      <c r="E19" s="12">
        <f t="shared" ca="1" si="2"/>
        <v>0.30543999999999999</v>
      </c>
      <c r="F19" s="8">
        <f t="shared" ca="1" si="3"/>
        <v>0.75840000000000007</v>
      </c>
      <c r="G19" s="3"/>
    </row>
    <row r="20" spans="2:7" x14ac:dyDescent="0.25">
      <c r="B20" s="6">
        <f t="shared" ca="1" si="0"/>
        <v>0.33333333333333331</v>
      </c>
      <c r="C20" s="12">
        <v>0.55000000000000004</v>
      </c>
      <c r="D20" s="7">
        <f t="shared" ca="1" si="1"/>
        <v>0.62</v>
      </c>
      <c r="E20" s="12">
        <f t="shared" ca="1" si="2"/>
        <v>0.30543999999999999</v>
      </c>
      <c r="F20" s="8">
        <f t="shared" ca="1" si="3"/>
        <v>0.75840000000000007</v>
      </c>
      <c r="G20" s="3"/>
    </row>
    <row r="21" spans="2:7" x14ac:dyDescent="0.25">
      <c r="B21" s="6">
        <f t="shared" ca="1" si="0"/>
        <v>0.375</v>
      </c>
      <c r="C21" s="12">
        <v>0.75</v>
      </c>
      <c r="D21" s="7">
        <f t="shared" ca="1" si="1"/>
        <v>0.75</v>
      </c>
      <c r="E21" s="12">
        <f t="shared" ca="1" si="2"/>
        <v>0.30543999999999999</v>
      </c>
      <c r="F21" s="8">
        <f t="shared" ca="1" si="3"/>
        <v>0.75840000000000007</v>
      </c>
      <c r="G21" s="3"/>
    </row>
    <row r="22" spans="2:7" x14ac:dyDescent="0.25">
      <c r="B22" s="6">
        <f t="shared" ca="1" si="0"/>
        <v>0.41666666666666669</v>
      </c>
      <c r="C22" s="12">
        <v>0.94</v>
      </c>
      <c r="D22" s="7">
        <f t="shared" ca="1" si="1"/>
        <v>0.94</v>
      </c>
      <c r="E22" s="12">
        <f t="shared" ca="1" si="2"/>
        <v>0.30543999999999999</v>
      </c>
      <c r="F22" s="8">
        <f t="shared" ca="1" si="3"/>
        <v>0.75840000000000007</v>
      </c>
      <c r="G22" s="3"/>
    </row>
    <row r="23" spans="2:7" x14ac:dyDescent="0.25">
      <c r="B23" s="6">
        <f t="shared" ca="1" si="0"/>
        <v>0.45833333333333337</v>
      </c>
      <c r="C23" s="12">
        <v>0.52</v>
      </c>
      <c r="D23" s="7">
        <f t="shared" ca="1" si="1"/>
        <v>0.94</v>
      </c>
      <c r="E23" s="12">
        <f t="shared" ca="1" si="2"/>
        <v>0.30543999999999999</v>
      </c>
      <c r="F23" s="8">
        <f t="shared" ca="1" si="3"/>
        <v>0.75840000000000007</v>
      </c>
      <c r="G23" s="3"/>
    </row>
    <row r="24" spans="2:7" x14ac:dyDescent="0.25">
      <c r="B24" s="6">
        <f t="shared" ca="1" si="0"/>
        <v>0.5</v>
      </c>
      <c r="C24" s="12">
        <v>0.4</v>
      </c>
      <c r="D24" s="7">
        <f t="shared" ca="1" si="1"/>
        <v>0.94</v>
      </c>
      <c r="E24" s="12">
        <f t="shared" ca="1" si="2"/>
        <v>0.30543999999999999</v>
      </c>
      <c r="F24" s="8">
        <f t="shared" ca="1" si="3"/>
        <v>0.75840000000000007</v>
      </c>
      <c r="G24" s="3"/>
    </row>
    <row r="25" spans="2:7" x14ac:dyDescent="0.25">
      <c r="B25" s="6">
        <f t="shared" ca="1" si="0"/>
        <v>0.54166666666666663</v>
      </c>
      <c r="C25" s="12">
        <v>0.35</v>
      </c>
      <c r="D25" s="7">
        <f t="shared" ca="1" si="1"/>
        <v>0.94</v>
      </c>
      <c r="E25" s="12">
        <f t="shared" ca="1" si="2"/>
        <v>0.30543999999999999</v>
      </c>
      <c r="F25" s="8">
        <f t="shared" ca="1" si="3"/>
        <v>0.75840000000000007</v>
      </c>
      <c r="G25" s="3"/>
    </row>
    <row r="26" spans="2:7" x14ac:dyDescent="0.25">
      <c r="B26" s="6">
        <f t="shared" ca="1" si="0"/>
        <v>0.58333333333333326</v>
      </c>
      <c r="C26" s="12">
        <v>0.3</v>
      </c>
      <c r="D26" s="7">
        <f t="shared" ca="1" si="1"/>
        <v>0.94</v>
      </c>
      <c r="E26" s="12">
        <f t="shared" ca="1" si="2"/>
        <v>0.30543999999999999</v>
      </c>
      <c r="F26" s="8">
        <f t="shared" ca="1" si="3"/>
        <v>0.75840000000000007</v>
      </c>
      <c r="G26" s="3"/>
    </row>
    <row r="27" spans="2:7" x14ac:dyDescent="0.25">
      <c r="B27" s="6">
        <f t="shared" ca="1" si="0"/>
        <v>0.62499999999999989</v>
      </c>
      <c r="C27" s="12">
        <v>0.25</v>
      </c>
      <c r="D27" s="7">
        <f t="shared" ca="1" si="1"/>
        <v>0.94</v>
      </c>
      <c r="E27" s="12">
        <f t="shared" ca="1" si="2"/>
        <v>0.30543999999999999</v>
      </c>
      <c r="F27" s="8">
        <f t="shared" ca="1" si="3"/>
        <v>0.75840000000000007</v>
      </c>
      <c r="G27" s="3"/>
    </row>
    <row r="28" spans="2:7" x14ac:dyDescent="0.25">
      <c r="B28" s="6">
        <f t="shared" ca="1" si="0"/>
        <v>0.66666666666666652</v>
      </c>
      <c r="C28" s="12">
        <v>0.22</v>
      </c>
      <c r="D28" s="7">
        <f t="shared" ca="1" si="1"/>
        <v>0.94</v>
      </c>
      <c r="E28" s="12">
        <f t="shared" ca="1" si="2"/>
        <v>0.30543999999999999</v>
      </c>
      <c r="F28" s="8">
        <f t="shared" ca="1" si="3"/>
        <v>0.75840000000000007</v>
      </c>
      <c r="G28" s="3"/>
    </row>
    <row r="29" spans="2:7" x14ac:dyDescent="0.25">
      <c r="B29" s="6">
        <f t="shared" ca="1" si="0"/>
        <v>0.70833333333333315</v>
      </c>
      <c r="C29" s="12">
        <v>0.2</v>
      </c>
      <c r="D29" s="7">
        <f t="shared" ca="1" si="1"/>
        <v>0.94</v>
      </c>
      <c r="E29" s="12">
        <f t="shared" ca="1" si="2"/>
        <v>0.30543999999999999</v>
      </c>
      <c r="F29" s="8">
        <f t="shared" ca="1" si="3"/>
        <v>0.75840000000000007</v>
      </c>
      <c r="G29" s="3"/>
    </row>
    <row r="30" spans="2:7" x14ac:dyDescent="0.25">
      <c r="B30" s="6">
        <f t="shared" ca="1" si="0"/>
        <v>0.74999999999999978</v>
      </c>
      <c r="C30" s="12">
        <v>0.15599999999999997</v>
      </c>
      <c r="D30" s="7">
        <f t="shared" ca="1" si="1"/>
        <v>0.94</v>
      </c>
      <c r="E30" s="12">
        <f t="shared" ca="1" si="2"/>
        <v>0.30543999999999999</v>
      </c>
      <c r="F30" s="8">
        <f t="shared" ca="1" si="3"/>
        <v>0.75840000000000007</v>
      </c>
      <c r="G30" s="3"/>
    </row>
    <row r="31" spans="2:7" x14ac:dyDescent="0.25">
      <c r="B31" s="6">
        <f t="shared" ca="1" si="0"/>
        <v>0.79166666666666641</v>
      </c>
      <c r="C31" s="12">
        <v>0.1</v>
      </c>
      <c r="D31" s="7">
        <f t="shared" ca="1" si="1"/>
        <v>0.94</v>
      </c>
      <c r="E31" s="12">
        <f t="shared" ca="1" si="2"/>
        <v>0.30543999999999999</v>
      </c>
      <c r="F31" s="8">
        <f t="shared" ca="1" si="3"/>
        <v>0.75840000000000007</v>
      </c>
      <c r="G31" s="3"/>
    </row>
    <row r="32" spans="2:7" x14ac:dyDescent="0.25">
      <c r="B32" s="6">
        <f t="shared" ca="1" si="0"/>
        <v>0.83333333333333304</v>
      </c>
      <c r="C32" s="12">
        <v>0.05</v>
      </c>
      <c r="D32" s="7">
        <f t="shared" ca="1" si="1"/>
        <v>0.94</v>
      </c>
      <c r="E32" s="12">
        <f t="shared" ca="1" si="2"/>
        <v>0.30543999999999999</v>
      </c>
      <c r="F32" s="8">
        <f t="shared" ca="1" si="3"/>
        <v>0.75840000000000007</v>
      </c>
      <c r="G32" s="3"/>
    </row>
    <row r="33" spans="2:7" x14ac:dyDescent="0.25">
      <c r="B33" s="6">
        <f t="shared" ca="1" si="0"/>
        <v>0.87499999999999967</v>
      </c>
      <c r="C33" s="12">
        <v>0.03</v>
      </c>
      <c r="D33" s="7">
        <f t="shared" ca="1" si="1"/>
        <v>0.94</v>
      </c>
      <c r="E33" s="12">
        <f t="shared" ca="1" si="2"/>
        <v>0.30543999999999999</v>
      </c>
      <c r="F33" s="8">
        <f t="shared" ca="1" si="3"/>
        <v>0.75840000000000007</v>
      </c>
      <c r="G33" s="3"/>
    </row>
    <row r="34" spans="2:7" x14ac:dyDescent="0.25">
      <c r="B34" s="6">
        <f t="shared" ca="1" si="0"/>
        <v>0.9166666666666663</v>
      </c>
      <c r="C34" s="12">
        <v>9.9999999999999811E-3</v>
      </c>
      <c r="D34" s="7">
        <f t="shared" ca="1" si="1"/>
        <v>0.94</v>
      </c>
      <c r="E34" s="12">
        <f t="shared" ca="1" si="2"/>
        <v>0.30543999999999999</v>
      </c>
      <c r="F34" s="8">
        <f t="shared" ca="1" si="3"/>
        <v>0.75840000000000007</v>
      </c>
      <c r="G34" s="3"/>
    </row>
    <row r="35" spans="2:7" x14ac:dyDescent="0.25">
      <c r="B35" s="6">
        <f t="shared" ca="1" si="0"/>
        <v>0.95833333333333293</v>
      </c>
      <c r="C35" s="12">
        <v>0</v>
      </c>
      <c r="D35" s="7">
        <f t="shared" ca="1" si="1"/>
        <v>0.94</v>
      </c>
      <c r="E35" s="12">
        <f t="shared" ca="1" si="2"/>
        <v>0.30543999999999999</v>
      </c>
      <c r="F35" s="8">
        <f t="shared" ca="1" si="3"/>
        <v>0.75840000000000007</v>
      </c>
      <c r="G35" s="3"/>
    </row>
    <row r="36" spans="2:7" ht="13.8" thickBot="1" x14ac:dyDescent="0.3">
      <c r="B36" s="9">
        <f t="shared" ca="1" si="0"/>
        <v>0.99999999999999956</v>
      </c>
      <c r="C36" s="13">
        <v>0</v>
      </c>
      <c r="D36" s="10">
        <f t="shared" ca="1" si="1"/>
        <v>0.94</v>
      </c>
      <c r="E36" s="13">
        <f t="shared" ca="1" si="2"/>
        <v>0.30543999999999999</v>
      </c>
      <c r="F36" s="11">
        <f t="shared" ca="1" si="3"/>
        <v>0.75840000000000007</v>
      </c>
      <c r="G36" s="3"/>
    </row>
    <row r="37" spans="2:7" x14ac:dyDescent="0.25">
      <c r="G37" s="3"/>
    </row>
    <row r="38" spans="2:7" x14ac:dyDescent="0.25">
      <c r="G38" s="3"/>
    </row>
    <row r="39" spans="2:7" x14ac:dyDescent="0.25">
      <c r="G39" s="3"/>
    </row>
    <row r="40" spans="2:7" x14ac:dyDescent="0.25">
      <c r="G40" s="3"/>
    </row>
    <row r="41" spans="2:7" x14ac:dyDescent="0.25">
      <c r="G41" s="3"/>
    </row>
    <row r="42" spans="2:7" x14ac:dyDescent="0.25">
      <c r="G42" s="3"/>
    </row>
    <row r="43" spans="2:7" x14ac:dyDescent="0.25">
      <c r="G43" s="3"/>
    </row>
    <row r="44" spans="2:7" x14ac:dyDescent="0.25">
      <c r="G44" s="3"/>
    </row>
    <row r="45" spans="2:7" x14ac:dyDescent="0.25">
      <c r="G45" s="3"/>
    </row>
    <row r="46" spans="2:7" x14ac:dyDescent="0.25">
      <c r="G46" s="3"/>
    </row>
    <row r="47" spans="2:7" x14ac:dyDescent="0.25">
      <c r="G47" s="3"/>
    </row>
    <row r="48" spans="2:7" x14ac:dyDescent="0.25">
      <c r="G48" s="3"/>
    </row>
    <row r="49" spans="7:7" x14ac:dyDescent="0.25">
      <c r="G49" s="3"/>
    </row>
    <row r="50" spans="7:7" x14ac:dyDescent="0.25">
      <c r="G50" s="3"/>
    </row>
    <row r="51" spans="7:7" x14ac:dyDescent="0.25">
      <c r="G51" s="3"/>
    </row>
    <row r="52" spans="7:7" x14ac:dyDescent="0.25">
      <c r="G52" s="3"/>
    </row>
    <row r="53" spans="7:7" x14ac:dyDescent="0.25">
      <c r="G53" s="3"/>
    </row>
    <row r="54" spans="7:7" x14ac:dyDescent="0.25">
      <c r="G54" s="3"/>
    </row>
    <row r="55" spans="7:7" x14ac:dyDescent="0.25">
      <c r="G55" s="3"/>
    </row>
    <row r="56" spans="7:7" x14ac:dyDescent="0.25">
      <c r="G56" s="3"/>
    </row>
    <row r="57" spans="7:7" x14ac:dyDescent="0.25">
      <c r="G57" s="3"/>
    </row>
    <row r="58" spans="7:7" x14ac:dyDescent="0.25">
      <c r="G58" s="3"/>
    </row>
    <row r="59" spans="7:7" x14ac:dyDescent="0.25">
      <c r="G59" s="3"/>
    </row>
    <row r="60" spans="7:7" x14ac:dyDescent="0.25">
      <c r="G60" s="3"/>
    </row>
    <row r="61" spans="7:7" x14ac:dyDescent="0.25">
      <c r="G61" s="3"/>
    </row>
    <row r="62" spans="7:7" x14ac:dyDescent="0.25">
      <c r="G62" s="3"/>
    </row>
    <row r="63" spans="7:7" x14ac:dyDescent="0.25">
      <c r="G63" s="3"/>
    </row>
    <row r="64" spans="7:7" x14ac:dyDescent="0.25">
      <c r="G64" s="3"/>
    </row>
    <row r="65" spans="7:7" x14ac:dyDescent="0.25">
      <c r="G65" s="3"/>
    </row>
    <row r="66" spans="7:7" x14ac:dyDescent="0.25">
      <c r="G66" s="3"/>
    </row>
    <row r="67" spans="7:7" x14ac:dyDescent="0.25">
      <c r="G67" s="3"/>
    </row>
    <row r="68" spans="7:7" x14ac:dyDescent="0.25">
      <c r="G68" s="3"/>
    </row>
    <row r="69" spans="7:7" x14ac:dyDescent="0.25">
      <c r="G69" s="3"/>
    </row>
    <row r="70" spans="7:7" x14ac:dyDescent="0.25">
      <c r="G70" s="3"/>
    </row>
    <row r="71" spans="7:7" x14ac:dyDescent="0.25">
      <c r="G71" s="3"/>
    </row>
    <row r="72" spans="7:7" x14ac:dyDescent="0.25">
      <c r="G72" s="3"/>
    </row>
    <row r="73" spans="7:7" x14ac:dyDescent="0.25">
      <c r="G73" s="3"/>
    </row>
    <row r="74" spans="7:7" x14ac:dyDescent="0.25">
      <c r="G74" s="3"/>
    </row>
    <row r="75" spans="7:7" x14ac:dyDescent="0.25">
      <c r="G75" s="3"/>
    </row>
    <row r="76" spans="7:7" x14ac:dyDescent="0.25">
      <c r="G76" s="3"/>
    </row>
    <row r="77" spans="7:7" x14ac:dyDescent="0.25">
      <c r="G77" s="3"/>
    </row>
    <row r="78" spans="7:7" x14ac:dyDescent="0.25">
      <c r="G78" s="3"/>
    </row>
    <row r="79" spans="7:7" x14ac:dyDescent="0.25">
      <c r="G79" s="3"/>
    </row>
    <row r="80" spans="7:7" x14ac:dyDescent="0.25">
      <c r="G80" s="3"/>
    </row>
    <row r="81" spans="7:7" x14ac:dyDescent="0.25">
      <c r="G81" s="3"/>
    </row>
    <row r="82" spans="7:7" x14ac:dyDescent="0.25">
      <c r="G82" s="3"/>
    </row>
    <row r="83" spans="7:7" x14ac:dyDescent="0.25">
      <c r="G83" s="3"/>
    </row>
    <row r="84" spans="7:7" x14ac:dyDescent="0.25">
      <c r="G84" s="3"/>
    </row>
    <row r="85" spans="7:7" x14ac:dyDescent="0.25">
      <c r="G85" s="3"/>
    </row>
    <row r="86" spans="7:7" x14ac:dyDescent="0.25">
      <c r="G86" s="3"/>
    </row>
    <row r="87" spans="7:7" x14ac:dyDescent="0.25">
      <c r="G87" s="3"/>
    </row>
    <row r="88" spans="7:7" x14ac:dyDescent="0.25">
      <c r="G88" s="3"/>
    </row>
    <row r="89" spans="7:7" x14ac:dyDescent="0.25">
      <c r="G89" s="3"/>
    </row>
    <row r="90" spans="7:7" x14ac:dyDescent="0.25">
      <c r="G90" s="3"/>
    </row>
    <row r="91" spans="7:7" x14ac:dyDescent="0.25">
      <c r="G91" s="3"/>
    </row>
    <row r="92" spans="7:7" x14ac:dyDescent="0.25">
      <c r="G92" s="3"/>
    </row>
    <row r="93" spans="7:7" x14ac:dyDescent="0.25">
      <c r="G93" s="3"/>
    </row>
    <row r="94" spans="7:7" x14ac:dyDescent="0.25">
      <c r="G94" s="3"/>
    </row>
    <row r="95" spans="7:7" x14ac:dyDescent="0.25">
      <c r="G95" s="3"/>
    </row>
    <row r="96" spans="7:7" x14ac:dyDescent="0.25">
      <c r="G96" s="3"/>
    </row>
    <row r="97" spans="7:7" x14ac:dyDescent="0.25">
      <c r="G97" s="3"/>
    </row>
    <row r="98" spans="7:7" x14ac:dyDescent="0.25">
      <c r="G98" s="3"/>
    </row>
    <row r="99" spans="7:7" x14ac:dyDescent="0.25">
      <c r="G99" s="3"/>
    </row>
  </sheetData>
  <phoneticPr fontId="25" type="noConversion"/>
  <pageMargins left="0.75" right="0.75" top="1" bottom="1" header="0.5" footer="0.5"/>
  <pageSetup paperSize="9" orientation="portrait" horizontalDpi="200" verticalDpi="200" copies="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P99"/>
  <sheetViews>
    <sheetView showGridLines="0" workbookViewId="0">
      <pane ySplit="7" topLeftCell="A8" activePane="bottomLeft" state="frozen"/>
      <selection pane="bottomLeft" activeCell="C25" sqref="C25"/>
    </sheetView>
  </sheetViews>
  <sheetFormatPr defaultRowHeight="13.2" x14ac:dyDescent="0.25"/>
  <cols>
    <col min="2" max="2" width="17" bestFit="1" customWidth="1"/>
    <col min="3" max="3" width="10.88671875" customWidth="1"/>
    <col min="4" max="4" width="13.5546875" customWidth="1"/>
    <col min="5" max="5" width="10.88671875" customWidth="1"/>
    <col min="6" max="6" width="14.88671875" style="5" customWidth="1"/>
  </cols>
  <sheetData>
    <row r="1" spans="2:16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6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2:16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6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2:16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2:16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2:16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13.8" thickBot="1" x14ac:dyDescent="0.3">
      <c r="F8"/>
    </row>
    <row r="9" spans="2:16" ht="16.2" thickBot="1" x14ac:dyDescent="0.35">
      <c r="B9" s="92" t="s">
        <v>0</v>
      </c>
      <c r="C9" s="93"/>
      <c r="D9" s="21"/>
      <c r="E9" s="21"/>
      <c r="F9"/>
    </row>
    <row r="10" spans="2:16" ht="15" x14ac:dyDescent="0.25">
      <c r="B10" s="22" t="s">
        <v>16</v>
      </c>
      <c r="C10" s="33">
        <v>8.0000000000000002E-3</v>
      </c>
      <c r="D10" s="21"/>
      <c r="E10" s="21"/>
      <c r="F10"/>
    </row>
    <row r="11" spans="2:16" ht="15" x14ac:dyDescent="0.25">
      <c r="B11" s="27" t="s">
        <v>17</v>
      </c>
      <c r="C11" s="34">
        <v>0.08</v>
      </c>
      <c r="D11" s="21"/>
      <c r="E11" s="21"/>
      <c r="F11"/>
      <c r="G11" s="3"/>
      <c r="H11" s="4"/>
      <c r="I11" s="4"/>
      <c r="J11" s="2"/>
    </row>
    <row r="12" spans="2:16" ht="15" x14ac:dyDescent="0.25">
      <c r="B12" s="27" t="s">
        <v>18</v>
      </c>
      <c r="C12" s="34">
        <v>0.2</v>
      </c>
      <c r="D12" s="21"/>
      <c r="E12" s="21"/>
      <c r="F12"/>
      <c r="G12" s="3"/>
      <c r="I12" s="4"/>
      <c r="J12" s="3"/>
    </row>
    <row r="13" spans="2:16" ht="15.6" thickBot="1" x14ac:dyDescent="0.3">
      <c r="B13" s="29" t="s">
        <v>15</v>
      </c>
      <c r="C13" s="35">
        <v>0.97499999999999998</v>
      </c>
      <c r="D13" s="21"/>
      <c r="E13" s="21"/>
      <c r="F13"/>
      <c r="G13" s="3"/>
    </row>
    <row r="14" spans="2:16" ht="15.6" thickBot="1" x14ac:dyDescent="0.3">
      <c r="B14" s="21"/>
      <c r="C14" s="21"/>
      <c r="D14" s="21"/>
      <c r="E14" s="21"/>
      <c r="F14"/>
      <c r="G14" s="3"/>
    </row>
    <row r="15" spans="2:16" ht="15.6" thickBot="1" x14ac:dyDescent="0.3">
      <c r="B15" s="36"/>
      <c r="C15" s="37" t="s">
        <v>12</v>
      </c>
      <c r="D15" s="38" t="s">
        <v>13</v>
      </c>
      <c r="E15" s="39" t="s">
        <v>14</v>
      </c>
      <c r="F15" s="20"/>
      <c r="G15" s="3"/>
    </row>
    <row r="16" spans="2:16" ht="15" x14ac:dyDescent="0.25">
      <c r="B16" s="40">
        <v>0</v>
      </c>
      <c r="C16" s="41">
        <f t="shared" ref="C16:C47" ca="1" si="0">NORMSINV(ConfLevel)*SQRT(B16)*(10-B16)*IRVol</f>
        <v>0</v>
      </c>
      <c r="D16" s="42">
        <f t="shared" ref="D16:D47" ca="1" si="1">NORMSINV(ConfLevel)*FXVol*SQRT(B16)</f>
        <v>0</v>
      </c>
      <c r="E16" s="43">
        <f t="shared" ref="E16:E47" ca="1" si="2">SQRT(C16^2+D16^2+2*IRFXCorr*C16*D16)</f>
        <v>0</v>
      </c>
      <c r="F16" s="7"/>
      <c r="G16" s="3"/>
    </row>
    <row r="17" spans="2:7" ht="15" x14ac:dyDescent="0.25">
      <c r="B17" s="40">
        <v>0.05</v>
      </c>
      <c r="C17" s="41">
        <f t="shared" ca="1" si="0"/>
        <v>3.4885597114947937E-2</v>
      </c>
      <c r="D17" s="42">
        <f t="shared" ca="1" si="1"/>
        <v>3.5060901623063252E-2</v>
      </c>
      <c r="E17" s="43">
        <f t="shared" ca="1" si="2"/>
        <v>5.4180438389627182E-2</v>
      </c>
      <c r="F17" s="7"/>
      <c r="G17" s="3"/>
    </row>
    <row r="18" spans="2:7" ht="15" x14ac:dyDescent="0.25">
      <c r="B18" s="40">
        <v>0.1</v>
      </c>
      <c r="C18" s="41">
        <f t="shared" ca="1" si="0"/>
        <v>4.9087766558521269E-2</v>
      </c>
      <c r="D18" s="42">
        <f t="shared" ca="1" si="1"/>
        <v>4.9583602584364915E-2</v>
      </c>
      <c r="E18" s="43">
        <f t="shared" ca="1" si="2"/>
        <v>7.6431157223117052E-2</v>
      </c>
      <c r="F18" s="7"/>
      <c r="G18" s="3"/>
    </row>
    <row r="19" spans="2:7" ht="15" x14ac:dyDescent="0.25">
      <c r="B19" s="40">
        <v>0.2</v>
      </c>
      <c r="C19" s="41">
        <f t="shared" ca="1" si="0"/>
        <v>6.8719367181203986E-2</v>
      </c>
      <c r="D19" s="42">
        <f t="shared" ca="1" si="1"/>
        <v>7.0121803246126505E-2</v>
      </c>
      <c r="E19" s="43">
        <f t="shared" ca="1" si="2"/>
        <v>0.10754956575526048</v>
      </c>
      <c r="F19" s="7"/>
      <c r="G19" s="3"/>
    </row>
    <row r="20" spans="2:7" ht="15" x14ac:dyDescent="0.25">
      <c r="B20" s="40">
        <v>0.3</v>
      </c>
      <c r="C20" s="41">
        <f t="shared" ca="1" si="0"/>
        <v>8.3304879331470807E-2</v>
      </c>
      <c r="D20" s="42">
        <f t="shared" ca="1" si="1"/>
        <v>8.5881318898423514E-2</v>
      </c>
      <c r="E20" s="43">
        <f t="shared" ca="1" si="2"/>
        <v>0.13106119570348776</v>
      </c>
      <c r="F20" s="7"/>
      <c r="G20" s="3"/>
    </row>
    <row r="21" spans="2:7" ht="15" x14ac:dyDescent="0.25">
      <c r="B21" s="40">
        <v>0.4</v>
      </c>
      <c r="C21" s="41">
        <f t="shared" ca="1" si="0"/>
        <v>9.5200516961980647E-2</v>
      </c>
      <c r="D21" s="42">
        <f t="shared" ca="1" si="1"/>
        <v>9.916720516872983E-2</v>
      </c>
      <c r="E21" s="43">
        <f t="shared" ca="1" si="2"/>
        <v>0.1505774906481725</v>
      </c>
      <c r="F21" s="7"/>
      <c r="G21" s="3"/>
    </row>
    <row r="22" spans="2:7" ht="15" x14ac:dyDescent="0.25">
      <c r="B22" s="40">
        <f t="shared" ref="B22:B39" ca="1" si="3">B21+0.2</f>
        <v>0.60000000000000009</v>
      </c>
      <c r="C22" s="41">
        <f t="shared" ca="1" si="0"/>
        <v>0.11416725438420099</v>
      </c>
      <c r="D22" s="42">
        <f t="shared" ca="1" si="1"/>
        <v>0.12145452594063935</v>
      </c>
      <c r="E22" s="43">
        <f t="shared" ca="1" si="2"/>
        <v>0.18257002971124067</v>
      </c>
      <c r="F22" s="7"/>
      <c r="G22" s="3"/>
    </row>
    <row r="23" spans="2:7" ht="15" x14ac:dyDescent="0.25">
      <c r="B23" s="40">
        <f t="shared" ca="1" si="3"/>
        <v>0.8</v>
      </c>
      <c r="C23" s="41">
        <f t="shared" ca="1" si="0"/>
        <v>0.12902411797287275</v>
      </c>
      <c r="D23" s="42">
        <f t="shared" ca="1" si="1"/>
        <v>0.14024360649225301</v>
      </c>
      <c r="E23" s="43">
        <f t="shared" ca="1" si="2"/>
        <v>0.20869455007793264</v>
      </c>
      <c r="F23" s="7"/>
      <c r="G23" s="3"/>
    </row>
    <row r="24" spans="2:7" ht="15" x14ac:dyDescent="0.25">
      <c r="B24" s="40">
        <f t="shared" ca="1" si="3"/>
        <v>1</v>
      </c>
      <c r="C24" s="41">
        <f t="shared" ca="1" si="0"/>
        <v>0.14111740688688387</v>
      </c>
      <c r="D24" s="42">
        <f t="shared" ca="1" si="1"/>
        <v>0.15679711876320429</v>
      </c>
      <c r="E24" s="43">
        <f t="shared" ca="1" si="2"/>
        <v>0.23097657911961547</v>
      </c>
      <c r="F24" s="7"/>
      <c r="G24" s="3"/>
    </row>
    <row r="25" spans="2:7" ht="15" x14ac:dyDescent="0.25">
      <c r="B25" s="40">
        <f t="shared" ca="1" si="3"/>
        <v>1.2</v>
      </c>
      <c r="C25" s="41">
        <f t="shared" ca="1" si="0"/>
        <v>0.1511511212612254</v>
      </c>
      <c r="D25" s="42">
        <f t="shared" ca="1" si="1"/>
        <v>0.17176263779684703</v>
      </c>
      <c r="E25" s="43">
        <f t="shared" ca="1" si="2"/>
        <v>0.25046738573907823</v>
      </c>
      <c r="F25" s="7"/>
      <c r="G25" s="3"/>
    </row>
    <row r="26" spans="2:7" ht="15" x14ac:dyDescent="0.25">
      <c r="B26" s="40">
        <f t="shared" ca="1" si="3"/>
        <v>1.4</v>
      </c>
      <c r="C26" s="41">
        <f t="shared" ca="1" si="0"/>
        <v>0.15955137347048112</v>
      </c>
      <c r="D26" s="42">
        <f t="shared" ca="1" si="1"/>
        <v>0.18552485287265247</v>
      </c>
      <c r="E26" s="43">
        <f t="shared" ca="1" si="2"/>
        <v>0.26779919687189607</v>
      </c>
      <c r="F26" s="7"/>
      <c r="G26" s="3"/>
    </row>
    <row r="27" spans="2:7" ht="15" x14ac:dyDescent="0.25">
      <c r="B27" s="40">
        <f t="shared" ca="1" si="3"/>
        <v>1.5999999999999999</v>
      </c>
      <c r="C27" s="41">
        <f t="shared" ca="1" si="0"/>
        <v>0.16660090468346614</v>
      </c>
      <c r="D27" s="42">
        <f t="shared" ca="1" si="1"/>
        <v>0.19833441033745966</v>
      </c>
      <c r="E27" s="43">
        <f t="shared" ca="1" si="2"/>
        <v>0.28338926698463762</v>
      </c>
      <c r="F27" s="7"/>
      <c r="G27" s="3"/>
    </row>
    <row r="28" spans="2:7" ht="15" x14ac:dyDescent="0.25">
      <c r="B28" s="40">
        <f t="shared" ca="1" si="3"/>
        <v>1.7999999999999998</v>
      </c>
      <c r="C28" s="41">
        <f t="shared" ca="1" si="0"/>
        <v>0.17249963598547119</v>
      </c>
      <c r="D28" s="42">
        <f t="shared" ca="1" si="1"/>
        <v>0.21036540973837953</v>
      </c>
      <c r="E28" s="43">
        <f t="shared" ca="1" si="2"/>
        <v>0.29753136418038073</v>
      </c>
      <c r="F28" s="7"/>
      <c r="G28" s="3"/>
    </row>
    <row r="29" spans="2:7" ht="15" x14ac:dyDescent="0.25">
      <c r="B29" s="40">
        <f t="shared" ca="1" si="3"/>
        <v>1.9999999999999998</v>
      </c>
      <c r="C29" s="41">
        <f t="shared" ca="1" si="0"/>
        <v>0.17739568951675869</v>
      </c>
      <c r="D29" s="42">
        <f t="shared" ca="1" si="1"/>
        <v>0.22174461189594838</v>
      </c>
      <c r="E29" s="43">
        <f t="shared" ca="1" si="2"/>
        <v>0.31044245665432774</v>
      </c>
      <c r="F29" s="7"/>
      <c r="G29" s="3"/>
    </row>
    <row r="30" spans="2:7" ht="15" x14ac:dyDescent="0.25">
      <c r="B30" s="40">
        <f t="shared" ca="1" si="3"/>
        <v>2.1999999999999997</v>
      </c>
      <c r="C30" s="41">
        <f t="shared" ca="1" si="0"/>
        <v>0.18140281457261101</v>
      </c>
      <c r="D30" s="42">
        <f t="shared" ca="1" si="1"/>
        <v>0.23256771099052689</v>
      </c>
      <c r="E30" s="43">
        <f t="shared" ca="1" si="2"/>
        <v>0.32228883981794154</v>
      </c>
      <c r="F30" s="7"/>
      <c r="G30" s="3"/>
    </row>
    <row r="31" spans="2:7" ht="15" x14ac:dyDescent="0.25">
      <c r="B31" s="40">
        <f t="shared" ca="1" si="3"/>
        <v>2.4</v>
      </c>
      <c r="C31" s="41">
        <f t="shared" ca="1" si="0"/>
        <v>0.18461087942977178</v>
      </c>
      <c r="D31" s="42">
        <f t="shared" ca="1" si="1"/>
        <v>0.2429090518812787</v>
      </c>
      <c r="E31" s="43">
        <f t="shared" ca="1" si="2"/>
        <v>0.33320180936693222</v>
      </c>
      <c r="F31" s="7"/>
      <c r="G31" s="3"/>
    </row>
    <row r="32" spans="2:7" ht="15" x14ac:dyDescent="0.25">
      <c r="B32" s="40">
        <f t="shared" ca="1" si="3"/>
        <v>2.6</v>
      </c>
      <c r="C32" s="41">
        <f t="shared" ca="1" si="0"/>
        <v>0.18709254027761071</v>
      </c>
      <c r="D32" s="42">
        <f t="shared" ca="1" si="1"/>
        <v>0.25282775713190636</v>
      </c>
      <c r="E32" s="43">
        <f t="shared" ca="1" si="2"/>
        <v>0.34328758838280082</v>
      </c>
      <c r="F32" s="7"/>
      <c r="G32" s="3"/>
    </row>
    <row r="33" spans="2:7" ht="15" x14ac:dyDescent="0.25">
      <c r="B33" s="40">
        <f t="shared" ca="1" si="3"/>
        <v>2.8000000000000003</v>
      </c>
      <c r="C33" s="41">
        <f t="shared" ca="1" si="0"/>
        <v>0.1889076694246403</v>
      </c>
      <c r="D33" s="42">
        <f t="shared" ca="1" si="1"/>
        <v>0.26237176308977822</v>
      </c>
      <c r="E33" s="43">
        <f t="shared" ca="1" si="2"/>
        <v>0.35263389648406951</v>
      </c>
      <c r="F33" s="7"/>
      <c r="G33" s="3"/>
    </row>
    <row r="34" spans="2:7" ht="15" x14ac:dyDescent="0.25">
      <c r="B34" s="40">
        <f t="shared" ca="1" si="3"/>
        <v>3.0000000000000004</v>
      </c>
      <c r="C34" s="41">
        <f t="shared" ca="1" si="0"/>
        <v>0.19010640332479681</v>
      </c>
      <c r="D34" s="42">
        <f t="shared" ca="1" si="1"/>
        <v>0.27158057617828119</v>
      </c>
      <c r="E34" s="43">
        <f t="shared" ca="1" si="2"/>
        <v>0.36131445661981076</v>
      </c>
      <c r="F34" s="7"/>
      <c r="G34" s="3"/>
    </row>
    <row r="35" spans="2:7" ht="15" x14ac:dyDescent="0.25">
      <c r="B35" s="40">
        <f t="shared" ca="1" si="3"/>
        <v>3.2000000000000006</v>
      </c>
      <c r="C35" s="41">
        <f t="shared" ca="1" si="0"/>
        <v>0.19073130482946407</v>
      </c>
      <c r="D35" s="42">
        <f t="shared" ca="1" si="1"/>
        <v>0.28048721298450607</v>
      </c>
      <c r="E35" s="43">
        <f t="shared" ca="1" si="2"/>
        <v>0.3693921820206425</v>
      </c>
      <c r="F35" s="7"/>
      <c r="G35" s="3"/>
    </row>
    <row r="36" spans="2:7" ht="15" x14ac:dyDescent="0.25">
      <c r="B36" s="40">
        <f t="shared" ca="1" si="3"/>
        <v>3.4000000000000008</v>
      </c>
      <c r="C36" s="41">
        <f t="shared" ca="1" si="0"/>
        <v>0.1908189369520889</v>
      </c>
      <c r="D36" s="42">
        <f t="shared" ca="1" si="1"/>
        <v>0.28911960144255899</v>
      </c>
      <c r="E36" s="43">
        <f t="shared" ca="1" si="2"/>
        <v>0.37692148869166608</v>
      </c>
      <c r="F36" s="7"/>
      <c r="G36" s="3"/>
    </row>
    <row r="37" spans="2:7" ht="15" x14ac:dyDescent="0.25">
      <c r="B37" s="40">
        <f t="shared" ca="1" si="3"/>
        <v>3.600000000000001</v>
      </c>
      <c r="C37" s="41">
        <f t="shared" ca="1" si="0"/>
        <v>0.19040103392396127</v>
      </c>
      <c r="D37" s="42">
        <f t="shared" ca="1" si="1"/>
        <v>0.29750161550618953</v>
      </c>
      <c r="E37" s="43">
        <f t="shared" ca="1" si="2"/>
        <v>0.3839500110986806</v>
      </c>
      <c r="F37" s="7"/>
      <c r="G37" s="3"/>
    </row>
    <row r="38" spans="2:7" ht="15" x14ac:dyDescent="0.25">
      <c r="B38" s="40">
        <f t="shared" ca="1" si="3"/>
        <v>3.8000000000000012</v>
      </c>
      <c r="C38" s="41">
        <f t="shared" ca="1" si="0"/>
        <v>0.18950538953499885</v>
      </c>
      <c r="D38" s="42">
        <f t="shared" ca="1" si="1"/>
        <v>0.30565385408870788</v>
      </c>
      <c r="E38" s="43">
        <f t="shared" ca="1" si="2"/>
        <v>0.39051989994733238</v>
      </c>
      <c r="F38" s="7"/>
      <c r="G38" s="3"/>
    </row>
    <row r="39" spans="2:7" ht="15" x14ac:dyDescent="0.25">
      <c r="B39" s="40">
        <f t="shared" ca="1" si="3"/>
        <v>4.0000000000000009</v>
      </c>
      <c r="C39" s="41">
        <f t="shared" ca="1" si="0"/>
        <v>0.18815654251584513</v>
      </c>
      <c r="D39" s="42">
        <f t="shared" ca="1" si="1"/>
        <v>0.31359423752640858</v>
      </c>
      <c r="E39" s="43">
        <f t="shared" ca="1" si="2"/>
        <v>0.39666882067491932</v>
      </c>
      <c r="F39" s="7"/>
      <c r="G39" s="3"/>
    </row>
    <row r="40" spans="2:7" ht="15" x14ac:dyDescent="0.25">
      <c r="B40" s="40">
        <f t="shared" ref="B40:B70" ca="1" si="4">B39+0.2</f>
        <v>4.2000000000000011</v>
      </c>
      <c r="C40" s="41">
        <f t="shared" ca="1" si="0"/>
        <v>0.18637631332046142</v>
      </c>
      <c r="D40" s="42">
        <f t="shared" ca="1" si="1"/>
        <v>0.32133847124217491</v>
      </c>
      <c r="E40" s="43">
        <f t="shared" ca="1" si="2"/>
        <v>0.40243073330257062</v>
      </c>
      <c r="F40" s="7"/>
      <c r="G40" s="3"/>
    </row>
    <row r="41" spans="2:7" ht="15" x14ac:dyDescent="0.25">
      <c r="B41" s="40">
        <f t="shared" ca="1" si="4"/>
        <v>4.4000000000000012</v>
      </c>
      <c r="C41" s="41">
        <f t="shared" ca="1" si="0"/>
        <v>0.18418423018960689</v>
      </c>
      <c r="D41" s="42">
        <f t="shared" ca="1" si="1"/>
        <v>0.32890041105286955</v>
      </c>
      <c r="E41" s="43">
        <f t="shared" ca="1" si="2"/>
        <v>0.40783650970555824</v>
      </c>
      <c r="F41" s="7"/>
      <c r="G41" s="3"/>
    </row>
    <row r="42" spans="2:7" ht="15" x14ac:dyDescent="0.25">
      <c r="B42" s="40">
        <f t="shared" ca="1" si="4"/>
        <v>4.6000000000000014</v>
      </c>
      <c r="C42" s="41">
        <f t="shared" ca="1" si="0"/>
        <v>0.18159787141882508</v>
      </c>
      <c r="D42" s="42">
        <f t="shared" ca="1" si="1"/>
        <v>0.33629235447930578</v>
      </c>
      <c r="E42" s="43">
        <f t="shared" ca="1" si="2"/>
        <v>0.41291442804076239</v>
      </c>
      <c r="F42" s="7"/>
      <c r="G42" s="3"/>
    </row>
    <row r="43" spans="2:7" ht="15" x14ac:dyDescent="0.25">
      <c r="B43" s="40">
        <f t="shared" ca="1" si="4"/>
        <v>4.8000000000000016</v>
      </c>
      <c r="C43" s="41">
        <f t="shared" ca="1" si="0"/>
        <v>0.1786331433087209</v>
      </c>
      <c r="D43" s="42">
        <f t="shared" ca="1" si="1"/>
        <v>0.34352527559369411</v>
      </c>
      <c r="E43" s="43">
        <f t="shared" ca="1" si="2"/>
        <v>0.41769057300134987</v>
      </c>
      <c r="F43" s="7"/>
      <c r="G43" s="3"/>
    </row>
    <row r="44" spans="2:7" ht="15" x14ac:dyDescent="0.25">
      <c r="B44" s="40">
        <f t="shared" ca="1" si="4"/>
        <v>5.0000000000000018</v>
      </c>
      <c r="C44" s="41">
        <f t="shared" ca="1" si="0"/>
        <v>0.17530450811531623</v>
      </c>
      <c r="D44" s="42">
        <f t="shared" ca="1" si="1"/>
        <v>0.35060901623063262</v>
      </c>
      <c r="E44" s="43">
        <f t="shared" ca="1" si="2"/>
        <v>0.42218916291184855</v>
      </c>
      <c r="F44" s="7"/>
      <c r="G44" s="3"/>
    </row>
    <row r="45" spans="2:7" ht="15" x14ac:dyDescent="0.25">
      <c r="B45" s="40">
        <f t="shared" ca="1" si="4"/>
        <v>5.200000000000002</v>
      </c>
      <c r="C45" s="41">
        <f t="shared" ca="1" si="0"/>
        <v>0.17162517267855018</v>
      </c>
      <c r="D45" s="42">
        <f t="shared" ca="1" si="1"/>
        <v>0.35755244308031303</v>
      </c>
      <c r="E45" s="43">
        <f t="shared" ca="1" si="2"/>
        <v>0.42643281928547805</v>
      </c>
      <c r="F45" s="7"/>
      <c r="G45" s="3"/>
    </row>
    <row r="46" spans="2:7" ht="15" x14ac:dyDescent="0.25">
      <c r="B46" s="40">
        <f t="shared" ca="1" si="4"/>
        <v>5.4000000000000021</v>
      </c>
      <c r="C46" s="41">
        <f t="shared" ca="1" si="0"/>
        <v>0.16760724579808225</v>
      </c>
      <c r="D46" s="42">
        <f t="shared" ca="1" si="1"/>
        <v>0.36436357782191808</v>
      </c>
      <c r="E46" s="43">
        <f t="shared" ca="1" si="2"/>
        <v>0.43044279060794421</v>
      </c>
      <c r="F46" s="7"/>
      <c r="G46" s="3"/>
    </row>
    <row r="47" spans="2:7" ht="15" x14ac:dyDescent="0.25">
      <c r="B47" s="40">
        <f t="shared" ca="1" si="4"/>
        <v>5.6000000000000023</v>
      </c>
      <c r="C47" s="41">
        <f t="shared" ca="1" si="0"/>
        <v>0.16326187052793409</v>
      </c>
      <c r="D47" s="42">
        <f t="shared" ca="1" si="1"/>
        <v>0.37104970574530499</v>
      </c>
      <c r="E47" s="43">
        <f t="shared" ca="1" si="2"/>
        <v>0.43423913931091535</v>
      </c>
      <c r="F47" s="7"/>
      <c r="G47" s="3"/>
    </row>
    <row r="48" spans="2:7" ht="15" x14ac:dyDescent="0.25">
      <c r="B48" s="40">
        <f t="shared" ca="1" si="4"/>
        <v>5.8000000000000025</v>
      </c>
      <c r="C48" s="41">
        <f t="shared" ref="C48:C70" ca="1" si="5">NORMSINV(ConfLevel)*SQRT(B48)*(10-B48)*IRVol</f>
        <v>0.15859933616261715</v>
      </c>
      <c r="D48" s="42">
        <f t="shared" ref="D48:D70" ca="1" si="6">NORMSINV(ConfLevel)*FXVol*SQRT(B48)</f>
        <v>0.37761746705385058</v>
      </c>
      <c r="E48" s="43">
        <f t="shared" ref="E48:E70" ca="1" si="7">SQRT(C48^2+D48^2+2*IRFXCorr*C48*D48)</f>
        <v>0.43784089883729299</v>
      </c>
      <c r="F48" s="7"/>
      <c r="G48" s="3"/>
    </row>
    <row r="49" spans="2:7" ht="15" x14ac:dyDescent="0.25">
      <c r="B49" s="40">
        <f t="shared" ca="1" si="4"/>
        <v>6.0000000000000027</v>
      </c>
      <c r="C49" s="41">
        <f t="shared" ca="1" si="5"/>
        <v>0.15362917364336981</v>
      </c>
      <c r="D49" s="42">
        <f t="shared" ca="1" si="6"/>
        <v>0.3840729341084248</v>
      </c>
      <c r="E49" s="43">
        <f t="shared" ca="1" si="7"/>
        <v>0.44126620616510365</v>
      </c>
      <c r="F49" s="7"/>
      <c r="G49" s="3"/>
    </row>
    <row r="50" spans="2:7" ht="15" x14ac:dyDescent="0.25">
      <c r="B50" s="40">
        <f t="shared" ca="1" si="4"/>
        <v>6.2000000000000028</v>
      </c>
      <c r="C50" s="41">
        <f t="shared" ca="1" si="5"/>
        <v>0.14836023732504139</v>
      </c>
      <c r="D50" s="42">
        <f t="shared" ca="1" si="6"/>
        <v>0.39042167717116183</v>
      </c>
      <c r="E50" s="43">
        <f t="shared" ca="1" si="7"/>
        <v>0.44453241400044968</v>
      </c>
      <c r="F50" s="7"/>
      <c r="G50" s="3"/>
    </row>
    <row r="51" spans="2:7" ht="15" x14ac:dyDescent="0.25">
      <c r="B51" s="40">
        <f t="shared" ca="1" si="4"/>
        <v>6.400000000000003</v>
      </c>
      <c r="C51" s="41">
        <f t="shared" ca="1" si="5"/>
        <v>0.14280077544297087</v>
      </c>
      <c r="D51" s="42">
        <f t="shared" ca="1" si="6"/>
        <v>0.39666882067491938</v>
      </c>
      <c r="E51" s="43">
        <f t="shared" ca="1" si="7"/>
        <v>0.44765618597012152</v>
      </c>
      <c r="F51" s="7"/>
      <c r="G51" s="3"/>
    </row>
    <row r="52" spans="2:7" ht="15" x14ac:dyDescent="0.25">
      <c r="B52" s="40">
        <f t="shared" ca="1" si="4"/>
        <v>6.6000000000000032</v>
      </c>
      <c r="C52" s="41">
        <f t="shared" ca="1" si="5"/>
        <v>0.13695849115609962</v>
      </c>
      <c r="D52" s="42">
        <f t="shared" ca="1" si="6"/>
        <v>0.40281909163558749</v>
      </c>
      <c r="E52" s="43">
        <f t="shared" ca="1" si="7"/>
        <v>0.45065357746897733</v>
      </c>
      <c r="F52" s="7"/>
      <c r="G52" s="3"/>
    </row>
    <row r="53" spans="2:7" ht="15" x14ac:dyDescent="0.25">
      <c r="B53" s="40">
        <f t="shared" ca="1" si="4"/>
        <v>6.8000000000000034</v>
      </c>
      <c r="C53" s="41">
        <f t="shared" ca="1" si="5"/>
        <v>0.13084059568255052</v>
      </c>
      <c r="D53" s="42">
        <f t="shared" ca="1" si="6"/>
        <v>0.40887686150797076</v>
      </c>
      <c r="E53" s="43">
        <f t="shared" ca="1" si="7"/>
        <v>0.45354010429440395</v>
      </c>
      <c r="F53" s="7"/>
      <c r="G53" s="3"/>
    </row>
    <row r="54" spans="2:7" ht="15" x14ac:dyDescent="0.25">
      <c r="B54" s="40">
        <f t="shared" ca="1" si="4"/>
        <v>7.0000000000000036</v>
      </c>
      <c r="C54" s="41">
        <f t="shared" ca="1" si="5"/>
        <v>0.1244538547616693</v>
      </c>
      <c r="D54" s="42">
        <f t="shared" ca="1" si="6"/>
        <v>0.41484618253889816</v>
      </c>
      <c r="E54" s="43">
        <f t="shared" ca="1" si="7"/>
        <v>0.45633080079278793</v>
      </c>
      <c r="F54" s="7"/>
      <c r="G54" s="3"/>
    </row>
    <row r="55" spans="2:7" ht="15" x14ac:dyDescent="0.25">
      <c r="B55" s="40">
        <f t="shared" ca="1" si="4"/>
        <v>7.2000000000000037</v>
      </c>
      <c r="C55" s="41">
        <f t="shared" ca="1" si="5"/>
        <v>0.1178046294534924</v>
      </c>
      <c r="D55" s="42">
        <f t="shared" ca="1" si="6"/>
        <v>0.42073081947675911</v>
      </c>
      <c r="E55" s="43">
        <f t="shared" ca="1" si="7"/>
        <v>0.45904026892366362</v>
      </c>
      <c r="F55" s="7"/>
      <c r="G55" s="3"/>
    </row>
    <row r="56" spans="2:7" ht="15" x14ac:dyDescent="0.25">
      <c r="B56" s="40">
        <f t="shared" ca="1" si="4"/>
        <v>7.4000000000000039</v>
      </c>
      <c r="C56" s="41">
        <f t="shared" ca="1" si="5"/>
        <v>0.1108989121090453</v>
      </c>
      <c r="D56" s="42">
        <f t="shared" ca="1" si="6"/>
        <v>0.4265342773424825</v>
      </c>
      <c r="E56" s="43">
        <f t="shared" ca="1" si="7"/>
        <v>0.46168271939595396</v>
      </c>
      <c r="F56" s="7"/>
      <c r="G56" s="3"/>
    </row>
    <row r="57" spans="2:7" ht="15" x14ac:dyDescent="0.25">
      <c r="B57" s="40">
        <f t="shared" ca="1" si="4"/>
        <v>7.6000000000000041</v>
      </c>
      <c r="C57" s="41">
        <f t="shared" ca="1" si="5"/>
        <v>0.10374235820252571</v>
      </c>
      <c r="D57" s="42">
        <f t="shared" ca="1" si="6"/>
        <v>0.4322598258438578</v>
      </c>
      <c r="E57" s="43">
        <f t="shared" ca="1" si="7"/>
        <v>0.46427200583244882</v>
      </c>
      <c r="F57" s="7"/>
      <c r="G57" s="3"/>
    </row>
    <row r="58" spans="2:7" ht="15" x14ac:dyDescent="0.25">
      <c r="B58" s="40">
        <f t="shared" ca="1" si="4"/>
        <v>7.8000000000000043</v>
      </c>
      <c r="C58" s="41">
        <f t="shared" ca="1" si="5"/>
        <v>9.6340314601552041E-2</v>
      </c>
      <c r="D58" s="42">
        <f t="shared" ca="1" si="6"/>
        <v>0.43791052091614646</v>
      </c>
      <c r="E58" s="43">
        <f t="shared" ca="1" si="7"/>
        <v>0.46682165276209414</v>
      </c>
      <c r="F58" s="7"/>
      <c r="G58" s="3"/>
    </row>
    <row r="59" spans="2:7" ht="15" x14ac:dyDescent="0.25">
      <c r="B59" s="40">
        <f t="shared" ca="1" si="4"/>
        <v>8.0000000000000036</v>
      </c>
      <c r="C59" s="41">
        <f t="shared" ca="1" si="5"/>
        <v>8.8697844758379218E-2</v>
      </c>
      <c r="D59" s="42">
        <f t="shared" ca="1" si="6"/>
        <v>0.44348922379189692</v>
      </c>
      <c r="E59" s="43">
        <f t="shared" ca="1" si="7"/>
        <v>0.46934487811617148</v>
      </c>
      <c r="F59" s="7"/>
      <c r="G59" s="3"/>
    </row>
    <row r="60" spans="2:7" ht="15" x14ac:dyDescent="0.25">
      <c r="B60" s="40">
        <f t="shared" ca="1" si="4"/>
        <v>8.2000000000000028</v>
      </c>
      <c r="C60" s="41">
        <f t="shared" ca="1" si="5"/>
        <v>8.0819751228798489E-2</v>
      </c>
      <c r="D60" s="42">
        <f t="shared" ca="1" si="6"/>
        <v>0.44899861793777013</v>
      </c>
      <c r="E60" s="43">
        <f t="shared" ca="1" si="7"/>
        <v>0.47185461080743346</v>
      </c>
      <c r="F60" s="7"/>
      <c r="G60" s="3"/>
    </row>
    <row r="61" spans="2:7" ht="15" x14ac:dyDescent="0.25">
      <c r="B61" s="40">
        <f t="shared" ca="1" si="4"/>
        <v>8.4000000000000021</v>
      </c>
      <c r="C61" s="41">
        <f t="shared" ca="1" si="5"/>
        <v>7.2710595862867183E-2</v>
      </c>
      <c r="D61" s="42">
        <f t="shared" ca="1" si="6"/>
        <v>0.45444122414292049</v>
      </c>
      <c r="E61" s="43">
        <f t="shared" ca="1" si="7"/>
        <v>0.47436350389556986</v>
      </c>
      <c r="F61" s="7"/>
      <c r="G61" s="3"/>
    </row>
    <row r="62" spans="2:7" ht="15" x14ac:dyDescent="0.25">
      <c r="B62" s="40">
        <f t="shared" ca="1" si="4"/>
        <v>8.6000000000000014</v>
      </c>
      <c r="C62" s="41">
        <f t="shared" ca="1" si="5"/>
        <v>6.4374717959954433E-2</v>
      </c>
      <c r="D62" s="42">
        <f t="shared" ca="1" si="6"/>
        <v>0.45981941399967508</v>
      </c>
      <c r="E62" s="43">
        <f t="shared" ca="1" si="7"/>
        <v>0.4768839437839405</v>
      </c>
      <c r="F62" s="7"/>
      <c r="G62" s="3"/>
    </row>
    <row r="63" spans="2:7" ht="15" x14ac:dyDescent="0.25">
      <c r="B63" s="40">
        <f t="shared" ca="1" si="4"/>
        <v>8.8000000000000007</v>
      </c>
      <c r="C63" s="41">
        <f t="shared" ca="1" si="5"/>
        <v>5.5816250637726425E-2</v>
      </c>
      <c r="D63" s="42">
        <f t="shared" ca="1" si="6"/>
        <v>0.4651354219810539</v>
      </c>
      <c r="E63" s="43">
        <f t="shared" ca="1" si="7"/>
        <v>0.47942805584806802</v>
      </c>
      <c r="F63" s="7"/>
      <c r="G63" s="3"/>
    </row>
    <row r="64" spans="2:7" ht="15" x14ac:dyDescent="0.25">
      <c r="B64" s="40">
        <f t="shared" ca="1" si="4"/>
        <v>9</v>
      </c>
      <c r="C64" s="41">
        <f t="shared" ca="1" si="5"/>
        <v>4.7039135628961289E-2</v>
      </c>
      <c r="D64" s="42">
        <f t="shared" ca="1" si="6"/>
        <v>0.47039135628961287</v>
      </c>
      <c r="E64" s="43">
        <f t="shared" ca="1" si="7"/>
        <v>0.48200770686326228</v>
      </c>
      <c r="F64" s="7"/>
      <c r="G64" s="3"/>
    </row>
    <row r="65" spans="2:7" ht="15" x14ac:dyDescent="0.25">
      <c r="B65" s="40">
        <f t="shared" ca="1" si="4"/>
        <v>9.1999999999999993</v>
      </c>
      <c r="C65" s="41">
        <f t="shared" ca="1" si="5"/>
        <v>3.8047136690161194E-2</v>
      </c>
      <c r="D65" s="42">
        <f t="shared" ca="1" si="6"/>
        <v>0.47558920862701454</v>
      </c>
      <c r="E65" s="43">
        <f t="shared" ca="1" si="7"/>
        <v>0.48463450457472462</v>
      </c>
      <c r="F65" s="7"/>
      <c r="G65" s="3"/>
    </row>
    <row r="66" spans="2:7" ht="15" x14ac:dyDescent="0.25">
      <c r="B66" s="40">
        <f t="shared" ca="1" si="4"/>
        <v>9.3999999999999986</v>
      </c>
      <c r="C66" s="41">
        <f t="shared" ca="1" si="5"/>
        <v>2.8843851780763513E-2</v>
      </c>
      <c r="D66" s="42">
        <f t="shared" ca="1" si="6"/>
        <v>0.48073086301272405</v>
      </c>
      <c r="E66" s="43">
        <f t="shared" ca="1" si="7"/>
        <v>0.48731979473665965</v>
      </c>
      <c r="F66" s="7"/>
      <c r="G66" s="3"/>
    </row>
    <row r="67" spans="2:7" ht="15" x14ac:dyDescent="0.25">
      <c r="B67" s="40">
        <f t="shared" ca="1" si="4"/>
        <v>9.5999999999999979</v>
      </c>
      <c r="C67" s="41">
        <f t="shared" ca="1" si="5"/>
        <v>1.9432724150502394E-2</v>
      </c>
      <c r="D67" s="42">
        <f t="shared" ca="1" si="6"/>
        <v>0.4858181037625573</v>
      </c>
      <c r="E67" s="43">
        <f t="shared" ca="1" si="7"/>
        <v>0.49007465593565602</v>
      </c>
      <c r="F67" s="7"/>
      <c r="G67" s="3"/>
    </row>
    <row r="68" spans="2:7" ht="15" x14ac:dyDescent="0.25">
      <c r="B68" s="40">
        <f t="shared" ca="1" si="4"/>
        <v>9.7999999999999972</v>
      </c>
      <c r="C68" s="41">
        <f t="shared" ca="1" si="5"/>
        <v>9.8170524544578495E-3</v>
      </c>
      <c r="D68" s="42">
        <f t="shared" ca="1" si="6"/>
        <v>0.49085262272288549</v>
      </c>
      <c r="E68" s="43">
        <f t="shared" ca="1" si="7"/>
        <v>0.49290989250643008</v>
      </c>
      <c r="F68" s="7"/>
      <c r="G68" s="3"/>
    </row>
    <row r="69" spans="2:7" ht="15" x14ac:dyDescent="0.25">
      <c r="B69" s="40">
        <f t="shared" ca="1" si="4"/>
        <v>9.9999999999999964</v>
      </c>
      <c r="C69" s="41">
        <f t="shared" ca="1" si="5"/>
        <v>1.7615634314568108E-16</v>
      </c>
      <c r="D69" s="42">
        <f t="shared" ca="1" si="6"/>
        <v>0.49583602584364905</v>
      </c>
      <c r="E69" s="43">
        <f t="shared" ca="1" si="7"/>
        <v>0.49583602584364905</v>
      </c>
      <c r="F69" s="7"/>
      <c r="G69" s="3"/>
    </row>
    <row r="70" spans="2:7" ht="15.6" thickBot="1" x14ac:dyDescent="0.3">
      <c r="B70" s="44">
        <f t="shared" ca="1" si="4"/>
        <v>10.199999999999996</v>
      </c>
      <c r="C70" s="45">
        <f t="shared" ca="1" si="5"/>
        <v>-1.0015396783251307E-2</v>
      </c>
      <c r="D70" s="46">
        <f t="shared" ca="1" si="6"/>
        <v>0.50076983916257611</v>
      </c>
      <c r="E70" s="47">
        <f t="shared" ca="1" si="7"/>
        <v>0.49886328441078831</v>
      </c>
      <c r="F70" s="7"/>
      <c r="G70" s="3"/>
    </row>
    <row r="71" spans="2:7" ht="15" x14ac:dyDescent="0.25">
      <c r="B71" s="42"/>
      <c r="C71" s="42"/>
      <c r="D71" s="42"/>
      <c r="E71" s="42"/>
      <c r="F71" s="7"/>
      <c r="G71" s="3"/>
    </row>
    <row r="72" spans="2:7" ht="15" x14ac:dyDescent="0.25">
      <c r="B72" s="42"/>
      <c r="C72" s="42"/>
      <c r="D72" s="42"/>
      <c r="E72" s="42"/>
      <c r="F72" s="7"/>
      <c r="G72" s="3"/>
    </row>
    <row r="73" spans="2:7" ht="15" x14ac:dyDescent="0.25">
      <c r="B73" s="42"/>
      <c r="C73" s="42"/>
      <c r="D73" s="42"/>
      <c r="E73" s="42"/>
      <c r="F73" s="7"/>
      <c r="G73" s="3"/>
    </row>
    <row r="74" spans="2:7" ht="15" x14ac:dyDescent="0.25">
      <c r="B74" s="42"/>
      <c r="C74" s="42"/>
      <c r="D74" s="42"/>
      <c r="E74" s="42"/>
      <c r="F74" s="7"/>
      <c r="G74" s="3"/>
    </row>
    <row r="75" spans="2:7" ht="15" x14ac:dyDescent="0.25">
      <c r="B75" s="42"/>
      <c r="C75" s="42"/>
      <c r="D75" s="42"/>
      <c r="E75" s="42"/>
      <c r="F75" s="7"/>
      <c r="G75" s="3"/>
    </row>
    <row r="76" spans="2:7" ht="15" x14ac:dyDescent="0.25">
      <c r="B76" s="42"/>
      <c r="C76" s="42"/>
      <c r="D76" s="42"/>
      <c r="E76" s="42"/>
      <c r="F76" s="7"/>
      <c r="G76" s="3"/>
    </row>
    <row r="77" spans="2:7" ht="15" x14ac:dyDescent="0.25">
      <c r="B77" s="42"/>
      <c r="C77" s="42"/>
      <c r="D77" s="42"/>
      <c r="E77" s="42"/>
      <c r="F77" s="7"/>
      <c r="G77" s="3"/>
    </row>
    <row r="78" spans="2:7" ht="15" x14ac:dyDescent="0.25">
      <c r="B78" s="42"/>
      <c r="C78" s="42"/>
      <c r="D78" s="42"/>
      <c r="E78" s="42"/>
      <c r="F78" s="7"/>
      <c r="G78" s="3"/>
    </row>
    <row r="79" spans="2:7" ht="15" x14ac:dyDescent="0.25">
      <c r="B79" s="42"/>
      <c r="C79" s="42"/>
      <c r="D79" s="42"/>
      <c r="E79" s="42"/>
      <c r="F79" s="7"/>
      <c r="G79" s="3"/>
    </row>
    <row r="80" spans="2:7" ht="15" x14ac:dyDescent="0.25">
      <c r="B80" s="42"/>
      <c r="C80" s="42"/>
      <c r="D80" s="42"/>
      <c r="E80" s="42"/>
      <c r="F80" s="7"/>
      <c r="G80" s="3"/>
    </row>
    <row r="81" spans="2:7" ht="15" x14ac:dyDescent="0.25">
      <c r="B81" s="42"/>
      <c r="C81" s="42"/>
      <c r="D81" s="42"/>
      <c r="E81" s="42"/>
      <c r="F81" s="7"/>
      <c r="G81" s="3"/>
    </row>
    <row r="82" spans="2:7" ht="15" x14ac:dyDescent="0.25">
      <c r="B82" s="42"/>
      <c r="C82" s="42"/>
      <c r="D82" s="42"/>
      <c r="E82" s="42"/>
      <c r="F82" s="7"/>
      <c r="G82" s="3"/>
    </row>
    <row r="83" spans="2:7" ht="15" x14ac:dyDescent="0.25">
      <c r="B83" s="42"/>
      <c r="C83" s="42"/>
      <c r="D83" s="42"/>
      <c r="E83" s="42"/>
      <c r="F83" s="7"/>
      <c r="G83" s="3"/>
    </row>
    <row r="84" spans="2:7" ht="15" x14ac:dyDescent="0.25">
      <c r="B84" s="42"/>
      <c r="C84" s="42"/>
      <c r="D84" s="42"/>
      <c r="E84" s="42"/>
      <c r="F84" s="7"/>
      <c r="G84" s="3"/>
    </row>
    <row r="85" spans="2:7" ht="15" x14ac:dyDescent="0.25">
      <c r="B85" s="42"/>
      <c r="C85" s="42"/>
      <c r="D85" s="42"/>
      <c r="E85" s="42"/>
      <c r="F85" s="7"/>
      <c r="G85" s="3"/>
    </row>
    <row r="86" spans="2:7" ht="15" x14ac:dyDescent="0.25">
      <c r="B86" s="42"/>
      <c r="C86" s="42"/>
      <c r="D86" s="42"/>
      <c r="E86" s="42"/>
      <c r="F86" s="7"/>
      <c r="G86" s="3"/>
    </row>
    <row r="87" spans="2:7" ht="15" x14ac:dyDescent="0.25">
      <c r="B87" s="42"/>
      <c r="C87" s="42"/>
      <c r="D87" s="42"/>
      <c r="E87" s="42"/>
      <c r="F87" s="7"/>
      <c r="G87" s="3"/>
    </row>
    <row r="88" spans="2:7" ht="15" x14ac:dyDescent="0.25">
      <c r="B88" s="42"/>
      <c r="C88" s="42"/>
      <c r="D88" s="42"/>
      <c r="E88" s="42"/>
      <c r="F88" s="7"/>
      <c r="G88" s="3"/>
    </row>
    <row r="89" spans="2:7" x14ac:dyDescent="0.25">
      <c r="B89" s="7"/>
      <c r="C89" s="7"/>
      <c r="D89" s="7"/>
      <c r="E89" s="7"/>
      <c r="F89" s="7"/>
      <c r="G89" s="3"/>
    </row>
    <row r="90" spans="2:7" x14ac:dyDescent="0.25">
      <c r="B90" s="7"/>
      <c r="C90" s="7"/>
      <c r="D90" s="7"/>
      <c r="E90" s="7"/>
      <c r="F90" s="7"/>
      <c r="G90" s="3"/>
    </row>
    <row r="91" spans="2:7" x14ac:dyDescent="0.25">
      <c r="B91" s="7"/>
      <c r="C91" s="7"/>
      <c r="D91" s="7"/>
      <c r="E91" s="7"/>
      <c r="F91" s="7"/>
      <c r="G91" s="3"/>
    </row>
    <row r="92" spans="2:7" x14ac:dyDescent="0.25">
      <c r="B92" s="7"/>
      <c r="C92" s="7"/>
      <c r="D92" s="7"/>
      <c r="E92" s="7"/>
      <c r="F92" s="7"/>
      <c r="G92" s="3"/>
    </row>
    <row r="93" spans="2:7" x14ac:dyDescent="0.25">
      <c r="B93" s="7"/>
      <c r="C93" s="7"/>
      <c r="D93" s="7"/>
      <c r="E93" s="7"/>
      <c r="F93" s="7"/>
      <c r="G93" s="3"/>
    </row>
    <row r="94" spans="2:7" x14ac:dyDescent="0.25">
      <c r="B94" s="7"/>
      <c r="C94" s="7"/>
      <c r="D94" s="7"/>
      <c r="E94" s="7"/>
      <c r="F94" s="7"/>
      <c r="G94" s="3"/>
    </row>
    <row r="95" spans="2:7" x14ac:dyDescent="0.25">
      <c r="B95" s="7"/>
      <c r="C95" s="7"/>
      <c r="D95" s="7"/>
      <c r="E95" s="7"/>
      <c r="F95" s="7"/>
      <c r="G95" s="3"/>
    </row>
    <row r="96" spans="2:7" x14ac:dyDescent="0.25">
      <c r="G96" s="3"/>
    </row>
    <row r="97" spans="7:7" x14ac:dyDescent="0.25">
      <c r="G97" s="3"/>
    </row>
    <row r="98" spans="7:7" x14ac:dyDescent="0.25">
      <c r="G98" s="3"/>
    </row>
    <row r="99" spans="7:7" x14ac:dyDescent="0.25">
      <c r="G99" s="3"/>
    </row>
  </sheetData>
  <mergeCells count="1">
    <mergeCell ref="B9:C9"/>
  </mergeCells>
  <pageMargins left="0.75" right="0.75" top="1" bottom="1" header="0.5" footer="0.5"/>
  <pageSetup paperSize="9" orientation="portrait" horizontalDpi="200" verticalDpi="200" copies="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P99"/>
  <sheetViews>
    <sheetView showGridLines="0" workbookViewId="0">
      <pane ySplit="7" topLeftCell="A8" activePane="bottomLeft" state="frozen"/>
      <selection pane="bottomLeft" activeCell="F17" sqref="F17"/>
    </sheetView>
  </sheetViews>
  <sheetFormatPr defaultRowHeight="13.2" x14ac:dyDescent="0.25"/>
  <cols>
    <col min="2" max="2" width="17" style="5" customWidth="1"/>
    <col min="3" max="3" width="12" style="5" customWidth="1"/>
    <col min="4" max="4" width="9.6640625" style="5" customWidth="1"/>
    <col min="5" max="5" width="10" style="5" customWidth="1"/>
    <col min="6" max="6" width="12.5546875" style="5" customWidth="1"/>
    <col min="7" max="7" width="10.44140625" customWidth="1"/>
    <col min="8" max="8" width="9.77734375" bestFit="1" customWidth="1"/>
  </cols>
  <sheetData>
    <row r="1" spans="2:16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6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2:16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6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2:16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2:16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2:16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13.8" thickBot="1" x14ac:dyDescent="0.3">
      <c r="B8"/>
      <c r="C8"/>
      <c r="D8"/>
      <c r="E8"/>
      <c r="F8"/>
    </row>
    <row r="9" spans="2:16" ht="16.2" thickBot="1" x14ac:dyDescent="0.35">
      <c r="B9" s="92" t="s">
        <v>0</v>
      </c>
      <c r="C9" s="93"/>
      <c r="D9" s="21"/>
      <c r="E9" s="92" t="s">
        <v>44</v>
      </c>
      <c r="F9" s="93"/>
      <c r="G9" s="21"/>
      <c r="H9" s="21"/>
      <c r="I9" s="21"/>
    </row>
    <row r="10" spans="2:16" ht="15" x14ac:dyDescent="0.25">
      <c r="B10" s="22" t="s">
        <v>22</v>
      </c>
      <c r="C10" s="48">
        <v>500</v>
      </c>
      <c r="D10" s="21"/>
      <c r="E10" s="22" t="s">
        <v>27</v>
      </c>
      <c r="F10" s="96">
        <v>200</v>
      </c>
      <c r="G10" s="21"/>
      <c r="H10" s="21"/>
      <c r="I10" s="21"/>
    </row>
    <row r="11" spans="2:16" ht="15" x14ac:dyDescent="0.25">
      <c r="B11" s="27" t="s">
        <v>23</v>
      </c>
      <c r="C11" s="34">
        <v>0.4</v>
      </c>
      <c r="D11" s="21"/>
      <c r="E11" s="27" t="s">
        <v>28</v>
      </c>
      <c r="F11" s="97">
        <v>250</v>
      </c>
      <c r="G11" s="25"/>
      <c r="H11" s="49"/>
      <c r="I11" s="21"/>
    </row>
    <row r="12" spans="2:16" ht="15" x14ac:dyDescent="0.25">
      <c r="B12" s="27" t="s">
        <v>24</v>
      </c>
      <c r="C12" s="34">
        <v>0.05</v>
      </c>
      <c r="D12" s="21"/>
      <c r="E12" s="27" t="s">
        <v>29</v>
      </c>
      <c r="F12" s="97">
        <v>300</v>
      </c>
      <c r="G12" s="25"/>
      <c r="H12" s="21"/>
      <c r="I12" s="21"/>
    </row>
    <row r="13" spans="2:16" ht="15" x14ac:dyDescent="0.25">
      <c r="B13" s="27" t="s">
        <v>25</v>
      </c>
      <c r="C13" s="34">
        <v>0.75</v>
      </c>
      <c r="D13" s="21"/>
      <c r="E13" s="27" t="s">
        <v>30</v>
      </c>
      <c r="F13" s="97">
        <v>350</v>
      </c>
      <c r="G13" s="25"/>
      <c r="H13" s="21"/>
      <c r="I13" s="21"/>
    </row>
    <row r="14" spans="2:16" ht="15.6" thickBot="1" x14ac:dyDescent="0.3">
      <c r="B14" s="29" t="s">
        <v>15</v>
      </c>
      <c r="C14" s="50">
        <v>0.99</v>
      </c>
      <c r="D14" s="21"/>
      <c r="E14" s="29" t="s">
        <v>31</v>
      </c>
      <c r="F14" s="98">
        <v>400</v>
      </c>
      <c r="G14" s="25"/>
      <c r="H14" s="21"/>
      <c r="I14" s="21"/>
    </row>
    <row r="15" spans="2:16" ht="15" x14ac:dyDescent="0.25">
      <c r="B15" s="51"/>
      <c r="C15" s="52"/>
      <c r="D15" s="21"/>
      <c r="E15" s="51"/>
      <c r="F15" s="51"/>
      <c r="G15" s="25"/>
      <c r="H15" s="21"/>
      <c r="I15" s="21"/>
    </row>
    <row r="16" spans="2:16" ht="15" x14ac:dyDescent="0.25">
      <c r="B16" s="21"/>
      <c r="C16" s="21"/>
      <c r="D16" s="21"/>
      <c r="E16" s="21"/>
      <c r="F16" s="21"/>
      <c r="G16" s="25"/>
      <c r="H16" s="21"/>
      <c r="I16" s="21"/>
    </row>
    <row r="17" spans="2:11" ht="15.6" thickBot="1" x14ac:dyDescent="0.3">
      <c r="B17" s="21"/>
      <c r="C17" s="53"/>
      <c r="D17" s="21"/>
      <c r="E17" s="21"/>
      <c r="F17" s="21"/>
      <c r="G17" s="25"/>
      <c r="H17" s="21"/>
      <c r="I17" s="21"/>
    </row>
    <row r="18" spans="2:11" ht="15.6" thickBot="1" x14ac:dyDescent="0.3">
      <c r="B18" s="36"/>
      <c r="C18" s="37" t="s">
        <v>20</v>
      </c>
      <c r="D18" s="38" t="s">
        <v>19</v>
      </c>
      <c r="E18" s="37" t="s">
        <v>26</v>
      </c>
      <c r="F18" s="37" t="s">
        <v>8</v>
      </c>
      <c r="G18" s="67" t="s">
        <v>21</v>
      </c>
      <c r="I18" s="21"/>
    </row>
    <row r="19" spans="2:11" ht="15" x14ac:dyDescent="0.25">
      <c r="B19" s="63">
        <v>0</v>
      </c>
      <c r="C19" s="54"/>
      <c r="D19" s="55"/>
      <c r="E19" s="54"/>
      <c r="F19" s="56">
        <v>0</v>
      </c>
      <c r="G19" s="68">
        <v>0</v>
      </c>
      <c r="I19" s="21"/>
    </row>
    <row r="20" spans="2:11" ht="15" x14ac:dyDescent="0.25">
      <c r="B20" s="64">
        <v>0.05</v>
      </c>
      <c r="C20" s="57">
        <f ca="1">EXP(-B17*$F$10/(1-Rec)/10000)-EXP(-B20*$F$10/(1-Rec)/10000)</f>
        <v>1.6652785490612887E-3</v>
      </c>
      <c r="D20" s="42">
        <f t="shared" ref="D20:D41" ca="1" si="0">(1-EXP(-(HazardRate+IRate)*(5-B20)))/(HazardRate+IRate)</f>
        <v>4.3849955837814854</v>
      </c>
      <c r="E20" s="41">
        <f t="shared" ref="E20:E41" ca="1" si="1">CDSSpread*SpreadVol*SQRT(B20)</f>
        <v>83.852549156242105</v>
      </c>
      <c r="F20" s="58">
        <f t="shared" ref="F20:F41" ca="1" si="2">C20*(1-Rec)+(1-C20)*E20*D20/SQRT(2*PI())/10000</f>
        <v>1.5643570134556788E-2</v>
      </c>
      <c r="G20" s="69">
        <f t="shared" ref="G20:G41" ca="1" si="3">IF(C20&gt;(1-ConfLevel1),(1-Rec),E20*D20/10000*NORMSINV(ConfLevel1))</f>
        <v>8.5538196317056267E-2</v>
      </c>
      <c r="I20" s="21"/>
      <c r="J20" s="66"/>
      <c r="K20" s="18"/>
    </row>
    <row r="21" spans="2:11" ht="15" x14ac:dyDescent="0.25">
      <c r="B21" s="64">
        <v>0.1</v>
      </c>
      <c r="C21" s="57">
        <f ca="1">EXP(-B18*$F$10/(1-Rec)/10000)-EXP(-B21*$F$10/(1-Rec)/10000)</f>
        <v>3.3277839454767255E-3</v>
      </c>
      <c r="D21" s="42">
        <f t="shared" ca="1" si="0"/>
        <v>4.3459092351626367</v>
      </c>
      <c r="E21" s="41">
        <f t="shared" ca="1" si="1"/>
        <v>118.58541225631423</v>
      </c>
      <c r="F21" s="58">
        <f t="shared" ca="1" si="2"/>
        <v>2.2488198048448545E-2</v>
      </c>
      <c r="G21" s="69">
        <f t="shared" ca="1" si="3"/>
        <v>0.119890998630597</v>
      </c>
      <c r="I21" s="21"/>
      <c r="J21" s="66"/>
      <c r="K21" s="18"/>
    </row>
    <row r="22" spans="2:11" ht="15" x14ac:dyDescent="0.25">
      <c r="B22" s="64">
        <v>0.25</v>
      </c>
      <c r="C22" s="57">
        <f ca="1">EXP(-B19*$F$10/(1-Rec)/10000)-EXP(-B22*$F$10/(1-Rec)/10000)</f>
        <v>8.2987073611240358E-3</v>
      </c>
      <c r="D22" s="42">
        <f t="shared" ca="1" si="0"/>
        <v>4.2280621803784664</v>
      </c>
      <c r="E22" s="41">
        <f t="shared" ca="1" si="1"/>
        <v>187.5</v>
      </c>
      <c r="F22" s="58">
        <f t="shared" ca="1" si="2"/>
        <v>3.6343378797444009E-2</v>
      </c>
      <c r="G22" s="69">
        <f t="shared" ca="1" si="3"/>
        <v>0.18442393996192361</v>
      </c>
      <c r="I22" s="21"/>
      <c r="J22" s="66"/>
      <c r="K22" s="18"/>
    </row>
    <row r="23" spans="2:11" ht="15" x14ac:dyDescent="0.25">
      <c r="B23" s="64">
        <f t="shared" ref="B23:B41" ca="1" si="4">B22+0.25</f>
        <v>0.5</v>
      </c>
      <c r="C23" s="57">
        <f ca="1">EXP(-B22*$F$10/(1-Rec)/10000)-EXP(-B23*$F$10/(1-Rec)/10000)</f>
        <v>8.2298388172584724E-3</v>
      </c>
      <c r="D23" s="42">
        <f t="shared" ca="1" si="0"/>
        <v>4.0296756248124588</v>
      </c>
      <c r="E23" s="41">
        <f t="shared" ca="1" si="1"/>
        <v>265.16504294495536</v>
      </c>
      <c r="F23" s="58">
        <f t="shared" ca="1" si="2"/>
        <v>4.7215224522435421E-2</v>
      </c>
      <c r="G23" s="69">
        <f t="shared" ca="1" si="3"/>
        <v>0.24857704236496495</v>
      </c>
      <c r="I23" s="21"/>
      <c r="J23" s="66"/>
      <c r="K23" s="18"/>
    </row>
    <row r="24" spans="2:11" ht="15" x14ac:dyDescent="0.25">
      <c r="B24" s="64">
        <f t="shared" ca="1" si="4"/>
        <v>0.75</v>
      </c>
      <c r="C24" s="57">
        <f ca="1">EXP(-B23*$F$10/(1-Rec)/10000)-EXP(-B24*$F$10/(1-Rec)/10000)</f>
        <v>8.1615417932848766E-3</v>
      </c>
      <c r="D24" s="42">
        <f t="shared" ca="1" si="0"/>
        <v>3.8287936735709516</v>
      </c>
      <c r="E24" s="41">
        <f t="shared" ca="1" si="1"/>
        <v>324.7595264191645</v>
      </c>
      <c r="F24" s="58">
        <f t="shared" ca="1" si="2"/>
        <v>5.4098031910500534E-2</v>
      </c>
      <c r="G24" s="69">
        <f t="shared" ca="1" si="3"/>
        <v>0.28926675336820123</v>
      </c>
      <c r="I24" s="21"/>
      <c r="J24" s="66"/>
      <c r="K24" s="18"/>
    </row>
    <row r="25" spans="2:11" ht="15" x14ac:dyDescent="0.25">
      <c r="B25" s="64">
        <f t="shared" ca="1" si="4"/>
        <v>1</v>
      </c>
      <c r="C25" s="57">
        <f ca="1">EXP(-B24*$F$10/(1-Rec)/10000)-EXP(-B25*$F$10/(1-Rec)/10000)</f>
        <v>8.0938115463267124E-3</v>
      </c>
      <c r="D25" s="42">
        <f t="shared" ca="1" si="0"/>
        <v>3.6253849384403636</v>
      </c>
      <c r="E25" s="41">
        <f t="shared" ca="1" si="1"/>
        <v>375</v>
      </c>
      <c r="F25" s="58">
        <f t="shared" ca="1" si="2"/>
        <v>5.8654278123186403E-2</v>
      </c>
      <c r="G25" s="69">
        <f t="shared" ca="1" si="3"/>
        <v>0.31627149540451588</v>
      </c>
      <c r="I25" s="21"/>
      <c r="J25" s="66"/>
      <c r="K25" s="18"/>
    </row>
    <row r="26" spans="2:11" ht="15" x14ac:dyDescent="0.25">
      <c r="B26" s="64">
        <f t="shared" ca="1" si="4"/>
        <v>1.25</v>
      </c>
      <c r="C26" s="57">
        <f ca="1">EXP(-B25*$F$11/(1-Rec)/10000)-EXP(-B26*$F$11/(1-Rec)/10000)</f>
        <v>9.939697708962969E-3</v>
      </c>
      <c r="D26" s="42">
        <f t="shared" ca="1" si="0"/>
        <v>3.4194176363919926</v>
      </c>
      <c r="E26" s="41">
        <f t="shared" ca="1" si="1"/>
        <v>419.26274578121058</v>
      </c>
      <c r="F26" s="58">
        <f t="shared" ca="1" si="2"/>
        <v>6.2589068916379026E-2</v>
      </c>
      <c r="G26" s="69">
        <f t="shared" ca="1" si="3"/>
        <v>0.33351324018833761</v>
      </c>
      <c r="I26" s="21"/>
      <c r="J26" s="66"/>
      <c r="K26" s="18"/>
    </row>
    <row r="27" spans="2:11" ht="15" x14ac:dyDescent="0.25">
      <c r="B27" s="64">
        <f t="shared" ca="1" si="4"/>
        <v>1.5</v>
      </c>
      <c r="C27" s="57">
        <f ca="1">EXP(-B26*$F$11/(1-Rec)/10000)-EXP(-B27*$F$11/(1-Rec)/10000)</f>
        <v>9.8366965866993894E-3</v>
      </c>
      <c r="D27" s="42">
        <f t="shared" ca="1" si="0"/>
        <v>3.2108595846158527</v>
      </c>
      <c r="E27" s="41">
        <f t="shared" ca="1" si="1"/>
        <v>459.27932677184583</v>
      </c>
      <c r="F27" s="58">
        <f t="shared" ca="1" si="2"/>
        <v>6.4154589718897273E-2</v>
      </c>
      <c r="G27" s="69">
        <f t="shared" ca="1" si="3"/>
        <v>0.34306220058023412</v>
      </c>
      <c r="I27" s="21"/>
      <c r="J27" s="66"/>
      <c r="K27" s="18"/>
    </row>
    <row r="28" spans="2:11" ht="15" x14ac:dyDescent="0.25">
      <c r="B28" s="64">
        <f t="shared" ca="1" si="4"/>
        <v>1.75</v>
      </c>
      <c r="C28" s="57">
        <f ca="1">EXP(-B27*$F$11/(1-Rec)/10000)-EXP(-B28*$F$11/(1-Rec)/10000)</f>
        <v>9.7347628239773387E-3</v>
      </c>
      <c r="D28" s="42">
        <f t="shared" ca="1" si="0"/>
        <v>2.9996781954920371</v>
      </c>
      <c r="E28" s="41">
        <f t="shared" ca="1" si="1"/>
        <v>496.07837082461077</v>
      </c>
      <c r="F28" s="58">
        <f t="shared" ca="1" si="2"/>
        <v>6.4628569671684122E-2</v>
      </c>
      <c r="G28" s="69">
        <f t="shared" ca="1" si="3"/>
        <v>0.34617812112061946</v>
      </c>
      <c r="I28" s="21"/>
      <c r="J28" s="66"/>
      <c r="K28" s="18"/>
    </row>
    <row r="29" spans="2:11" ht="15" x14ac:dyDescent="0.25">
      <c r="B29" s="64">
        <f t="shared" ca="1" si="4"/>
        <v>2</v>
      </c>
      <c r="C29" s="57">
        <f ca="1">EXP(-B28*$F$11/(1-Rec)/10000)-EXP(-B29*$F$11/(1-Rec)/10000)</f>
        <v>9.6338853601751762E-3</v>
      </c>
      <c r="D29" s="42">
        <f t="shared" ca="1" si="0"/>
        <v>2.7858404714988438</v>
      </c>
      <c r="E29" s="41">
        <f t="shared" ca="1" si="1"/>
        <v>530.33008588991072</v>
      </c>
      <c r="F29" s="58">
        <f t="shared" ca="1" si="2"/>
        <v>6.4152838397783532E-2</v>
      </c>
      <c r="G29" s="69">
        <f t="shared" ca="1" si="3"/>
        <v>0.34369812827702761</v>
      </c>
      <c r="I29" s="21"/>
      <c r="J29" s="66"/>
      <c r="K29" s="18"/>
    </row>
    <row r="30" spans="2:11" ht="15" x14ac:dyDescent="0.25">
      <c r="B30" s="64">
        <f t="shared" ca="1" si="4"/>
        <v>2.25</v>
      </c>
      <c r="C30" s="57">
        <f ca="1">EXP(-B29*$F$12/(1-Rec)/10000)-EXP(-B30*$F$12/(1-Rec)/10000)</f>
        <v>1.1240070927443835E-2</v>
      </c>
      <c r="D30" s="42">
        <f t="shared" ca="1" si="0"/>
        <v>2.5693130000568432</v>
      </c>
      <c r="E30" s="41">
        <f t="shared" ca="1" si="1"/>
        <v>562.5</v>
      </c>
      <c r="F30" s="58">
        <f t="shared" ca="1" si="2"/>
        <v>6.3752654206009715E-2</v>
      </c>
      <c r="G30" s="69">
        <f t="shared" ca="1" si="3"/>
        <v>0.6</v>
      </c>
      <c r="I30" s="21"/>
      <c r="J30" s="66"/>
      <c r="K30" s="18"/>
    </row>
    <row r="31" spans="2:11" ht="15" x14ac:dyDescent="0.25">
      <c r="B31" s="64">
        <f t="shared" ca="1" si="4"/>
        <v>2.5</v>
      </c>
      <c r="C31" s="57">
        <f ca="1">EXP(-B30*$F$12/(1-Rec)/10000)-EXP(-B31*$F$12/(1-Rec)/10000)</f>
        <v>1.1100444523920228E-2</v>
      </c>
      <c r="D31" s="42">
        <f t="shared" ca="1" si="0"/>
        <v>2.3500619483080909</v>
      </c>
      <c r="E31" s="41">
        <f t="shared" ca="1" si="1"/>
        <v>592.92706128157113</v>
      </c>
      <c r="F31" s="58">
        <f t="shared" ca="1" si="2"/>
        <v>6.1632430288571807E-2</v>
      </c>
      <c r="G31" s="69">
        <f t="shared" ca="1" si="3"/>
        <v>0.6</v>
      </c>
      <c r="I31" s="21"/>
      <c r="J31" s="66"/>
      <c r="K31" s="18"/>
    </row>
    <row r="32" spans="2:11" ht="15" x14ac:dyDescent="0.25">
      <c r="B32" s="64">
        <f t="shared" ca="1" si="4"/>
        <v>2.75</v>
      </c>
      <c r="C32" s="57">
        <f ca="1">EXP(-B31*$F$12/(1-Rec)/10000)-EXP(-B32*$F$12/(1-Rec)/10000)</f>
        <v>1.0962552587437613E-2</v>
      </c>
      <c r="D32" s="42">
        <f t="shared" ca="1" si="0"/>
        <v>2.1280530578296863</v>
      </c>
      <c r="E32" s="41">
        <f t="shared" ca="1" si="1"/>
        <v>621.86714819163751</v>
      </c>
      <c r="F32" s="58">
        <f t="shared" ca="1" si="2"/>
        <v>5.8793443541247874E-2</v>
      </c>
      <c r="G32" s="69">
        <f t="shared" ca="1" si="3"/>
        <v>0.6</v>
      </c>
      <c r="I32" s="21"/>
      <c r="J32" s="66"/>
      <c r="K32" s="18"/>
    </row>
    <row r="33" spans="2:11" ht="15" x14ac:dyDescent="0.25">
      <c r="B33" s="64">
        <f t="shared" ca="1" si="4"/>
        <v>3</v>
      </c>
      <c r="C33" s="57">
        <f ca="1">EXP(-B32*$F$12/(1-Rec)/10000)-EXP(-B33*$F$12/(1-Rec)/10000)</f>
        <v>1.0826373572100034E-2</v>
      </c>
      <c r="D33" s="42">
        <f t="shared" ca="1" si="0"/>
        <v>1.9032516392808096</v>
      </c>
      <c r="E33" s="41">
        <f t="shared" ca="1" si="1"/>
        <v>649.519052838329</v>
      </c>
      <c r="F33" s="58">
        <f t="shared" ca="1" si="2"/>
        <v>5.5279070980848374E-2</v>
      </c>
      <c r="G33" s="69">
        <f t="shared" ca="1" si="3"/>
        <v>0.6</v>
      </c>
      <c r="I33" s="21"/>
      <c r="J33" s="66"/>
      <c r="K33" s="18"/>
    </row>
    <row r="34" spans="2:11" ht="15" x14ac:dyDescent="0.25">
      <c r="B34" s="64">
        <f t="shared" ca="1" si="4"/>
        <v>3.25</v>
      </c>
      <c r="C34" s="57">
        <f ca="1">EXP(-B33*$F$13/(1-Rec)/10000)-EXP(-B34*$F$13/(1-Rec)/10000)</f>
        <v>1.2153248725417121E-2</v>
      </c>
      <c r="D34" s="42">
        <f t="shared" ca="1" si="0"/>
        <v>1.6756225669824487</v>
      </c>
      <c r="E34" s="41">
        <f t="shared" ca="1" si="1"/>
        <v>676.04086414949791</v>
      </c>
      <c r="F34" s="58">
        <f t="shared" ca="1" si="2"/>
        <v>5.1934478366426791E-2</v>
      </c>
      <c r="G34" s="69">
        <f t="shared" ca="1" si="3"/>
        <v>0.6</v>
      </c>
      <c r="I34" s="21"/>
      <c r="J34" s="66"/>
      <c r="K34" s="18"/>
    </row>
    <row r="35" spans="2:11" ht="15" x14ac:dyDescent="0.25">
      <c r="B35" s="64">
        <f t="shared" ca="1" si="4"/>
        <v>3.5</v>
      </c>
      <c r="C35" s="57">
        <f ca="1">EXP(-B34*$F$13/(1-Rec)/10000)-EXP(-B35*$F$13/(1-Rec)/10000)</f>
        <v>1.1977299926458351E-2</v>
      </c>
      <c r="D35" s="42">
        <f t="shared" ca="1" si="0"/>
        <v>1.4451302734289428</v>
      </c>
      <c r="E35" s="41">
        <f t="shared" ca="1" si="1"/>
        <v>701.560760020114</v>
      </c>
      <c r="F35" s="58">
        <f t="shared" ca="1" si="2"/>
        <v>4.7148569689866422E-2</v>
      </c>
      <c r="G35" s="69">
        <f t="shared" ca="1" si="3"/>
        <v>0.6</v>
      </c>
      <c r="I35" s="21"/>
      <c r="J35" s="66"/>
      <c r="K35" s="18"/>
    </row>
    <row r="36" spans="2:11" ht="15" x14ac:dyDescent="0.25">
      <c r="B36" s="64">
        <f t="shared" ca="1" si="4"/>
        <v>3.75</v>
      </c>
      <c r="C36" s="57">
        <f ca="1">EXP(-B35*$F$13/(1-Rec)/10000)-EXP(-B36*$F$13/(1-Rec)/10000)</f>
        <v>1.180389842827112E-2</v>
      </c>
      <c r="D36" s="42">
        <f t="shared" ca="1" si="0"/>
        <v>1.2117387437304838</v>
      </c>
      <c r="E36" s="41">
        <f t="shared" ca="1" si="1"/>
        <v>726.18437741389073</v>
      </c>
      <c r="F36" s="58">
        <f t="shared" ca="1" si="2"/>
        <v>4.1772722302298046E-2</v>
      </c>
      <c r="G36" s="69">
        <f t="shared" ca="1" si="3"/>
        <v>0.6</v>
      </c>
      <c r="I36" s="21"/>
      <c r="J36" s="66"/>
      <c r="K36" s="18"/>
    </row>
    <row r="37" spans="2:11" ht="15" x14ac:dyDescent="0.25">
      <c r="B37" s="64">
        <f t="shared" ca="1" si="4"/>
        <v>4</v>
      </c>
      <c r="C37" s="57">
        <f ca="1">EXP(-B36*$F$13/(1-Rec)/10000)-EXP(-B37*$F$13/(1-Rec)/10000)</f>
        <v>1.1633007352279123E-2</v>
      </c>
      <c r="D37" s="42">
        <f t="shared" ca="1" si="0"/>
        <v>0.97541150998571968</v>
      </c>
      <c r="E37" s="41">
        <f t="shared" ca="1" si="1"/>
        <v>750</v>
      </c>
      <c r="F37" s="58">
        <f t="shared" ca="1" si="2"/>
        <v>3.5825262385999083E-2</v>
      </c>
      <c r="G37" s="69">
        <f t="shared" ca="1" si="3"/>
        <v>0.6</v>
      </c>
      <c r="I37" s="21"/>
      <c r="J37" s="66"/>
      <c r="K37" s="18"/>
    </row>
    <row r="38" spans="2:11" ht="15" x14ac:dyDescent="0.25">
      <c r="B38" s="64">
        <f t="shared" ca="1" si="4"/>
        <v>4.25</v>
      </c>
      <c r="C38" s="57">
        <f ca="1">EXP(-B37*$F$14/(1-Rec)/10000)-EXP(-B38*$F$14/(1-Rec)/10000)</f>
        <v>1.2659681909991893E-2</v>
      </c>
      <c r="D38" s="42">
        <f t="shared" ca="1" si="0"/>
        <v>0.73611164558356368</v>
      </c>
      <c r="E38" s="41">
        <f t="shared" ca="1" si="1"/>
        <v>773.08230480331133</v>
      </c>
      <c r="F38" s="58">
        <f t="shared" ca="1" si="2"/>
        <v>3.0011202213542598E-2</v>
      </c>
      <c r="G38" s="69">
        <f t="shared" ca="1" si="3"/>
        <v>0.6</v>
      </c>
      <c r="I38" s="21"/>
      <c r="J38" s="66"/>
      <c r="K38" s="18"/>
    </row>
    <row r="39" spans="2:11" ht="15" x14ac:dyDescent="0.25">
      <c r="B39" s="64">
        <f t="shared" ca="1" si="4"/>
        <v>4.5</v>
      </c>
      <c r="C39" s="57">
        <f ca="1">EXP(-B38*$F$14/(1-Rec)/10000)-EXP(-B39*$F$14/(1-Rec)/10000)</f>
        <v>1.2450435772938917E-2</v>
      </c>
      <c r="D39" s="42">
        <f t="shared" ca="1" si="0"/>
        <v>0.4938017594333477</v>
      </c>
      <c r="E39" s="41">
        <f t="shared" ca="1" si="1"/>
        <v>795.49512883486591</v>
      </c>
      <c r="F39" s="58">
        <f t="shared" ca="1" si="2"/>
        <v>2.2946275863392228E-2</v>
      </c>
      <c r="G39" s="69">
        <f t="shared" ca="1" si="3"/>
        <v>0.6</v>
      </c>
      <c r="I39" s="21"/>
      <c r="J39" s="66"/>
      <c r="K39" s="18"/>
    </row>
    <row r="40" spans="2:11" ht="15" x14ac:dyDescent="0.25">
      <c r="B40" s="64">
        <f t="shared" ca="1" si="4"/>
        <v>4.75</v>
      </c>
      <c r="C40" s="57">
        <f ca="1">EXP(-B39*$F$14/(1-Rec)/10000)-EXP(-B40*$F$14/(1-Rec)/10000)</f>
        <v>1.2244648170325001E-2</v>
      </c>
      <c r="D40" s="42">
        <f t="shared" ca="1" si="0"/>
        <v>0.24844399012237117</v>
      </c>
      <c r="E40" s="41">
        <f t="shared" ca="1" si="1"/>
        <v>817.2935519138764</v>
      </c>
      <c r="F40" s="58">
        <f t="shared" ca="1" si="2"/>
        <v>1.534818970402722E-2</v>
      </c>
      <c r="G40" s="69">
        <f t="shared" ca="1" si="3"/>
        <v>0.6</v>
      </c>
      <c r="I40" s="21"/>
      <c r="J40" s="66"/>
      <c r="K40" s="18"/>
    </row>
    <row r="41" spans="2:11" ht="15.6" thickBot="1" x14ac:dyDescent="0.3">
      <c r="B41" s="65">
        <f t="shared" ca="1" si="4"/>
        <v>5</v>
      </c>
      <c r="C41" s="59">
        <f ca="1">EXP(-B40*$F$14/(1-Rec)/10000)-EXP(-B41*$F$14/(1-Rec)/10000)</f>
        <v>1.2042261937603604E-2</v>
      </c>
      <c r="D41" s="46">
        <f t="shared" ca="1" si="0"/>
        <v>0</v>
      </c>
      <c r="E41" s="45">
        <f t="shared" ca="1" si="1"/>
        <v>838.52549156242117</v>
      </c>
      <c r="F41" s="60">
        <f t="shared" ca="1" si="2"/>
        <v>7.2253571625621625E-3</v>
      </c>
      <c r="G41" s="70">
        <f t="shared" ca="1" si="3"/>
        <v>0.6</v>
      </c>
      <c r="I41" s="21"/>
      <c r="J41" s="66"/>
      <c r="K41" s="18"/>
    </row>
    <row r="42" spans="2:11" ht="15" x14ac:dyDescent="0.25">
      <c r="B42" s="42"/>
      <c r="C42" s="61"/>
      <c r="D42" s="42"/>
      <c r="E42" s="42"/>
      <c r="F42" s="42"/>
      <c r="G42" s="25"/>
      <c r="H42" s="21"/>
      <c r="I42" s="21"/>
    </row>
    <row r="43" spans="2:11" ht="15" x14ac:dyDescent="0.25">
      <c r="B43" s="42"/>
      <c r="C43" s="61"/>
      <c r="D43" s="62"/>
      <c r="E43" s="42"/>
      <c r="F43" s="42"/>
      <c r="G43" s="25"/>
      <c r="H43" s="21"/>
      <c r="I43" s="21"/>
    </row>
    <row r="44" spans="2:11" ht="15" x14ac:dyDescent="0.25">
      <c r="B44" s="42"/>
      <c r="C44" s="61"/>
      <c r="D44" s="42"/>
      <c r="E44" s="51"/>
      <c r="F44" s="51"/>
      <c r="G44" s="25"/>
      <c r="H44" s="21"/>
      <c r="I44" s="21"/>
    </row>
    <row r="45" spans="2:11" ht="15" x14ac:dyDescent="0.25">
      <c r="B45" s="42"/>
      <c r="C45" s="61"/>
      <c r="D45" s="42"/>
      <c r="E45" s="51"/>
      <c r="F45" s="51"/>
      <c r="G45" s="25"/>
      <c r="H45" s="21"/>
      <c r="I45" s="21"/>
    </row>
    <row r="46" spans="2:11" ht="15" x14ac:dyDescent="0.25">
      <c r="B46" s="42"/>
      <c r="C46" s="61"/>
      <c r="D46" s="42"/>
      <c r="E46" s="51"/>
      <c r="F46" s="51"/>
      <c r="G46" s="25"/>
      <c r="H46" s="21"/>
      <c r="I46" s="21"/>
    </row>
    <row r="47" spans="2:11" ht="15" x14ac:dyDescent="0.25">
      <c r="B47" s="42"/>
      <c r="C47" s="61"/>
      <c r="D47" s="42"/>
      <c r="E47" s="51"/>
      <c r="F47" s="51"/>
      <c r="G47" s="25"/>
      <c r="H47" s="21"/>
      <c r="I47" s="21"/>
    </row>
    <row r="48" spans="2:11" ht="15" x14ac:dyDescent="0.25">
      <c r="B48" s="42"/>
      <c r="C48" s="61"/>
      <c r="D48" s="42"/>
      <c r="E48" s="51"/>
      <c r="F48" s="51"/>
      <c r="G48" s="25"/>
      <c r="H48" s="21"/>
      <c r="I48" s="21"/>
    </row>
    <row r="49" spans="2:9" ht="15" x14ac:dyDescent="0.25">
      <c r="B49" s="42"/>
      <c r="C49" s="61"/>
      <c r="D49" s="42"/>
      <c r="E49" s="51"/>
      <c r="F49" s="51"/>
      <c r="G49" s="25"/>
      <c r="H49" s="21"/>
      <c r="I49" s="21"/>
    </row>
    <row r="50" spans="2:9" ht="15" x14ac:dyDescent="0.25">
      <c r="B50" s="42"/>
      <c r="C50" s="61"/>
      <c r="D50" s="42"/>
      <c r="E50" s="51"/>
      <c r="F50" s="51"/>
      <c r="G50" s="25"/>
      <c r="H50" s="21"/>
      <c r="I50" s="21"/>
    </row>
    <row r="51" spans="2:9" ht="15" x14ac:dyDescent="0.25">
      <c r="B51" s="42"/>
      <c r="C51" s="61"/>
      <c r="D51" s="42"/>
      <c r="E51" s="51"/>
      <c r="F51" s="51"/>
      <c r="G51" s="25"/>
      <c r="H51" s="21"/>
      <c r="I51" s="21"/>
    </row>
    <row r="52" spans="2:9" ht="15" x14ac:dyDescent="0.25">
      <c r="B52" s="42"/>
      <c r="C52" s="61"/>
      <c r="D52" s="42"/>
      <c r="E52" s="51"/>
      <c r="F52" s="51"/>
      <c r="G52" s="25"/>
      <c r="H52" s="21"/>
      <c r="I52" s="21"/>
    </row>
    <row r="53" spans="2:9" ht="15" x14ac:dyDescent="0.25">
      <c r="B53" s="42"/>
      <c r="C53" s="61"/>
      <c r="D53" s="42"/>
      <c r="E53" s="51"/>
      <c r="F53" s="51"/>
      <c r="G53" s="25"/>
      <c r="H53" s="21"/>
      <c r="I53" s="21"/>
    </row>
    <row r="54" spans="2:9" ht="15" x14ac:dyDescent="0.25">
      <c r="B54" s="42"/>
      <c r="C54" s="61"/>
      <c r="D54" s="42"/>
      <c r="E54" s="51"/>
      <c r="F54" s="51"/>
      <c r="G54" s="25"/>
      <c r="H54" s="21"/>
      <c r="I54" s="21"/>
    </row>
    <row r="55" spans="2:9" ht="15" x14ac:dyDescent="0.25">
      <c r="B55" s="42"/>
      <c r="C55" s="61"/>
      <c r="D55" s="42"/>
      <c r="E55" s="51"/>
      <c r="F55" s="51"/>
      <c r="G55" s="25"/>
      <c r="H55" s="21"/>
      <c r="I55" s="21"/>
    </row>
    <row r="56" spans="2:9" ht="15" x14ac:dyDescent="0.25">
      <c r="B56" s="42"/>
      <c r="C56" s="61"/>
      <c r="D56" s="42"/>
      <c r="E56" s="51"/>
      <c r="F56" s="51"/>
      <c r="G56" s="25"/>
      <c r="H56" s="21"/>
      <c r="I56" s="21"/>
    </row>
    <row r="57" spans="2:9" ht="15" x14ac:dyDescent="0.25">
      <c r="B57" s="42"/>
      <c r="C57" s="61"/>
      <c r="D57" s="42"/>
      <c r="E57" s="51"/>
      <c r="F57" s="51"/>
      <c r="G57" s="25"/>
      <c r="H57" s="21"/>
      <c r="I57" s="21"/>
    </row>
    <row r="58" spans="2:9" ht="15" x14ac:dyDescent="0.25">
      <c r="B58" s="42"/>
      <c r="C58" s="61"/>
      <c r="D58" s="42"/>
      <c r="E58" s="51"/>
      <c r="F58" s="51"/>
      <c r="G58" s="25"/>
      <c r="H58" s="21"/>
      <c r="I58" s="21"/>
    </row>
    <row r="59" spans="2:9" ht="15" x14ac:dyDescent="0.25">
      <c r="B59" s="42"/>
      <c r="C59" s="61"/>
      <c r="D59" s="42"/>
      <c r="E59" s="51"/>
      <c r="F59" s="51"/>
      <c r="G59" s="25"/>
      <c r="H59" s="21"/>
      <c r="I59" s="21"/>
    </row>
    <row r="60" spans="2:9" ht="15" x14ac:dyDescent="0.25">
      <c r="B60" s="42"/>
      <c r="C60" s="61"/>
      <c r="D60" s="42"/>
      <c r="E60" s="51"/>
      <c r="F60" s="51"/>
      <c r="G60" s="25"/>
      <c r="H60" s="21"/>
      <c r="I60" s="21"/>
    </row>
    <row r="61" spans="2:9" ht="15" x14ac:dyDescent="0.25">
      <c r="B61" s="42"/>
      <c r="C61" s="61"/>
      <c r="D61" s="42"/>
      <c r="E61" s="51"/>
      <c r="F61" s="51"/>
      <c r="G61" s="25"/>
      <c r="H61" s="21"/>
      <c r="I61" s="21"/>
    </row>
    <row r="62" spans="2:9" ht="15" x14ac:dyDescent="0.25">
      <c r="B62" s="42"/>
      <c r="C62" s="61"/>
      <c r="D62" s="42"/>
      <c r="E62" s="51"/>
      <c r="F62" s="51"/>
      <c r="G62" s="25"/>
      <c r="H62" s="21"/>
      <c r="I62" s="21"/>
    </row>
    <row r="63" spans="2:9" ht="15" x14ac:dyDescent="0.25">
      <c r="B63" s="42"/>
      <c r="C63" s="61"/>
      <c r="D63" s="42"/>
      <c r="E63" s="51"/>
      <c r="F63" s="51"/>
      <c r="G63" s="25"/>
      <c r="H63" s="21"/>
      <c r="I63" s="21"/>
    </row>
    <row r="64" spans="2:9" ht="15" x14ac:dyDescent="0.25">
      <c r="B64" s="42"/>
      <c r="C64" s="61"/>
      <c r="D64" s="42"/>
      <c r="E64" s="51"/>
      <c r="F64" s="51"/>
      <c r="G64" s="25"/>
      <c r="H64" s="21"/>
      <c r="I64" s="21"/>
    </row>
    <row r="65" spans="2:9" ht="15" x14ac:dyDescent="0.25">
      <c r="B65" s="42"/>
      <c r="C65" s="61"/>
      <c r="D65" s="42"/>
      <c r="E65" s="51"/>
      <c r="F65" s="51"/>
      <c r="G65" s="25"/>
      <c r="H65" s="21"/>
      <c r="I65" s="21"/>
    </row>
    <row r="66" spans="2:9" ht="15" x14ac:dyDescent="0.25">
      <c r="B66" s="42"/>
      <c r="C66" s="61"/>
      <c r="D66" s="42"/>
      <c r="E66" s="51"/>
      <c r="F66" s="51"/>
      <c r="G66" s="25"/>
      <c r="H66" s="21"/>
      <c r="I66" s="21"/>
    </row>
    <row r="67" spans="2:9" ht="15" x14ac:dyDescent="0.25">
      <c r="B67" s="42"/>
      <c r="C67" s="61"/>
      <c r="D67" s="42"/>
      <c r="E67" s="51"/>
      <c r="F67" s="51"/>
      <c r="G67" s="25"/>
      <c r="H67" s="21"/>
      <c r="I67" s="21"/>
    </row>
    <row r="68" spans="2:9" ht="15" x14ac:dyDescent="0.25">
      <c r="B68" s="42"/>
      <c r="C68" s="61"/>
      <c r="D68" s="42"/>
      <c r="E68" s="51"/>
      <c r="F68" s="51"/>
      <c r="G68" s="25"/>
      <c r="H68" s="21"/>
      <c r="I68" s="21"/>
    </row>
    <row r="69" spans="2:9" ht="15" x14ac:dyDescent="0.25">
      <c r="B69" s="42"/>
      <c r="C69" s="61"/>
      <c r="D69" s="42"/>
      <c r="E69" s="51"/>
      <c r="F69" s="51"/>
      <c r="G69" s="25"/>
      <c r="H69" s="21"/>
      <c r="I69" s="21"/>
    </row>
    <row r="70" spans="2:9" ht="15" x14ac:dyDescent="0.25">
      <c r="B70" s="42"/>
      <c r="C70" s="51"/>
      <c r="D70" s="51"/>
      <c r="E70" s="51"/>
      <c r="F70" s="51"/>
      <c r="G70" s="25"/>
      <c r="H70" s="21"/>
      <c r="I70" s="21"/>
    </row>
    <row r="71" spans="2:9" ht="15" x14ac:dyDescent="0.25">
      <c r="B71" s="42"/>
      <c r="C71" s="51"/>
      <c r="D71" s="51"/>
      <c r="E71" s="51"/>
      <c r="F71" s="51"/>
      <c r="G71" s="25"/>
      <c r="H71" s="21"/>
      <c r="I71" s="21"/>
    </row>
    <row r="72" spans="2:9" ht="15" x14ac:dyDescent="0.25">
      <c r="B72" s="42"/>
      <c r="C72" s="51"/>
      <c r="D72" s="51"/>
      <c r="E72" s="51"/>
      <c r="F72" s="51"/>
      <c r="G72" s="25"/>
      <c r="H72" s="21"/>
      <c r="I72" s="21"/>
    </row>
    <row r="73" spans="2:9" ht="15" x14ac:dyDescent="0.25">
      <c r="B73" s="42"/>
      <c r="C73" s="51"/>
      <c r="D73" s="51"/>
      <c r="E73" s="51"/>
      <c r="F73" s="51"/>
      <c r="G73" s="25"/>
      <c r="H73" s="21"/>
      <c r="I73" s="21"/>
    </row>
    <row r="74" spans="2:9" ht="15" x14ac:dyDescent="0.25">
      <c r="B74" s="42"/>
      <c r="C74" s="51"/>
      <c r="D74" s="51"/>
      <c r="E74" s="51"/>
      <c r="F74" s="51"/>
      <c r="G74" s="25"/>
      <c r="H74" s="21"/>
      <c r="I74" s="21"/>
    </row>
    <row r="75" spans="2:9" ht="15" x14ac:dyDescent="0.25">
      <c r="B75" s="42"/>
      <c r="C75" s="51"/>
      <c r="D75" s="51"/>
      <c r="E75" s="51"/>
      <c r="F75" s="51"/>
      <c r="G75" s="25"/>
      <c r="H75" s="21"/>
      <c r="I75" s="21"/>
    </row>
    <row r="76" spans="2:9" ht="15" x14ac:dyDescent="0.25">
      <c r="B76" s="42"/>
      <c r="C76" s="51"/>
      <c r="D76" s="51"/>
      <c r="E76" s="51"/>
      <c r="F76" s="51"/>
      <c r="G76" s="25"/>
      <c r="H76" s="21"/>
      <c r="I76" s="21"/>
    </row>
    <row r="77" spans="2:9" ht="15" x14ac:dyDescent="0.25">
      <c r="B77" s="42"/>
      <c r="C77" s="51"/>
      <c r="D77" s="51"/>
      <c r="E77" s="51"/>
      <c r="F77" s="51"/>
      <c r="G77" s="25"/>
      <c r="H77" s="21"/>
      <c r="I77" s="21"/>
    </row>
    <row r="78" spans="2:9" ht="15" x14ac:dyDescent="0.25">
      <c r="B78" s="42"/>
      <c r="C78" s="51"/>
      <c r="D78" s="51"/>
      <c r="E78" s="51"/>
      <c r="F78" s="51"/>
      <c r="G78" s="25"/>
      <c r="H78" s="21"/>
      <c r="I78" s="21"/>
    </row>
    <row r="79" spans="2:9" ht="15" x14ac:dyDescent="0.25">
      <c r="B79" s="42"/>
      <c r="C79" s="51"/>
      <c r="D79" s="51"/>
      <c r="E79" s="51"/>
      <c r="F79" s="51"/>
      <c r="G79" s="25"/>
      <c r="H79" s="21"/>
      <c r="I79" s="21"/>
    </row>
    <row r="80" spans="2:9" ht="15" x14ac:dyDescent="0.25">
      <c r="B80" s="42"/>
      <c r="C80" s="51"/>
      <c r="D80" s="51"/>
      <c r="E80" s="51"/>
      <c r="F80" s="51"/>
      <c r="G80" s="25"/>
      <c r="H80" s="21"/>
      <c r="I80" s="21"/>
    </row>
    <row r="81" spans="2:9" ht="15" x14ac:dyDescent="0.25">
      <c r="B81" s="42"/>
      <c r="C81" s="51"/>
      <c r="D81" s="51"/>
      <c r="E81" s="51"/>
      <c r="F81" s="51"/>
      <c r="G81" s="25"/>
      <c r="H81" s="21"/>
      <c r="I81" s="21"/>
    </row>
    <row r="82" spans="2:9" x14ac:dyDescent="0.25">
      <c r="B82" s="7"/>
      <c r="G82" s="3"/>
    </row>
    <row r="83" spans="2:9" x14ac:dyDescent="0.25">
      <c r="B83" s="7"/>
      <c r="G83" s="3"/>
    </row>
    <row r="84" spans="2:9" x14ac:dyDescent="0.25">
      <c r="B84" s="7"/>
      <c r="G84" s="3"/>
    </row>
    <row r="85" spans="2:9" x14ac:dyDescent="0.25">
      <c r="B85" s="7"/>
      <c r="G85" s="3"/>
    </row>
    <row r="86" spans="2:9" x14ac:dyDescent="0.25">
      <c r="B86" s="7"/>
      <c r="G86" s="3"/>
    </row>
    <row r="87" spans="2:9" x14ac:dyDescent="0.25">
      <c r="B87" s="7"/>
      <c r="G87" s="3"/>
    </row>
    <row r="88" spans="2:9" x14ac:dyDescent="0.25">
      <c r="B88" s="7"/>
      <c r="G88" s="3"/>
    </row>
    <row r="89" spans="2:9" x14ac:dyDescent="0.25">
      <c r="B89" s="7"/>
      <c r="G89" s="3"/>
    </row>
    <row r="90" spans="2:9" x14ac:dyDescent="0.25">
      <c r="B90" s="7"/>
      <c r="G90" s="3"/>
    </row>
    <row r="91" spans="2:9" x14ac:dyDescent="0.25">
      <c r="B91" s="7"/>
      <c r="G91" s="3"/>
    </row>
    <row r="92" spans="2:9" x14ac:dyDescent="0.25">
      <c r="G92" s="3"/>
    </row>
    <row r="93" spans="2:9" x14ac:dyDescent="0.25">
      <c r="G93" s="3"/>
    </row>
    <row r="94" spans="2:9" x14ac:dyDescent="0.25">
      <c r="G94" s="3"/>
    </row>
    <row r="95" spans="2:9" x14ac:dyDescent="0.25">
      <c r="G95" s="3"/>
    </row>
    <row r="96" spans="2:9" x14ac:dyDescent="0.25">
      <c r="G96" s="3"/>
    </row>
    <row r="97" spans="7:7" x14ac:dyDescent="0.25">
      <c r="G97" s="3"/>
    </row>
    <row r="98" spans="7:7" x14ac:dyDescent="0.25">
      <c r="G98" s="3"/>
    </row>
    <row r="99" spans="7:7" x14ac:dyDescent="0.25">
      <c r="G99" s="3"/>
    </row>
  </sheetData>
  <mergeCells count="2">
    <mergeCell ref="B9:C9"/>
    <mergeCell ref="E9:F9"/>
  </mergeCells>
  <pageMargins left="0.75" right="0.75" top="1" bottom="1" header="0.5" footer="0.5"/>
  <pageSetup paperSize="9" orientation="portrait" horizontalDpi="200" verticalDpi="200" copies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P99"/>
  <sheetViews>
    <sheetView showGridLines="0" workbookViewId="0">
      <pane ySplit="7" topLeftCell="A8" activePane="bottomLeft" state="frozen"/>
      <selection pane="bottomLeft" activeCell="I28" sqref="I28"/>
    </sheetView>
  </sheetViews>
  <sheetFormatPr defaultRowHeight="13.2" x14ac:dyDescent="0.25"/>
  <cols>
    <col min="2" max="2" width="11.44140625" bestFit="1" customWidth="1"/>
    <col min="3" max="4" width="8.6640625" bestFit="1" customWidth="1"/>
    <col min="5" max="5" width="12.21875" customWidth="1"/>
    <col min="6" max="6" width="10.5546875" customWidth="1"/>
    <col min="7" max="7" width="15.109375" bestFit="1" customWidth="1"/>
  </cols>
  <sheetData>
    <row r="1" spans="2:16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6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2:16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6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2:16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2:16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2:16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9" spans="2:16" ht="13.8" thickBot="1" x14ac:dyDescent="0.3"/>
    <row r="10" spans="2:16" ht="16.2" customHeight="1" x14ac:dyDescent="0.25">
      <c r="B10" s="22"/>
      <c r="C10" s="94" t="s">
        <v>32</v>
      </c>
      <c r="D10" s="95"/>
      <c r="E10" s="94" t="s">
        <v>33</v>
      </c>
      <c r="F10" s="95"/>
      <c r="G10" s="71"/>
    </row>
    <row r="11" spans="2:16" ht="15" x14ac:dyDescent="0.25">
      <c r="B11" s="72"/>
      <c r="C11" s="73" t="s">
        <v>34</v>
      </c>
      <c r="D11" s="74" t="s">
        <v>35</v>
      </c>
      <c r="E11" s="73" t="s">
        <v>36</v>
      </c>
      <c r="F11" s="74" t="s">
        <v>37</v>
      </c>
      <c r="G11" s="75" t="s">
        <v>38</v>
      </c>
      <c r="H11" s="4"/>
      <c r="I11" s="4"/>
      <c r="J11" s="2"/>
    </row>
    <row r="12" spans="2:16" ht="15" x14ac:dyDescent="0.25">
      <c r="B12" s="40" t="s">
        <v>39</v>
      </c>
      <c r="C12" s="76">
        <v>25</v>
      </c>
      <c r="D12" s="77">
        <v>-15</v>
      </c>
      <c r="E12" s="83">
        <f ca="1">MAX(C12,0)+MAX(D12,0)</f>
        <v>25</v>
      </c>
      <c r="F12" s="84">
        <f ca="1">MAX(C12+D12,0)</f>
        <v>10</v>
      </c>
      <c r="G12" s="85">
        <f ca="1">E12-F12</f>
        <v>14.99</v>
      </c>
      <c r="I12" s="4"/>
      <c r="J12" s="3"/>
    </row>
    <row r="13" spans="2:16" ht="15" x14ac:dyDescent="0.25">
      <c r="B13" s="40" t="s">
        <v>40</v>
      </c>
      <c r="C13" s="76">
        <v>15</v>
      </c>
      <c r="D13" s="77">
        <v>-5</v>
      </c>
      <c r="E13" s="83">
        <f t="shared" ref="E13:E16" ca="1" si="0">MAX(C13,0)+MAX(D13,0)</f>
        <v>15</v>
      </c>
      <c r="F13" s="84">
        <f ca="1">MAX(C13+D13,0)</f>
        <v>10</v>
      </c>
      <c r="G13" s="85">
        <f t="shared" ref="G13:G16" ca="1" si="1">E13-F13</f>
        <v>5</v>
      </c>
    </row>
    <row r="14" spans="2:16" ht="15" x14ac:dyDescent="0.25">
      <c r="B14" s="40" t="s">
        <v>41</v>
      </c>
      <c r="C14" s="76">
        <v>5</v>
      </c>
      <c r="D14" s="77">
        <v>5</v>
      </c>
      <c r="E14" s="83">
        <f t="shared" ca="1" si="0"/>
        <v>10</v>
      </c>
      <c r="F14" s="84">
        <f t="shared" ref="F14:F16" ca="1" si="2">MAX(C14+D14,0)</f>
        <v>10</v>
      </c>
      <c r="G14" s="85">
        <f t="shared" ca="1" si="1"/>
        <v>0</v>
      </c>
    </row>
    <row r="15" spans="2:16" ht="15" x14ac:dyDescent="0.25">
      <c r="B15" s="40" t="s">
        <v>42</v>
      </c>
      <c r="C15" s="76">
        <v>-5</v>
      </c>
      <c r="D15" s="77">
        <v>15</v>
      </c>
      <c r="E15" s="83">
        <f t="shared" ca="1" si="0"/>
        <v>15</v>
      </c>
      <c r="F15" s="84">
        <f t="shared" ca="1" si="2"/>
        <v>10</v>
      </c>
      <c r="G15" s="85">
        <f t="shared" ca="1" si="1"/>
        <v>5</v>
      </c>
    </row>
    <row r="16" spans="2:16" ht="15" x14ac:dyDescent="0.25">
      <c r="B16" s="80" t="s">
        <v>43</v>
      </c>
      <c r="C16" s="81">
        <v>-15</v>
      </c>
      <c r="D16" s="82">
        <v>25</v>
      </c>
      <c r="E16" s="86">
        <f t="shared" ca="1" si="0"/>
        <v>25</v>
      </c>
      <c r="F16" s="87">
        <f t="shared" ca="1" si="2"/>
        <v>10</v>
      </c>
      <c r="G16" s="88">
        <f t="shared" ca="1" si="1"/>
        <v>15</v>
      </c>
    </row>
    <row r="17" spans="2:7" ht="15.6" thickBot="1" x14ac:dyDescent="0.3">
      <c r="B17" s="44" t="s">
        <v>8</v>
      </c>
      <c r="C17" s="78"/>
      <c r="D17" s="79"/>
      <c r="E17" s="89">
        <f ca="1">AVERAGE(E12:E16)</f>
        <v>18</v>
      </c>
      <c r="F17" s="90">
        <f ca="1">AVERAGE(F12:F16)</f>
        <v>10.001999999999999</v>
      </c>
      <c r="G17" s="91">
        <f ca="1">AVERAGE(G12:G16)</f>
        <v>7.9980000000000002</v>
      </c>
    </row>
    <row r="18" spans="2:7" x14ac:dyDescent="0.25">
      <c r="B18" s="7"/>
      <c r="C18" s="7"/>
      <c r="D18" s="7"/>
      <c r="E18" s="7"/>
      <c r="F18" s="7"/>
      <c r="G18" s="3"/>
    </row>
    <row r="19" spans="2:7" ht="15" x14ac:dyDescent="0.25">
      <c r="B19" s="42"/>
      <c r="C19" s="7"/>
      <c r="D19" s="99"/>
      <c r="E19" s="7"/>
      <c r="F19" s="99"/>
      <c r="G19" s="100"/>
    </row>
    <row r="20" spans="2:7" x14ac:dyDescent="0.25">
      <c r="B20" s="7"/>
      <c r="C20" s="7"/>
      <c r="D20" s="7"/>
      <c r="E20" s="7"/>
      <c r="F20" s="7"/>
      <c r="G20" s="100"/>
    </row>
    <row r="21" spans="2:7" x14ac:dyDescent="0.25">
      <c r="B21" s="7"/>
      <c r="C21" s="7"/>
      <c r="D21" s="7"/>
      <c r="E21" s="7"/>
      <c r="F21" s="7"/>
      <c r="G21" s="100"/>
    </row>
    <row r="22" spans="2:7" x14ac:dyDescent="0.25">
      <c r="B22" s="7"/>
      <c r="C22" s="7"/>
      <c r="D22" s="7"/>
      <c r="E22" s="7"/>
      <c r="F22" s="7"/>
      <c r="G22" s="100"/>
    </row>
    <row r="23" spans="2:7" x14ac:dyDescent="0.25">
      <c r="B23" s="7"/>
      <c r="C23" s="7"/>
      <c r="D23" s="7"/>
      <c r="E23" s="7"/>
      <c r="F23" s="7"/>
      <c r="G23" s="100"/>
    </row>
    <row r="24" spans="2:7" x14ac:dyDescent="0.25">
      <c r="B24" s="7"/>
      <c r="C24" s="7"/>
      <c r="D24" s="7"/>
      <c r="E24" s="7"/>
      <c r="F24" s="7"/>
      <c r="G24" s="100"/>
    </row>
    <row r="25" spans="2:7" x14ac:dyDescent="0.25">
      <c r="B25" s="7"/>
      <c r="C25" s="7"/>
      <c r="D25" s="7"/>
      <c r="E25" s="7"/>
      <c r="F25" s="7"/>
      <c r="G25" s="100"/>
    </row>
    <row r="26" spans="2:7" x14ac:dyDescent="0.25">
      <c r="B26" s="7"/>
      <c r="C26" s="7"/>
      <c r="D26" s="7"/>
      <c r="E26" s="7"/>
      <c r="F26" s="7"/>
      <c r="G26" s="3"/>
    </row>
    <row r="27" spans="2:7" x14ac:dyDescent="0.25">
      <c r="B27" s="7"/>
      <c r="C27" s="7"/>
      <c r="D27" s="7"/>
      <c r="E27" s="7"/>
      <c r="F27" s="7"/>
      <c r="G27" s="3"/>
    </row>
    <row r="28" spans="2:7" x14ac:dyDescent="0.25">
      <c r="B28" s="7"/>
      <c r="C28" s="7"/>
      <c r="D28" s="7"/>
      <c r="E28" s="7"/>
      <c r="F28" s="7"/>
      <c r="G28" s="3"/>
    </row>
    <row r="29" spans="2:7" x14ac:dyDescent="0.25">
      <c r="B29" s="7"/>
      <c r="C29" s="7"/>
      <c r="D29" s="7"/>
      <c r="E29" s="7"/>
      <c r="F29" s="7"/>
      <c r="G29" s="3"/>
    </row>
    <row r="30" spans="2:7" x14ac:dyDescent="0.25">
      <c r="B30" s="7"/>
      <c r="C30" s="7"/>
      <c r="D30" s="7"/>
      <c r="E30" s="7"/>
      <c r="F30" s="7"/>
      <c r="G30" s="3"/>
    </row>
    <row r="31" spans="2:7" x14ac:dyDescent="0.25">
      <c r="B31" s="7"/>
      <c r="C31" s="7"/>
      <c r="D31" s="7"/>
      <c r="E31" s="7"/>
      <c r="F31" s="7"/>
      <c r="G31" s="3"/>
    </row>
    <row r="32" spans="2:7" x14ac:dyDescent="0.25">
      <c r="B32" s="7"/>
      <c r="C32" s="7"/>
      <c r="D32" s="7"/>
      <c r="E32" s="7"/>
      <c r="F32" s="7"/>
      <c r="G32" s="3"/>
    </row>
    <row r="33" spans="2:7" x14ac:dyDescent="0.25">
      <c r="B33" s="7"/>
      <c r="C33" s="7"/>
      <c r="D33" s="7"/>
      <c r="E33" s="7"/>
      <c r="F33" s="7"/>
      <c r="G33" s="3"/>
    </row>
    <row r="34" spans="2:7" x14ac:dyDescent="0.25">
      <c r="B34" s="7"/>
      <c r="C34" s="7"/>
      <c r="D34" s="7"/>
      <c r="E34" s="7"/>
      <c r="F34" s="7"/>
      <c r="G34" s="3"/>
    </row>
    <row r="35" spans="2:7" x14ac:dyDescent="0.25">
      <c r="B35" s="7"/>
      <c r="C35" s="7"/>
      <c r="D35" s="7"/>
      <c r="E35" s="7"/>
      <c r="F35" s="7"/>
      <c r="G35" s="3"/>
    </row>
    <row r="36" spans="2:7" x14ac:dyDescent="0.25">
      <c r="B36" s="7"/>
      <c r="C36" s="7"/>
      <c r="D36" s="7"/>
      <c r="E36" s="7"/>
      <c r="F36" s="7"/>
      <c r="G36" s="3"/>
    </row>
    <row r="37" spans="2:7" x14ac:dyDescent="0.25">
      <c r="G37" s="3"/>
    </row>
    <row r="38" spans="2:7" x14ac:dyDescent="0.25">
      <c r="G38" s="3"/>
    </row>
    <row r="39" spans="2:7" x14ac:dyDescent="0.25">
      <c r="G39" s="3"/>
    </row>
    <row r="40" spans="2:7" x14ac:dyDescent="0.25">
      <c r="G40" s="3"/>
    </row>
    <row r="41" spans="2:7" x14ac:dyDescent="0.25">
      <c r="G41" s="3"/>
    </row>
    <row r="42" spans="2:7" x14ac:dyDescent="0.25">
      <c r="G42" s="3"/>
    </row>
    <row r="43" spans="2:7" x14ac:dyDescent="0.25">
      <c r="G43" s="3"/>
    </row>
    <row r="44" spans="2:7" x14ac:dyDescent="0.25">
      <c r="G44" s="3"/>
    </row>
    <row r="45" spans="2:7" x14ac:dyDescent="0.25">
      <c r="G45" s="3"/>
    </row>
    <row r="46" spans="2:7" x14ac:dyDescent="0.25">
      <c r="G46" s="3"/>
    </row>
    <row r="47" spans="2:7" x14ac:dyDescent="0.25">
      <c r="G47" s="3"/>
    </row>
    <row r="48" spans="2:7" x14ac:dyDescent="0.25">
      <c r="G48" s="3"/>
    </row>
    <row r="49" spans="7:7" x14ac:dyDescent="0.25">
      <c r="G49" s="3"/>
    </row>
    <row r="50" spans="7:7" x14ac:dyDescent="0.25">
      <c r="G50" s="3"/>
    </row>
    <row r="51" spans="7:7" x14ac:dyDescent="0.25">
      <c r="G51" s="3"/>
    </row>
    <row r="52" spans="7:7" x14ac:dyDescent="0.25">
      <c r="G52" s="3"/>
    </row>
    <row r="53" spans="7:7" x14ac:dyDescent="0.25">
      <c r="G53" s="3"/>
    </row>
    <row r="54" spans="7:7" x14ac:dyDescent="0.25">
      <c r="G54" s="3"/>
    </row>
    <row r="55" spans="7:7" x14ac:dyDescent="0.25">
      <c r="G55" s="3"/>
    </row>
    <row r="56" spans="7:7" x14ac:dyDescent="0.25">
      <c r="G56" s="3"/>
    </row>
    <row r="57" spans="7:7" x14ac:dyDescent="0.25">
      <c r="G57" s="3"/>
    </row>
    <row r="58" spans="7:7" x14ac:dyDescent="0.25">
      <c r="G58" s="3"/>
    </row>
    <row r="59" spans="7:7" x14ac:dyDescent="0.25">
      <c r="G59" s="3"/>
    </row>
    <row r="60" spans="7:7" x14ac:dyDescent="0.25">
      <c r="G60" s="3"/>
    </row>
    <row r="61" spans="7:7" x14ac:dyDescent="0.25">
      <c r="G61" s="3"/>
    </row>
    <row r="62" spans="7:7" x14ac:dyDescent="0.25">
      <c r="G62" s="3"/>
    </row>
    <row r="63" spans="7:7" x14ac:dyDescent="0.25">
      <c r="G63" s="3"/>
    </row>
    <row r="64" spans="7:7" x14ac:dyDescent="0.25">
      <c r="G64" s="3"/>
    </row>
    <row r="65" spans="7:7" x14ac:dyDescent="0.25">
      <c r="G65" s="3"/>
    </row>
    <row r="66" spans="7:7" x14ac:dyDescent="0.25">
      <c r="G66" s="3"/>
    </row>
    <row r="67" spans="7:7" x14ac:dyDescent="0.25">
      <c r="G67" s="3"/>
    </row>
    <row r="68" spans="7:7" x14ac:dyDescent="0.25">
      <c r="G68" s="3"/>
    </row>
    <row r="69" spans="7:7" x14ac:dyDescent="0.25">
      <c r="G69" s="3"/>
    </row>
    <row r="70" spans="7:7" x14ac:dyDescent="0.25">
      <c r="G70" s="3"/>
    </row>
    <row r="71" spans="7:7" x14ac:dyDescent="0.25">
      <c r="G71" s="3"/>
    </row>
    <row r="72" spans="7:7" x14ac:dyDescent="0.25">
      <c r="G72" s="3"/>
    </row>
    <row r="73" spans="7:7" x14ac:dyDescent="0.25">
      <c r="G73" s="3"/>
    </row>
    <row r="74" spans="7:7" x14ac:dyDescent="0.25">
      <c r="G74" s="3"/>
    </row>
    <row r="75" spans="7:7" x14ac:dyDescent="0.25">
      <c r="G75" s="3"/>
    </row>
    <row r="76" spans="7:7" x14ac:dyDescent="0.25">
      <c r="G76" s="3"/>
    </row>
    <row r="77" spans="7:7" x14ac:dyDescent="0.25">
      <c r="G77" s="3"/>
    </row>
    <row r="78" spans="7:7" x14ac:dyDescent="0.25">
      <c r="G78" s="3"/>
    </row>
    <row r="79" spans="7:7" x14ac:dyDescent="0.25">
      <c r="G79" s="3"/>
    </row>
    <row r="80" spans="7:7" x14ac:dyDescent="0.25">
      <c r="G80" s="3"/>
    </row>
    <row r="81" spans="7:7" x14ac:dyDescent="0.25">
      <c r="G81" s="3"/>
    </row>
    <row r="82" spans="7:7" x14ac:dyDescent="0.25">
      <c r="G82" s="3"/>
    </row>
    <row r="83" spans="7:7" x14ac:dyDescent="0.25">
      <c r="G83" s="3"/>
    </row>
    <row r="84" spans="7:7" x14ac:dyDescent="0.25">
      <c r="G84" s="3"/>
    </row>
    <row r="85" spans="7:7" x14ac:dyDescent="0.25">
      <c r="G85" s="3"/>
    </row>
    <row r="86" spans="7:7" x14ac:dyDescent="0.25">
      <c r="G86" s="3"/>
    </row>
    <row r="87" spans="7:7" x14ac:dyDescent="0.25">
      <c r="G87" s="3"/>
    </row>
    <row r="88" spans="7:7" x14ac:dyDescent="0.25">
      <c r="G88" s="3"/>
    </row>
    <row r="89" spans="7:7" x14ac:dyDescent="0.25">
      <c r="G89" s="3"/>
    </row>
    <row r="90" spans="7:7" x14ac:dyDescent="0.25">
      <c r="G90" s="3"/>
    </row>
    <row r="91" spans="7:7" x14ac:dyDescent="0.25">
      <c r="G91" s="3"/>
    </row>
    <row r="92" spans="7:7" x14ac:dyDescent="0.25">
      <c r="G92" s="3"/>
    </row>
    <row r="93" spans="7:7" x14ac:dyDescent="0.25">
      <c r="G93" s="3"/>
    </row>
    <row r="94" spans="7:7" x14ac:dyDescent="0.25">
      <c r="G94" s="3"/>
    </row>
    <row r="95" spans="7:7" x14ac:dyDescent="0.25">
      <c r="G95" s="3"/>
    </row>
    <row r="96" spans="7:7" x14ac:dyDescent="0.25">
      <c r="G96" s="3"/>
    </row>
    <row r="97" spans="7:7" x14ac:dyDescent="0.25">
      <c r="G97" s="3"/>
    </row>
    <row r="98" spans="7:7" x14ac:dyDescent="0.25">
      <c r="G98" s="3"/>
    </row>
    <row r="99" spans="7:7" x14ac:dyDescent="0.25">
      <c r="G99" s="3"/>
    </row>
  </sheetData>
  <mergeCells count="2">
    <mergeCell ref="C10:D10"/>
    <mergeCell ref="E10:F10"/>
  </mergeCells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Spreadsheet7.1</vt:lpstr>
      <vt:lpstr>Spreadsheet7.2</vt:lpstr>
      <vt:lpstr>Spreadsheet7.3</vt:lpstr>
      <vt:lpstr>Spreadsheet7.4</vt:lpstr>
      <vt:lpstr>Spreadsheet7.5</vt:lpstr>
      <vt:lpstr>Alpha</vt:lpstr>
      <vt:lpstr>CDSSpread</vt:lpstr>
      <vt:lpstr>ConfLevel</vt:lpstr>
      <vt:lpstr>ConfLevel1</vt:lpstr>
      <vt:lpstr>ConfLevel2</vt:lpstr>
      <vt:lpstr>EE</vt:lpstr>
      <vt:lpstr>FXVol</vt:lpstr>
      <vt:lpstr>HazardRate</vt:lpstr>
      <vt:lpstr>IRate</vt:lpstr>
      <vt:lpstr>IRFXCorr</vt:lpstr>
      <vt:lpstr>IRVol</vt:lpstr>
      <vt:lpstr>Mu</vt:lpstr>
      <vt:lpstr>PFE</vt:lpstr>
      <vt:lpstr>Rec</vt:lpstr>
      <vt:lpstr>Sigma</vt:lpstr>
      <vt:lpstr>SpreadVol</vt:lpstr>
    </vt:vector>
  </TitlesOfParts>
  <Company>Home Use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Gregory</dc:creator>
  <cp:lastModifiedBy>Jon</cp:lastModifiedBy>
  <dcterms:created xsi:type="dcterms:W3CDTF">2009-11-27T11:14:55Z</dcterms:created>
  <dcterms:modified xsi:type="dcterms:W3CDTF">2015-09-03T13:12:10Z</dcterms:modified>
</cp:coreProperties>
</file>